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raboweboc.sharepoint.com/sites/BS_CFO/GroupTax/Shared Documents/Compliance/2026/AU Returns/FBT Return/AI Project/"/>
    </mc:Choice>
  </mc:AlternateContent>
  <xr:revisionPtr revIDLastSave="4171" documentId="8_{227A9381-9451-4538-87C7-4897B0054E02}" xr6:coauthVersionLast="47" xr6:coauthVersionMax="47" xr10:uidLastSave="{AB3F4597-7F35-4D69-9B0E-98BD00C70A0B}"/>
  <bookViews>
    <workbookView xWindow="28680" yWindow="-7650" windowWidth="29040" windowHeight="15720" tabRatio="950" xr2:uid="{A9A58BD8-F2F5-411C-B7FF-21B71410C144}"/>
  </bookViews>
  <sheets>
    <sheet name="Summary" sheetId="2" r:id="rId1"/>
    <sheet name="Ext Training" sheetId="4" r:id="rId2"/>
    <sheet name="Training Trav&amp;lodg" sheetId="5" r:id="rId3"/>
    <sheet name="Publicity&amp;Advert'g" sheetId="6" r:id="rId4"/>
    <sheet name="Open-Jubilees" sheetId="7" r:id="rId5"/>
    <sheet name="Promo gifts" sheetId="9" r:id="rId6"/>
    <sheet name="Sponsoring" sheetId="8" r:id="rId7"/>
    <sheet name="Marketing" sheetId="10" r:id="rId8"/>
    <sheet name="Bus Dev" sheetId="11" r:id="rId9"/>
    <sheet name="PR exp" sheetId="12" r:id="rId10"/>
    <sheet name="Club memship" sheetId="14" r:id="rId11"/>
    <sheet name="Meeting costs" sheetId="15" r:id="rId12"/>
    <sheet name="Misc exp" sheetId="16" r:id="rId13"/>
    <sheet name="Sundry" sheetId="17" r:id="rId14"/>
    <sheet name="Misc exp (2)" sheetId="18" r:id="rId15"/>
    <sheet name="Other non-bank exp" sheetId="20" r:id="rId16"/>
    <sheet name="Other exp" sheetId="19" r:id="rId17"/>
    <sheet name="Donations" sheetId="21" r:id="rId18"/>
    <sheet name="Client period" sheetId="22" r:id="rId19"/>
  </sheets>
  <definedNames>
    <definedName name="_xlnm._FilterDatabase" localSheetId="8" hidden="1">'Bus Dev'!$A$7:$AF$1111</definedName>
    <definedName name="_xlnm._FilterDatabase" localSheetId="10" hidden="1">'Club memship'!$A$7:$AF$91</definedName>
    <definedName name="_xlnm._FilterDatabase" localSheetId="1" hidden="1">'Ext Training'!$A$7:$AG$7</definedName>
    <definedName name="_xlnm._FilterDatabase" localSheetId="7" hidden="1">Marketing!$A$7:$AG$71</definedName>
    <definedName name="_xlnm._FilterDatabase" localSheetId="11" hidden="1">'Meeting costs'!$A$7:$AF$161</definedName>
    <definedName name="_xlnm._FilterDatabase" localSheetId="12" hidden="1">'Misc exp'!$A$7:$AE$7</definedName>
    <definedName name="_xlnm._FilterDatabase" localSheetId="14" hidden="1">'Misc exp (2)'!$A$7:$AF$1236</definedName>
    <definedName name="_xlnm._FilterDatabase" localSheetId="16" hidden="1">'Other exp'!$A$7:$AF$1824</definedName>
    <definedName name="_xlnm._FilterDatabase" localSheetId="15" hidden="1">'Other non-bank exp'!$A$7:$AE$7</definedName>
    <definedName name="_xlnm._FilterDatabase" localSheetId="9" hidden="1">'PR exp'!$A$7:$AF$7</definedName>
    <definedName name="_xlnm._FilterDatabase" localSheetId="5" hidden="1">'Promo gifts'!$A$7:$AE$7</definedName>
    <definedName name="_xlnm._FilterDatabase" localSheetId="3" hidden="1">'Publicity&amp;Advert''g'!$A$7:$AE$176</definedName>
    <definedName name="_xlnm._FilterDatabase" localSheetId="6" hidden="1">Sponsoring!$A$7:$AF$13</definedName>
    <definedName name="_xlnm._FilterDatabase" localSheetId="13" hidden="1">Sundry!$A$7:$AF$7</definedName>
    <definedName name="_xlnm._FilterDatabase" localSheetId="2" hidden="1">'Training Trav&amp;lodg'!$A$7:$AF$7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15" l="1"/>
  <c r="R20" i="2" l="1"/>
  <c r="V435" i="19"/>
  <c r="U435" i="19"/>
  <c r="V415" i="19"/>
  <c r="U415" i="19"/>
  <c r="V86" i="19"/>
  <c r="U86" i="19"/>
  <c r="V77" i="19"/>
  <c r="U77" i="19"/>
  <c r="W2" i="18"/>
  <c r="U36" i="15"/>
  <c r="V36" i="15"/>
  <c r="U205" i="11"/>
  <c r="V205" i="11"/>
  <c r="V189" i="11"/>
  <c r="U189" i="11"/>
  <c r="V165" i="11"/>
  <c r="U165" i="11"/>
  <c r="V148" i="11"/>
  <c r="U148" i="11"/>
  <c r="V141" i="11"/>
  <c r="U141" i="11"/>
  <c r="F22" i="2"/>
  <c r="F27" i="2"/>
  <c r="F26" i="2"/>
  <c r="F24" i="2"/>
  <c r="F21" i="2"/>
  <c r="F19" i="2"/>
  <c r="F17" i="2"/>
  <c r="F12" i="2"/>
  <c r="F11" i="2"/>
  <c r="F10" i="2"/>
  <c r="C2" i="22"/>
  <c r="C2" i="21"/>
  <c r="Q12" i="22"/>
  <c r="Q11" i="22"/>
  <c r="Q10" i="22"/>
  <c r="Q9" i="22"/>
  <c r="Q8" i="22"/>
  <c r="V5" i="22"/>
  <c r="AE4" i="22"/>
  <c r="AD4" i="22"/>
  <c r="V4" i="22"/>
  <c r="C4" i="22"/>
  <c r="AE3" i="22"/>
  <c r="AD3" i="22"/>
  <c r="V3" i="22"/>
  <c r="AD4" i="21"/>
  <c r="Q21" i="21"/>
  <c r="Q20" i="21"/>
  <c r="Q19" i="21"/>
  <c r="Q18" i="21"/>
  <c r="Q17" i="21"/>
  <c r="Q16" i="21"/>
  <c r="Q15" i="21"/>
  <c r="Q14" i="21"/>
  <c r="Q13" i="21"/>
  <c r="Q12" i="21"/>
  <c r="Q11" i="21"/>
  <c r="Q10" i="21"/>
  <c r="Q9" i="21"/>
  <c r="Q8" i="21"/>
  <c r="V5" i="21"/>
  <c r="AE4" i="21"/>
  <c r="V4" i="21"/>
  <c r="C4" i="21"/>
  <c r="AE3" i="21"/>
  <c r="AD3" i="21"/>
  <c r="V3" i="21"/>
  <c r="C5" i="22" l="1"/>
  <c r="C5" i="21"/>
  <c r="AE2" i="18"/>
  <c r="AE3" i="18"/>
  <c r="AD3" i="18"/>
  <c r="AD2" i="18"/>
  <c r="P23" i="2" s="1"/>
  <c r="AE76" i="18"/>
  <c r="AE58" i="18"/>
  <c r="AE4" i="19"/>
  <c r="AE3" i="19"/>
  <c r="AD3" i="19"/>
  <c r="V278" i="19"/>
  <c r="U278" i="19"/>
  <c r="V95" i="19"/>
  <c r="U95" i="19"/>
  <c r="V62" i="19"/>
  <c r="U62" i="19"/>
  <c r="AE4" i="18" l="1"/>
  <c r="Q23" i="2"/>
  <c r="Q25" i="2"/>
  <c r="F14" i="2"/>
  <c r="H14" i="2"/>
  <c r="G14" i="2"/>
  <c r="V107" i="18"/>
  <c r="U107" i="18"/>
  <c r="V97" i="18"/>
  <c r="U97" i="18"/>
  <c r="V91" i="18"/>
  <c r="U91" i="18"/>
  <c r="V38" i="15"/>
  <c r="U38" i="15"/>
  <c r="V37" i="15"/>
  <c r="U37" i="15"/>
  <c r="V20" i="15"/>
  <c r="U20" i="15"/>
  <c r="V16" i="15"/>
  <c r="U16" i="15"/>
  <c r="V14" i="15"/>
  <c r="U14" i="15"/>
  <c r="V12" i="15"/>
  <c r="U12" i="15"/>
  <c r="V3" i="15" l="1"/>
  <c r="V213" i="11"/>
  <c r="U213" i="11"/>
  <c r="V212" i="11"/>
  <c r="U212" i="11"/>
  <c r="V211" i="11"/>
  <c r="U211" i="11"/>
  <c r="V210" i="11"/>
  <c r="U210" i="11"/>
  <c r="V209" i="11"/>
  <c r="U209" i="11"/>
  <c r="V208" i="11"/>
  <c r="U208" i="11"/>
  <c r="V207" i="11"/>
  <c r="U207" i="11"/>
  <c r="V206" i="11"/>
  <c r="U206" i="11"/>
  <c r="V193" i="11"/>
  <c r="U193" i="11"/>
  <c r="V186" i="11"/>
  <c r="U186" i="11"/>
  <c r="V183" i="11"/>
  <c r="U183" i="11"/>
  <c r="V177" i="11"/>
  <c r="U177" i="11"/>
  <c r="V176" i="11"/>
  <c r="U176" i="11"/>
  <c r="V173" i="11"/>
  <c r="U173" i="11"/>
  <c r="V172" i="11"/>
  <c r="U172" i="11"/>
  <c r="V167" i="11"/>
  <c r="U167" i="11"/>
  <c r="V166" i="11"/>
  <c r="U166" i="11"/>
  <c r="V162" i="11"/>
  <c r="U162" i="11"/>
  <c r="V161" i="11"/>
  <c r="U161" i="11"/>
  <c r="V160" i="11"/>
  <c r="U160" i="11"/>
  <c r="V159" i="11"/>
  <c r="U159" i="11"/>
  <c r="V158" i="11"/>
  <c r="U158" i="11"/>
  <c r="V157" i="11"/>
  <c r="U157" i="11"/>
  <c r="V156" i="11"/>
  <c r="U156" i="11"/>
  <c r="V155" i="11"/>
  <c r="U155" i="11"/>
  <c r="V154" i="11"/>
  <c r="U154" i="11"/>
  <c r="V153" i="11"/>
  <c r="U153" i="11"/>
  <c r="V150" i="11"/>
  <c r="U150" i="11"/>
  <c r="V135" i="11"/>
  <c r="U135" i="11"/>
  <c r="V124" i="11"/>
  <c r="U124" i="11"/>
  <c r="V122" i="11"/>
  <c r="U122" i="11"/>
  <c r="V87" i="11"/>
  <c r="U87" i="11"/>
  <c r="V86" i="11"/>
  <c r="U86" i="11"/>
  <c r="V75" i="11"/>
  <c r="U75" i="11"/>
  <c r="V74" i="11"/>
  <c r="U74" i="11"/>
  <c r="V73" i="11"/>
  <c r="U73" i="11"/>
  <c r="V72" i="11"/>
  <c r="U72" i="11"/>
  <c r="V56" i="11"/>
  <c r="U56" i="11"/>
  <c r="V54" i="11"/>
  <c r="U54" i="11"/>
  <c r="V51" i="11"/>
  <c r="U51" i="11"/>
  <c r="V52" i="11"/>
  <c r="U52" i="11"/>
  <c r="V44" i="11"/>
  <c r="U44" i="11"/>
  <c r="V29" i="11"/>
  <c r="U29" i="11"/>
  <c r="V19" i="11"/>
  <c r="U19" i="11"/>
  <c r="V17" i="11"/>
  <c r="U17" i="11"/>
  <c r="V69" i="10"/>
  <c r="U69" i="10"/>
  <c r="V60" i="10"/>
  <c r="U60" i="10"/>
  <c r="V10" i="10"/>
  <c r="U10" i="10"/>
  <c r="Q13" i="10"/>
  <c r="Q16" i="10"/>
  <c r="Q59" i="10"/>
  <c r="Q17" i="10"/>
  <c r="Q18" i="10"/>
  <c r="Q19" i="10"/>
  <c r="Q20" i="10"/>
  <c r="Q21" i="10"/>
  <c r="Q22" i="10"/>
  <c r="Q23" i="10"/>
  <c r="Q24" i="10"/>
  <c r="Q8"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62" i="10"/>
  <c r="Q53" i="10"/>
  <c r="Q54" i="10"/>
  <c r="Q55" i="10"/>
  <c r="Q56" i="10"/>
  <c r="Q57" i="10"/>
  <c r="Q64" i="10"/>
  <c r="Q61" i="10"/>
  <c r="Q71" i="10"/>
  <c r="Q10" i="10"/>
  <c r="Q60" i="10"/>
  <c r="Q11" i="10"/>
  <c r="Q68" i="10"/>
  <c r="Q65" i="10"/>
  <c r="Q69" i="10"/>
  <c r="Q63" i="10"/>
  <c r="Q67" i="10"/>
  <c r="Q9" i="10"/>
  <c r="Q66" i="10"/>
  <c r="Q58" i="10"/>
  <c r="Q14" i="10"/>
  <c r="Q70" i="10"/>
  <c r="Q12" i="10"/>
  <c r="Q15" i="10"/>
  <c r="V4" i="8"/>
  <c r="V3" i="8"/>
  <c r="F13" i="2" s="1"/>
  <c r="U11" i="8"/>
  <c r="V11" i="8"/>
  <c r="Q176" i="6"/>
  <c r="Q175" i="6"/>
  <c r="Q174" i="6"/>
  <c r="Q173" i="6"/>
  <c r="Q172" i="6"/>
  <c r="Q171" i="6"/>
  <c r="Q170" i="6"/>
  <c r="Q169" i="6"/>
  <c r="Q168" i="6"/>
  <c r="Q167" i="6"/>
  <c r="Q166" i="6"/>
  <c r="Q165" i="6"/>
  <c r="Q164" i="6"/>
  <c r="Q163" i="6"/>
  <c r="Q162" i="6"/>
  <c r="Q161" i="6"/>
  <c r="Q160" i="6"/>
  <c r="Q159" i="6"/>
  <c r="Q158" i="6"/>
  <c r="Q157" i="6"/>
  <c r="Q156" i="6"/>
  <c r="Q155" i="6"/>
  <c r="Q154" i="6"/>
  <c r="Q153" i="6"/>
  <c r="Q152" i="6"/>
  <c r="Q151" i="6"/>
  <c r="Q150" i="6"/>
  <c r="Q149" i="6"/>
  <c r="Q148" i="6"/>
  <c r="Q147" i="6"/>
  <c r="Q146" i="6"/>
  <c r="Q145" i="6"/>
  <c r="Q144" i="6"/>
  <c r="Q143" i="6"/>
  <c r="Q142" i="6"/>
  <c r="Q141" i="6"/>
  <c r="Q140" i="6"/>
  <c r="Q139" i="6"/>
  <c r="Q138" i="6"/>
  <c r="Q137" i="6"/>
  <c r="Q136" i="6"/>
  <c r="Q135" i="6"/>
  <c r="Q134" i="6"/>
  <c r="Q133" i="6"/>
  <c r="Q132" i="6"/>
  <c r="Q131" i="6"/>
  <c r="Q130" i="6"/>
  <c r="Q129" i="6"/>
  <c r="Q128" i="6"/>
  <c r="Q127" i="6"/>
  <c r="Q126" i="6"/>
  <c r="Q125" i="6"/>
  <c r="Q124" i="6"/>
  <c r="Q123" i="6"/>
  <c r="Q122" i="6"/>
  <c r="Q121" i="6"/>
  <c r="Q120" i="6"/>
  <c r="Q119" i="6"/>
  <c r="Q118" i="6"/>
  <c r="Q117" i="6"/>
  <c r="Q116" i="6"/>
  <c r="Q115" i="6"/>
  <c r="Q114" i="6"/>
  <c r="Q113" i="6"/>
  <c r="Q112" i="6"/>
  <c r="Q111" i="6"/>
  <c r="Q110" i="6"/>
  <c r="Q109" i="6"/>
  <c r="Q108" i="6"/>
  <c r="Q106" i="6"/>
  <c r="Q105" i="6"/>
  <c r="Q104" i="6"/>
  <c r="Q103" i="6"/>
  <c r="Q102" i="6"/>
  <c r="Q101" i="6"/>
  <c r="Q100" i="6"/>
  <c r="Q99" i="6"/>
  <c r="Q98" i="6"/>
  <c r="Q97" i="6"/>
  <c r="Q96" i="6"/>
  <c r="Q95" i="6"/>
  <c r="Q94" i="6"/>
  <c r="Q93" i="6"/>
  <c r="Q92" i="6"/>
  <c r="Q91" i="6"/>
  <c r="Q90" i="6"/>
  <c r="Q89" i="6"/>
  <c r="Q88" i="6"/>
  <c r="Q87" i="6"/>
  <c r="Q86" i="6"/>
  <c r="Q85" i="6"/>
  <c r="Q84" i="6"/>
  <c r="Q83" i="6"/>
  <c r="Q82" i="6"/>
  <c r="Q81" i="6"/>
  <c r="Q80" i="6"/>
  <c r="Q79" i="6"/>
  <c r="Q78" i="6"/>
  <c r="Q77" i="6"/>
  <c r="Q76" i="6"/>
  <c r="Q75" i="6"/>
  <c r="Q74" i="6"/>
  <c r="Q73" i="6"/>
  <c r="Q72" i="6"/>
  <c r="Q71" i="6"/>
  <c r="Q70" i="6"/>
  <c r="Q69" i="6"/>
  <c r="Q68" i="6"/>
  <c r="Q67" i="6"/>
  <c r="Q66" i="6"/>
  <c r="Q65" i="6"/>
  <c r="Q64" i="6"/>
  <c r="Q63" i="6"/>
  <c r="Q62" i="6"/>
  <c r="Q61" i="6"/>
  <c r="Q60" i="6"/>
  <c r="Q59" i="6"/>
  <c r="Q58" i="6"/>
  <c r="Q57" i="6"/>
  <c r="Q56" i="6"/>
  <c r="Q55" i="6"/>
  <c r="Q54" i="6"/>
  <c r="Q53" i="6"/>
  <c r="Q52" i="6"/>
  <c r="Q51" i="6"/>
  <c r="Q50" i="6"/>
  <c r="Q49" i="6"/>
  <c r="Q48" i="6"/>
  <c r="Q47" i="6"/>
  <c r="Q46" i="6"/>
  <c r="Q45" i="6"/>
  <c r="Q44" i="6"/>
  <c r="Q43" i="6"/>
  <c r="Q42" i="6"/>
  <c r="Q41" i="6"/>
  <c r="Q40" i="6"/>
  <c r="Q39" i="6"/>
  <c r="Q38" i="6"/>
  <c r="Q37" i="6"/>
  <c r="Q36" i="6"/>
  <c r="Q35" i="6"/>
  <c r="Q34" i="6"/>
  <c r="Q33" i="6"/>
  <c r="Q32" i="6"/>
  <c r="Q31" i="6"/>
  <c r="Q30" i="6"/>
  <c r="Q29" i="6"/>
  <c r="Q28" i="6"/>
  <c r="Q27" i="6"/>
  <c r="Q26" i="6"/>
  <c r="Q25" i="6"/>
  <c r="Q24" i="6"/>
  <c r="Q23" i="6"/>
  <c r="Q22" i="6"/>
  <c r="Q21" i="6"/>
  <c r="Q20" i="6"/>
  <c r="Q19" i="6"/>
  <c r="Q18" i="6"/>
  <c r="Q17" i="6"/>
  <c r="Q16" i="6"/>
  <c r="Q15" i="6"/>
  <c r="Q14" i="6"/>
  <c r="Q13" i="6"/>
  <c r="Q12" i="6"/>
  <c r="Q11" i="6"/>
  <c r="Q10" i="6"/>
  <c r="Q9" i="6"/>
  <c r="Q8" i="6"/>
  <c r="C4" i="6"/>
  <c r="Q18" i="4"/>
  <c r="Q50" i="4"/>
  <c r="Q13" i="4"/>
  <c r="Q14" i="4"/>
  <c r="Q19" i="4"/>
  <c r="Q20" i="4"/>
  <c r="Q8" i="4"/>
  <c r="Q55" i="4"/>
  <c r="Q29" i="4"/>
  <c r="Q17" i="4"/>
  <c r="Q31" i="4"/>
  <c r="Q9" i="4"/>
  <c r="Q22" i="4"/>
  <c r="Q15" i="4"/>
  <c r="Q16" i="4"/>
  <c r="Q12" i="4"/>
  <c r="Q46" i="4"/>
  <c r="Q21" i="4"/>
  <c r="Q10" i="4"/>
  <c r="Q59" i="4"/>
  <c r="Q53" i="4"/>
  <c r="Q23" i="4"/>
  <c r="Q27" i="4"/>
  <c r="Q28" i="4"/>
  <c r="Q36" i="4"/>
  <c r="Q38" i="4"/>
  <c r="Q11" i="4"/>
  <c r="Q56" i="4"/>
  <c r="Q32" i="4"/>
  <c r="Q42" i="4"/>
  <c r="Q60" i="4"/>
  <c r="Q48" i="4"/>
  <c r="Q47" i="4"/>
  <c r="Q40" i="4"/>
  <c r="Q30" i="4"/>
  <c r="Q41" i="4"/>
  <c r="Q24" i="4"/>
  <c r="Q33" i="4"/>
  <c r="Q25" i="4"/>
  <c r="Q57" i="4"/>
  <c r="Q44" i="4"/>
  <c r="Q58" i="4"/>
  <c r="Q37" i="4"/>
  <c r="Q52" i="4"/>
  <c r="Q35" i="4"/>
  <c r="Q49" i="4"/>
  <c r="Q39" i="4"/>
  <c r="Q43" i="4"/>
  <c r="Q54" i="4"/>
  <c r="Q34" i="4"/>
  <c r="Q45" i="4"/>
  <c r="Q26" i="4"/>
  <c r="Q51" i="4"/>
  <c r="Q352" i="19" l="1"/>
  <c r="Q463" i="19"/>
  <c r="Q13" i="19"/>
  <c r="Q586" i="19"/>
  <c r="Q340" i="19"/>
  <c r="Q509" i="19"/>
  <c r="Q588" i="19"/>
  <c r="Q159" i="19"/>
  <c r="Q386" i="19"/>
  <c r="Q166" i="19"/>
  <c r="Q114" i="19"/>
  <c r="Q9" i="19"/>
  <c r="Q517" i="19"/>
  <c r="Q341" i="19"/>
  <c r="Q145" i="19"/>
  <c r="Q71" i="19"/>
  <c r="Q78" i="19"/>
  <c r="Q395" i="19"/>
  <c r="Q297" i="19"/>
  <c r="Q434" i="19"/>
  <c r="Q569" i="19"/>
  <c r="Q347" i="19"/>
  <c r="Q302" i="19"/>
  <c r="Q64" i="19"/>
  <c r="Q363" i="19"/>
  <c r="Q446" i="19"/>
  <c r="Q419" i="19"/>
  <c r="Q155" i="19"/>
  <c r="Q428" i="19"/>
  <c r="Q513" i="19"/>
  <c r="Q457" i="19"/>
  <c r="Q330" i="19"/>
  <c r="Q591" i="19"/>
  <c r="Q192" i="19"/>
  <c r="Q308" i="19"/>
  <c r="Q28" i="19"/>
  <c r="AD28" i="19" s="1"/>
  <c r="Q182" i="19"/>
  <c r="Q83" i="19"/>
  <c r="Q408" i="19"/>
  <c r="Q204" i="19"/>
  <c r="Q169" i="19"/>
  <c r="Q252" i="19"/>
  <c r="Q307" i="19"/>
  <c r="Q96" i="19"/>
  <c r="Q61" i="19"/>
  <c r="Q158" i="19"/>
  <c r="Q524" i="19"/>
  <c r="Q573" i="19"/>
  <c r="Q152" i="19"/>
  <c r="Q530" i="19"/>
  <c r="Q354" i="19"/>
  <c r="Q579" i="19"/>
  <c r="Q593" i="19"/>
  <c r="Q542" i="19"/>
  <c r="Q448" i="19"/>
  <c r="Q532" i="19"/>
  <c r="Q462" i="19"/>
  <c r="Q512" i="19"/>
  <c r="Q502" i="19"/>
  <c r="Q473" i="19"/>
  <c r="Q345" i="19"/>
  <c r="Q346" i="19"/>
  <c r="Q362" i="19"/>
  <c r="Q125" i="19"/>
  <c r="Q570" i="19"/>
  <c r="Q272" i="19"/>
  <c r="Q376" i="19"/>
  <c r="Q335" i="19"/>
  <c r="Q389" i="19"/>
  <c r="Q304" i="19"/>
  <c r="Q115" i="19"/>
  <c r="Q257" i="19"/>
  <c r="Q558" i="19"/>
  <c r="Q63" i="19"/>
  <c r="Q123" i="19"/>
  <c r="Q69" i="19"/>
  <c r="AD69" i="19" s="1"/>
  <c r="Q380" i="19"/>
  <c r="Q394" i="19"/>
  <c r="Q566" i="19"/>
  <c r="Q251" i="19"/>
  <c r="Q95" i="19"/>
  <c r="Q450" i="19"/>
  <c r="Q267" i="19"/>
  <c r="Q193" i="19"/>
  <c r="Q575" i="19"/>
  <c r="Q568" i="19"/>
  <c r="Q571" i="19"/>
  <c r="Q254" i="19"/>
  <c r="Q30" i="19"/>
  <c r="Q132" i="19"/>
  <c r="Q416" i="19"/>
  <c r="Q42" i="19"/>
  <c r="Q168" i="19"/>
  <c r="Q426" i="19"/>
  <c r="Q401" i="19"/>
  <c r="Q290" i="19"/>
  <c r="Q35" i="19"/>
  <c r="Q478" i="19"/>
  <c r="Q153" i="19"/>
  <c r="Q173" i="19"/>
  <c r="Q317" i="19"/>
  <c r="Q334" i="19"/>
  <c r="Q440" i="19"/>
  <c r="Q547" i="19"/>
  <c r="Q531" i="19"/>
  <c r="Q14" i="19"/>
  <c r="Q501" i="19"/>
  <c r="Q214" i="19"/>
  <c r="Q435" i="19"/>
  <c r="Q349" i="19"/>
  <c r="Q533" i="19"/>
  <c r="Q296" i="19"/>
  <c r="Q504" i="19"/>
  <c r="Q390" i="19"/>
  <c r="Q413" i="19"/>
  <c r="Q269" i="19"/>
  <c r="Q299" i="19"/>
  <c r="Q200" i="19"/>
  <c r="Q400" i="19"/>
  <c r="Q220" i="19"/>
  <c r="Q326" i="19"/>
  <c r="Q312" i="19"/>
  <c r="Q522" i="19"/>
  <c r="Q508" i="19"/>
  <c r="Q316" i="19"/>
  <c r="Q364" i="19"/>
  <c r="Q211" i="19"/>
  <c r="Q469" i="19"/>
  <c r="Q291" i="19"/>
  <c r="Q494" i="19"/>
  <c r="Q337" i="19"/>
  <c r="Q311" i="19"/>
  <c r="Q381" i="19"/>
  <c r="Q151" i="19"/>
  <c r="Q507" i="19"/>
  <c r="Q310" i="19"/>
  <c r="Q392" i="19"/>
  <c r="Q172" i="19"/>
  <c r="Q544" i="19"/>
  <c r="Q256" i="19"/>
  <c r="Q466" i="19"/>
  <c r="Q133" i="19"/>
  <c r="Q209" i="19"/>
  <c r="Q165" i="19"/>
  <c r="Q40" i="19"/>
  <c r="Q325" i="19"/>
  <c r="Q481" i="19"/>
  <c r="Q183" i="19"/>
  <c r="Q184" i="19"/>
  <c r="Q255" i="19"/>
  <c r="Q212" i="19"/>
  <c r="Q105" i="19"/>
  <c r="Q449" i="19"/>
  <c r="Q360" i="19"/>
  <c r="Q62" i="19"/>
  <c r="Q150" i="19"/>
  <c r="Q397" i="19"/>
  <c r="Q456" i="19"/>
  <c r="Q329" i="19"/>
  <c r="Q552" i="19"/>
  <c r="Q322" i="19"/>
  <c r="Q577" i="19"/>
  <c r="Q53" i="19"/>
  <c r="Q11" i="19"/>
  <c r="Q17" i="19"/>
  <c r="Q482" i="19"/>
  <c r="Q500" i="19"/>
  <c r="Q36" i="19"/>
  <c r="AD36" i="19" s="1"/>
  <c r="Q113" i="19"/>
  <c r="Q117" i="19"/>
  <c r="Q20" i="19"/>
  <c r="Q46" i="19"/>
  <c r="Q258" i="19"/>
  <c r="Q328" i="19"/>
  <c r="Q417" i="19"/>
  <c r="Q47" i="19"/>
  <c r="Q584" i="19"/>
  <c r="Q248" i="19"/>
  <c r="Q219" i="19"/>
  <c r="Q455" i="19"/>
  <c r="Q379" i="19"/>
  <c r="Q15" i="19"/>
  <c r="Q49" i="19"/>
  <c r="Q243" i="19"/>
  <c r="Q534" i="19"/>
  <c r="Q27" i="19"/>
  <c r="Q31" i="19"/>
  <c r="Q108" i="19"/>
  <c r="Q528" i="19"/>
  <c r="Q331" i="19"/>
  <c r="Q527" i="19"/>
  <c r="Q82" i="19"/>
  <c r="Q273" i="19"/>
  <c r="Q301" i="19"/>
  <c r="Q259" i="19"/>
  <c r="Q443" i="19"/>
  <c r="Q260" i="19"/>
  <c r="Q403" i="19"/>
  <c r="Q425" i="19"/>
  <c r="Q539" i="19"/>
  <c r="Q399" i="19"/>
  <c r="Q393" i="19"/>
  <c r="Q444" i="19"/>
  <c r="Q237" i="19"/>
  <c r="Q271" i="19"/>
  <c r="Q21" i="19"/>
  <c r="Q519" i="19"/>
  <c r="Q594" i="19"/>
  <c r="Q100" i="19"/>
  <c r="Q39" i="19"/>
  <c r="Q191" i="19"/>
  <c r="Q88" i="19"/>
  <c r="Q475" i="19"/>
  <c r="Q459" i="19"/>
  <c r="Q268" i="19"/>
  <c r="Q163" i="19"/>
  <c r="Q409" i="19"/>
  <c r="Q550" i="19"/>
  <c r="Q437" i="19"/>
  <c r="Q278" i="19"/>
  <c r="Q563" i="19"/>
  <c r="Q405" i="19"/>
  <c r="Q120" i="19"/>
  <c r="Q84" i="19"/>
  <c r="Q185" i="19"/>
  <c r="Q149" i="19"/>
  <c r="Q576" i="19"/>
  <c r="Q557" i="19"/>
  <c r="Q43" i="19"/>
  <c r="Q136" i="19"/>
  <c r="Q333" i="19"/>
  <c r="Q580" i="19"/>
  <c r="Q369" i="19"/>
  <c r="Q141" i="19"/>
  <c r="Q336" i="19"/>
  <c r="Q253" i="19"/>
  <c r="Q415" i="19"/>
  <c r="Q139" i="19"/>
  <c r="Q261" i="19"/>
  <c r="Q574" i="19"/>
  <c r="Q190" i="19"/>
  <c r="Q407" i="19"/>
  <c r="Q232" i="19"/>
  <c r="Q213" i="19"/>
  <c r="Q378" i="19"/>
  <c r="Q549" i="19"/>
  <c r="Q366" i="19"/>
  <c r="Q225" i="19"/>
  <c r="Q480" i="19"/>
  <c r="Q210" i="19"/>
  <c r="Q157" i="19"/>
  <c r="Q496" i="19"/>
  <c r="Q493" i="19"/>
  <c r="Q137" i="19"/>
  <c r="Q118" i="19"/>
  <c r="Q526" i="19"/>
  <c r="Q72" i="19"/>
  <c r="AD72" i="19" s="1"/>
  <c r="Q194" i="19"/>
  <c r="Q143" i="19"/>
  <c r="Q518" i="19"/>
  <c r="Q97" i="19"/>
  <c r="Q358" i="19"/>
  <c r="Q497" i="19"/>
  <c r="Q484" i="19"/>
  <c r="Q559" i="19"/>
  <c r="Q343" i="19"/>
  <c r="Q564" i="19"/>
  <c r="Q86" i="19"/>
  <c r="Q525" i="19"/>
  <c r="Q221" i="19"/>
  <c r="Q90" i="19"/>
  <c r="Q239" i="19"/>
  <c r="Q350" i="19"/>
  <c r="Q538" i="19"/>
  <c r="Q514" i="19"/>
  <c r="Q111" i="19"/>
  <c r="Q74" i="19"/>
  <c r="Q266" i="19"/>
  <c r="Q351" i="19"/>
  <c r="Q454" i="19"/>
  <c r="Q458" i="19"/>
  <c r="Q348" i="19"/>
  <c r="Q567" i="19"/>
  <c r="Q537" i="19"/>
  <c r="Q110" i="19"/>
  <c r="Q540" i="19"/>
  <c r="Q356" i="19"/>
  <c r="Q411" i="19"/>
  <c r="Q236" i="19"/>
  <c r="Q503" i="19"/>
  <c r="Q68" i="19"/>
  <c r="AD68" i="19" s="1"/>
  <c r="Q300" i="19"/>
  <c r="Q554" i="19"/>
  <c r="Q119" i="19"/>
  <c r="Q384" i="19"/>
  <c r="Q555" i="19"/>
  <c r="Q228" i="19"/>
  <c r="Q195" i="19"/>
  <c r="Q589" i="19"/>
  <c r="Q423" i="19"/>
  <c r="Q177" i="19"/>
  <c r="Q196" i="19"/>
  <c r="Q198" i="19"/>
  <c r="Q391" i="19"/>
  <c r="Q492" i="19"/>
  <c r="Q288" i="19"/>
  <c r="Q76" i="19"/>
  <c r="Q122" i="19"/>
  <c r="Q375" i="19"/>
  <c r="Q506" i="19"/>
  <c r="Q499" i="19"/>
  <c r="Q180" i="19"/>
  <c r="Q199" i="19"/>
  <c r="Q367" i="19"/>
  <c r="Q545" i="19"/>
  <c r="Q451" i="19"/>
  <c r="Q170" i="19"/>
  <c r="Q85" i="19"/>
  <c r="Q321" i="19"/>
  <c r="Q24" i="19"/>
  <c r="Q410" i="19"/>
  <c r="Q553" i="19"/>
  <c r="Q12" i="19"/>
  <c r="Q551" i="19"/>
  <c r="Q274" i="19"/>
  <c r="Q361" i="19"/>
  <c r="Q242" i="19"/>
  <c r="Q250" i="19"/>
  <c r="Q578" i="19"/>
  <c r="Q280" i="19"/>
  <c r="Q247" i="19"/>
  <c r="Q477" i="19"/>
  <c r="Q286" i="19"/>
  <c r="Q287" i="19"/>
  <c r="Q75" i="19"/>
  <c r="Q546" i="19"/>
  <c r="Q306" i="19"/>
  <c r="Q19" i="19"/>
  <c r="Q10" i="19"/>
  <c r="Q359" i="19"/>
  <c r="Q323" i="19"/>
  <c r="Q438" i="19"/>
  <c r="Q179" i="19"/>
  <c r="Q461" i="19"/>
  <c r="Q339" i="19"/>
  <c r="Q277" i="19"/>
  <c r="Q283" i="19"/>
  <c r="Q279" i="19"/>
  <c r="Q55" i="19"/>
  <c r="Q521" i="19"/>
  <c r="Q536" i="19"/>
  <c r="Q388" i="19"/>
  <c r="Q203" i="19"/>
  <c r="Q245" i="19"/>
  <c r="Q34" i="19"/>
  <c r="Q581" i="19"/>
  <c r="Q197" i="19"/>
  <c r="Q418" i="19"/>
  <c r="Q353" i="19"/>
  <c r="Q156" i="19"/>
  <c r="Q25" i="19"/>
  <c r="Q338" i="19"/>
  <c r="Q404" i="19"/>
  <c r="Q292" i="19"/>
  <c r="Q241" i="19"/>
  <c r="Q315" i="19"/>
  <c r="Q216" i="19"/>
  <c r="Q89" i="19"/>
  <c r="Q79" i="19"/>
  <c r="Q427" i="19"/>
  <c r="Q529" i="19"/>
  <c r="Q430" i="19"/>
  <c r="Q289" i="19"/>
  <c r="Q515" i="19"/>
  <c r="Q365" i="19"/>
  <c r="Q371" i="19"/>
  <c r="Q229" i="19"/>
  <c r="Q505" i="19"/>
  <c r="Q176" i="19"/>
  <c r="Q476" i="19"/>
  <c r="Q131" i="19"/>
  <c r="Q231" i="19"/>
  <c r="Q445" i="19"/>
  <c r="Q161" i="19"/>
  <c r="Q313" i="19"/>
  <c r="Q238" i="19"/>
  <c r="Q548" i="19"/>
  <c r="Q164" i="19"/>
  <c r="Q94" i="19"/>
  <c r="Q374" i="19"/>
  <c r="Q121" i="19"/>
  <c r="Q467" i="19"/>
  <c r="Q387" i="19"/>
  <c r="Q129" i="19"/>
  <c r="Q357" i="19"/>
  <c r="Q206" i="19"/>
  <c r="Q282" i="19"/>
  <c r="Q18" i="19"/>
  <c r="Q483" i="19"/>
  <c r="Q562" i="19"/>
  <c r="Q460" i="19"/>
  <c r="Q234" i="19"/>
  <c r="Q127" i="19"/>
  <c r="Q489" i="19"/>
  <c r="Q424" i="19"/>
  <c r="Q373" i="19"/>
  <c r="Q44" i="19"/>
  <c r="Q447" i="19"/>
  <c r="Q275" i="19"/>
  <c r="Q370" i="19"/>
  <c r="Q147" i="19"/>
  <c r="Q112" i="19"/>
  <c r="Q511" i="19"/>
  <c r="Q217" i="19"/>
  <c r="Q491" i="19"/>
  <c r="Q106" i="19"/>
  <c r="Q294" i="19"/>
  <c r="Q226" i="19"/>
  <c r="Q48" i="19"/>
  <c r="Q543" i="19"/>
  <c r="Q439" i="19"/>
  <c r="Q33" i="19"/>
  <c r="Q295" i="19"/>
  <c r="Q495" i="19"/>
  <c r="Q50" i="19"/>
  <c r="Q144" i="19"/>
  <c r="Q441" i="19"/>
  <c r="Q377" i="19"/>
  <c r="Q227" i="19"/>
  <c r="Q29" i="19"/>
  <c r="Q162" i="19"/>
  <c r="Q57" i="19"/>
  <c r="Q433" i="19"/>
  <c r="Q327" i="19"/>
  <c r="Q223" i="19"/>
  <c r="Q107" i="19"/>
  <c r="Q178" i="19"/>
  <c r="Q215" i="19"/>
  <c r="Q396" i="19"/>
  <c r="Q51" i="19"/>
  <c r="AD51" i="19" s="1"/>
  <c r="Q187" i="19"/>
  <c r="Q432" i="19"/>
  <c r="Q471" i="19"/>
  <c r="Q249" i="19"/>
  <c r="Q109" i="19"/>
  <c r="Q276" i="19"/>
  <c r="Q70" i="19"/>
  <c r="Q142" i="19"/>
  <c r="Q59" i="19"/>
  <c r="Q452" i="19"/>
  <c r="Q186" i="19"/>
  <c r="Q240" i="19"/>
  <c r="Q202" i="19"/>
  <c r="Q565" i="19"/>
  <c r="Q355" i="19"/>
  <c r="Q556" i="19"/>
  <c r="Q560" i="19"/>
  <c r="Q124" i="19"/>
  <c r="Q66" i="19"/>
  <c r="Q52" i="19"/>
  <c r="Q207" i="19"/>
  <c r="Q402" i="19"/>
  <c r="Q442" i="19"/>
  <c r="Q590" i="19"/>
  <c r="Q23" i="19"/>
  <c r="Q54" i="19"/>
  <c r="Q181" i="19"/>
  <c r="Q58" i="19"/>
  <c r="Q93" i="19"/>
  <c r="Q582" i="19"/>
  <c r="Q99" i="19"/>
  <c r="Q520" i="19"/>
  <c r="Q167" i="19"/>
  <c r="Q222" i="19"/>
  <c r="Q309" i="19"/>
  <c r="Q26" i="19"/>
  <c r="Q523" i="19"/>
  <c r="Q541" i="19"/>
  <c r="Q138" i="19"/>
  <c r="Q208" i="19"/>
  <c r="Q474" i="19"/>
  <c r="Q368" i="19"/>
  <c r="Q420" i="19"/>
  <c r="Q585" i="19"/>
  <c r="Q305" i="19"/>
  <c r="Q56" i="19"/>
  <c r="Q372" i="19"/>
  <c r="Q246" i="19"/>
  <c r="Q135" i="19"/>
  <c r="Q265" i="19"/>
  <c r="Q318" i="19"/>
  <c r="Q470" i="19"/>
  <c r="Q38" i="19"/>
  <c r="Q324" i="19"/>
  <c r="Q134" i="19"/>
  <c r="Q8" i="19"/>
  <c r="Q406" i="19"/>
  <c r="Q281" i="19"/>
  <c r="Q174" i="19"/>
  <c r="Q583" i="19"/>
  <c r="Q175" i="19"/>
  <c r="Q81" i="19"/>
  <c r="Q102" i="19"/>
  <c r="Q453" i="19"/>
  <c r="Q398" i="19"/>
  <c r="Q342" i="19"/>
  <c r="Q485" i="19"/>
  <c r="Q429" i="19"/>
  <c r="Q262" i="19"/>
  <c r="Q535" i="19"/>
  <c r="Q148" i="19"/>
  <c r="Q587" i="19"/>
  <c r="Q320" i="19"/>
  <c r="Q140" i="19"/>
  <c r="Q465" i="19"/>
  <c r="Q130" i="19"/>
  <c r="Q65" i="19"/>
  <c r="Q171" i="19"/>
  <c r="Q128" i="19"/>
  <c r="Q218" i="19"/>
  <c r="Q293" i="19"/>
  <c r="Q205" i="19"/>
  <c r="Q486" i="19"/>
  <c r="Q67" i="19"/>
  <c r="Q344" i="19"/>
  <c r="Q421" i="19"/>
  <c r="Q412" i="19"/>
  <c r="Q60" i="19"/>
  <c r="Q41" i="19"/>
  <c r="Q382" i="19"/>
  <c r="Q146" i="19"/>
  <c r="Q319" i="19"/>
  <c r="Q244" i="19"/>
  <c r="Q160" i="19"/>
  <c r="Q116" i="19"/>
  <c r="Q298" i="19"/>
  <c r="Q303" i="19"/>
  <c r="Q104" i="19"/>
  <c r="Q32" i="19"/>
  <c r="Q516" i="19"/>
  <c r="Q233" i="19"/>
  <c r="Q92" i="19"/>
  <c r="Q263" i="19"/>
  <c r="Q235" i="19"/>
  <c r="Q45" i="19"/>
  <c r="Q490" i="19"/>
  <c r="Q436" i="19"/>
  <c r="Q332" i="19"/>
  <c r="Q101" i="19"/>
  <c r="Q498" i="19"/>
  <c r="Q189" i="19"/>
  <c r="Q464" i="19"/>
  <c r="Q414" i="19"/>
  <c r="Q385" i="19"/>
  <c r="Q472" i="19"/>
  <c r="Q488" i="19"/>
  <c r="Q270" i="19"/>
  <c r="Q422" i="19"/>
  <c r="Q87" i="19"/>
  <c r="Q188" i="19"/>
  <c r="Q73" i="19"/>
  <c r="Q224" i="19"/>
  <c r="Q285" i="19"/>
  <c r="Q37" i="19"/>
  <c r="Q572" i="19"/>
  <c r="Q431" i="19"/>
  <c r="Q154" i="19"/>
  <c r="Q16" i="19"/>
  <c r="Q383" i="19"/>
  <c r="Q230" i="19"/>
  <c r="Q479" i="19"/>
  <c r="Q103" i="19"/>
  <c r="Q264" i="19"/>
  <c r="Q22" i="19"/>
  <c r="Q201" i="19"/>
  <c r="Q314" i="19"/>
  <c r="Q468" i="19"/>
  <c r="Q487" i="19"/>
  <c r="Q91" i="19"/>
  <c r="Q77" i="19"/>
  <c r="Q592" i="19"/>
  <c r="Q80" i="19"/>
  <c r="Q510" i="19"/>
  <c r="Q561" i="19"/>
  <c r="Q284" i="19"/>
  <c r="Q98" i="19"/>
  <c r="Q126" i="19"/>
  <c r="C4" i="19"/>
  <c r="C4" i="20"/>
  <c r="Q30" i="20"/>
  <c r="Q29" i="20"/>
  <c r="Q28" i="20"/>
  <c r="Q27" i="20"/>
  <c r="Q26" i="20"/>
  <c r="Q25" i="20"/>
  <c r="Q24" i="20"/>
  <c r="Q23" i="20"/>
  <c r="Q22" i="20"/>
  <c r="Q21" i="20"/>
  <c r="Q20" i="20"/>
  <c r="Q19" i="20"/>
  <c r="Q18" i="20"/>
  <c r="Q17" i="20"/>
  <c r="Q16" i="20"/>
  <c r="Q15" i="20"/>
  <c r="Q14" i="20"/>
  <c r="Q13" i="20"/>
  <c r="Q12" i="20"/>
  <c r="Q11" i="20"/>
  <c r="Q10" i="20"/>
  <c r="Q9" i="20"/>
  <c r="Q8" i="20"/>
  <c r="Q23" i="18"/>
  <c r="Q55" i="18"/>
  <c r="Q32" i="18"/>
  <c r="Q50" i="18"/>
  <c r="Q15" i="18"/>
  <c r="Q105" i="18"/>
  <c r="Q41" i="18"/>
  <c r="Q18" i="18"/>
  <c r="Q19" i="18"/>
  <c r="Q22" i="18"/>
  <c r="Q27" i="18"/>
  <c r="Q52" i="18"/>
  <c r="Q54" i="18"/>
  <c r="Q85" i="18"/>
  <c r="Q56" i="18"/>
  <c r="Q44" i="18"/>
  <c r="Q37" i="18"/>
  <c r="Q43" i="18"/>
  <c r="Q49" i="18"/>
  <c r="Q20" i="18"/>
  <c r="Q61" i="18"/>
  <c r="Q26" i="18"/>
  <c r="Q29" i="18"/>
  <c r="Q76" i="18"/>
  <c r="Q51" i="18"/>
  <c r="Q79" i="18"/>
  <c r="Q46" i="18"/>
  <c r="Q80" i="18"/>
  <c r="Q21" i="18"/>
  <c r="Q38" i="18"/>
  <c r="Q57" i="18"/>
  <c r="Q45" i="18"/>
  <c r="Q53" i="18"/>
  <c r="Q65" i="18"/>
  <c r="Q97" i="18"/>
  <c r="Q9" i="18"/>
  <c r="Q88" i="18"/>
  <c r="Q77" i="18"/>
  <c r="W77" i="18" s="1"/>
  <c r="W3" i="18" s="1"/>
  <c r="W4" i="18" s="1"/>
  <c r="I23" i="2" s="1"/>
  <c r="Q78" i="18"/>
  <c r="Q31" i="18"/>
  <c r="Q101" i="18"/>
  <c r="Q16" i="18"/>
  <c r="Q66" i="18"/>
  <c r="Q17" i="18"/>
  <c r="Q86" i="18"/>
  <c r="Q24" i="18"/>
  <c r="Q33" i="18"/>
  <c r="Q28" i="18"/>
  <c r="Q103" i="18"/>
  <c r="Q8" i="18"/>
  <c r="Q74" i="18"/>
  <c r="Q95" i="18"/>
  <c r="Q75" i="18"/>
  <c r="Q25" i="18"/>
  <c r="Q99" i="18"/>
  <c r="Q91" i="18"/>
  <c r="Q98" i="18"/>
  <c r="Q73" i="18"/>
  <c r="Q47" i="18"/>
  <c r="Q62" i="18"/>
  <c r="Q14" i="18"/>
  <c r="Q96" i="18"/>
  <c r="Q83" i="18"/>
  <c r="Q68" i="18"/>
  <c r="Q40" i="18"/>
  <c r="Q87" i="18"/>
  <c r="Q30" i="18"/>
  <c r="Q69" i="18"/>
  <c r="Q92" i="18"/>
  <c r="Q100" i="18"/>
  <c r="Q108" i="18"/>
  <c r="Q106" i="18"/>
  <c r="Q64" i="18"/>
  <c r="Q82" i="18"/>
  <c r="Q94" i="18"/>
  <c r="Q89" i="18"/>
  <c r="Q81" i="18"/>
  <c r="Q36" i="18"/>
  <c r="Q84" i="18"/>
  <c r="Q71" i="18"/>
  <c r="Q70" i="18"/>
  <c r="Q72" i="18"/>
  <c r="Q42" i="18"/>
  <c r="Q93" i="18"/>
  <c r="Q90" i="18"/>
  <c r="Q67" i="18"/>
  <c r="Q104" i="18"/>
  <c r="Q63" i="18"/>
  <c r="Q102" i="18"/>
  <c r="Q12" i="18"/>
  <c r="Q59" i="18"/>
  <c r="Q39" i="18"/>
  <c r="Q107" i="18"/>
  <c r="Q13" i="18"/>
  <c r="Q60" i="18"/>
  <c r="Q48" i="18"/>
  <c r="Q58" i="18"/>
  <c r="Q34" i="18"/>
  <c r="Q10" i="18"/>
  <c r="Q35" i="18"/>
  <c r="Q11" i="18"/>
  <c r="C4" i="18"/>
  <c r="C4" i="17"/>
  <c r="Q8" i="16"/>
  <c r="Q12" i="16"/>
  <c r="Q13" i="16"/>
  <c r="Q15" i="16"/>
  <c r="Q16" i="16"/>
  <c r="Q18" i="16"/>
  <c r="Q20" i="16"/>
  <c r="Q22" i="16"/>
  <c r="Q25" i="16"/>
  <c r="Q26" i="16"/>
  <c r="Q27" i="16"/>
  <c r="Q30" i="16"/>
  <c r="Q33" i="16"/>
  <c r="Q35" i="16"/>
  <c r="Q36" i="16"/>
  <c r="Q37" i="16"/>
  <c r="Q38" i="16"/>
  <c r="Q39" i="16"/>
  <c r="Q40" i="16"/>
  <c r="Q43" i="16"/>
  <c r="Q44" i="16"/>
  <c r="Q46" i="16"/>
  <c r="Q47" i="16"/>
  <c r="Q48" i="16"/>
  <c r="Q49" i="16"/>
  <c r="Q50" i="16"/>
  <c r="Q51" i="16"/>
  <c r="Q52" i="16"/>
  <c r="Q55" i="16"/>
  <c r="Q57" i="16"/>
  <c r="Q60" i="16"/>
  <c r="Q59" i="16"/>
  <c r="Q58" i="16"/>
  <c r="Q61" i="16"/>
  <c r="Q62" i="16"/>
  <c r="Q64" i="16"/>
  <c r="Q65" i="16"/>
  <c r="Q67" i="16"/>
  <c r="Q68" i="16"/>
  <c r="Q69" i="16"/>
  <c r="Q73" i="16"/>
  <c r="Q72" i="16"/>
  <c r="Q74" i="16"/>
  <c r="Q76" i="16"/>
  <c r="Q78" i="16"/>
  <c r="Q80" i="16"/>
  <c r="Q82" i="16"/>
  <c r="Q83" i="16"/>
  <c r="Q84" i="16"/>
  <c r="Q85" i="16"/>
  <c r="Q88" i="16"/>
  <c r="Q89" i="16"/>
  <c r="Q90" i="16"/>
  <c r="Q93" i="16"/>
  <c r="Q94" i="16"/>
  <c r="Q95" i="16"/>
  <c r="Q99" i="16"/>
  <c r="Q100" i="16"/>
  <c r="Q101" i="16"/>
  <c r="Q107" i="16"/>
  <c r="Q108" i="16"/>
  <c r="Q110" i="16"/>
  <c r="Q111" i="16"/>
  <c r="Q115" i="16"/>
  <c r="Q116" i="16"/>
  <c r="Q117" i="16"/>
  <c r="Q119" i="16"/>
  <c r="Q120" i="16"/>
  <c r="Q122" i="16"/>
  <c r="Q123" i="16"/>
  <c r="Q124" i="16"/>
  <c r="Q126" i="16"/>
  <c r="Q127" i="16"/>
  <c r="Q129" i="16"/>
  <c r="Q130" i="16"/>
  <c r="Q131" i="16"/>
  <c r="Q135" i="16"/>
  <c r="Q136" i="16"/>
  <c r="Q137" i="16"/>
  <c r="Q142" i="16"/>
  <c r="Q141" i="16"/>
  <c r="Q140" i="16"/>
  <c r="Q139" i="16"/>
  <c r="Q138" i="16"/>
  <c r="Q144" i="16"/>
  <c r="Q145" i="16"/>
  <c r="Q146" i="16"/>
  <c r="Q148" i="16"/>
  <c r="Q152" i="16"/>
  <c r="Q151" i="16"/>
  <c r="Q150" i="16"/>
  <c r="Q154" i="16"/>
  <c r="Q153" i="16"/>
  <c r="Q157" i="16"/>
  <c r="Q158" i="16"/>
  <c r="Q159" i="16"/>
  <c r="Q160" i="16"/>
  <c r="Q161" i="16"/>
  <c r="Q164" i="16"/>
  <c r="Q165" i="16"/>
  <c r="Q166" i="16"/>
  <c r="Q169" i="16"/>
  <c r="Q170" i="16"/>
  <c r="Q171" i="16"/>
  <c r="Q173" i="16"/>
  <c r="Q172" i="16"/>
  <c r="Q175" i="16"/>
  <c r="Q179" i="16"/>
  <c r="Q183" i="16"/>
  <c r="Q188" i="16"/>
  <c r="Q189" i="16"/>
  <c r="Q191" i="16"/>
  <c r="Q192" i="16"/>
  <c r="Q193" i="16"/>
  <c r="Q194" i="16"/>
  <c r="Q195" i="16"/>
  <c r="Q196" i="16"/>
  <c r="Q198" i="16"/>
  <c r="Q197" i="16"/>
  <c r="Q199" i="16"/>
  <c r="Q200" i="16"/>
  <c r="Q201" i="16"/>
  <c r="Q202" i="16"/>
  <c r="Q203" i="16"/>
  <c r="Q206" i="16"/>
  <c r="Q205" i="16"/>
  <c r="Q207" i="16"/>
  <c r="Q208" i="16"/>
  <c r="Q209" i="16"/>
  <c r="Q210" i="16"/>
  <c r="Q211" i="16"/>
  <c r="Q215" i="16"/>
  <c r="Q214" i="16"/>
  <c r="Q213" i="16"/>
  <c r="Q216" i="16"/>
  <c r="Q220" i="16"/>
  <c r="Q219" i="16"/>
  <c r="Q218" i="16"/>
  <c r="Q217" i="16"/>
  <c r="Q221" i="16"/>
  <c r="Q212" i="16"/>
  <c r="Q204" i="16"/>
  <c r="Q190" i="16"/>
  <c r="Q187" i="16"/>
  <c r="Q186" i="16"/>
  <c r="Q185" i="16"/>
  <c r="Q184" i="16"/>
  <c r="Q182" i="16"/>
  <c r="Q181" i="16"/>
  <c r="Q180" i="16"/>
  <c r="Q178" i="16"/>
  <c r="Q177" i="16"/>
  <c r="Q176" i="16"/>
  <c r="Q174" i="16"/>
  <c r="Q168" i="16"/>
  <c r="Q167" i="16"/>
  <c r="Q163" i="16"/>
  <c r="Q162" i="16"/>
  <c r="Q156" i="16"/>
  <c r="Q155" i="16"/>
  <c r="Q149" i="16"/>
  <c r="Q147" i="16"/>
  <c r="Q143" i="16"/>
  <c r="Q134" i="16"/>
  <c r="Q133" i="16"/>
  <c r="Q132" i="16"/>
  <c r="Q128" i="16"/>
  <c r="Q125" i="16"/>
  <c r="Q121" i="16"/>
  <c r="Q118" i="16"/>
  <c r="Q114" i="16"/>
  <c r="Q113" i="16"/>
  <c r="Q112" i="16"/>
  <c r="Q109" i="16"/>
  <c r="Q106" i="16"/>
  <c r="Q105" i="16"/>
  <c r="Q104" i="16"/>
  <c r="Q103" i="16"/>
  <c r="Q102" i="16"/>
  <c r="Q98" i="16"/>
  <c r="Q97" i="16"/>
  <c r="Q96" i="16"/>
  <c r="Q92" i="16"/>
  <c r="Q91" i="16"/>
  <c r="Q87" i="16"/>
  <c r="Q86" i="16"/>
  <c r="Q81" i="16"/>
  <c r="Q79" i="16"/>
  <c r="Q77" i="16"/>
  <c r="Q75" i="16"/>
  <c r="Q71" i="16"/>
  <c r="Q70" i="16"/>
  <c r="Q66" i="16"/>
  <c r="Q63" i="16"/>
  <c r="Q56" i="16"/>
  <c r="Q54" i="16"/>
  <c r="Q53" i="16"/>
  <c r="Q45" i="16"/>
  <c r="Q42" i="16"/>
  <c r="Q41" i="16"/>
  <c r="Q34" i="16"/>
  <c r="Q32" i="16"/>
  <c r="Q31" i="16"/>
  <c r="Q29" i="16"/>
  <c r="Q28" i="16"/>
  <c r="Q24" i="16"/>
  <c r="Q23" i="16"/>
  <c r="Q21" i="16"/>
  <c r="Q19" i="16"/>
  <c r="Q17" i="16"/>
  <c r="Q14" i="16"/>
  <c r="Q11" i="16"/>
  <c r="Q10" i="16"/>
  <c r="Q9" i="16"/>
  <c r="C4" i="16"/>
  <c r="Q22" i="15"/>
  <c r="Q19" i="15"/>
  <c r="Q24" i="15"/>
  <c r="Q46" i="15"/>
  <c r="Q35" i="15"/>
  <c r="Q47" i="15"/>
  <c r="Q31" i="15"/>
  <c r="Q27" i="15"/>
  <c r="Q51" i="15"/>
  <c r="Q11" i="15"/>
  <c r="Q34" i="15"/>
  <c r="Q42" i="15"/>
  <c r="Q15" i="15"/>
  <c r="Q30" i="15"/>
  <c r="Q59" i="15"/>
  <c r="Q55" i="15"/>
  <c r="Q57" i="15"/>
  <c r="Q21" i="15"/>
  <c r="Q10" i="15"/>
  <c r="Q29" i="15"/>
  <c r="Q28" i="15"/>
  <c r="Q58" i="15"/>
  <c r="Q43" i="15"/>
  <c r="Q37" i="15"/>
  <c r="Q20" i="15"/>
  <c r="Q32" i="15"/>
  <c r="Q36" i="15"/>
  <c r="Q25" i="15"/>
  <c r="Q38" i="15"/>
  <c r="Q18" i="15"/>
  <c r="Q16" i="15"/>
  <c r="Q14" i="15"/>
  <c r="Q17" i="15"/>
  <c r="Q53" i="15"/>
  <c r="Q40" i="15"/>
  <c r="Q60" i="15"/>
  <c r="Q23" i="15"/>
  <c r="Q41" i="15"/>
  <c r="Q54" i="15"/>
  <c r="Q56" i="15"/>
  <c r="Q9" i="15"/>
  <c r="Q45" i="15"/>
  <c r="Q50" i="15"/>
  <c r="Q12" i="15"/>
  <c r="Q39" i="15"/>
  <c r="Q33" i="15"/>
  <c r="Q44" i="15"/>
  <c r="Q13" i="15"/>
  <c r="Q8" i="15"/>
  <c r="Q52" i="15"/>
  <c r="Q48" i="15"/>
  <c r="Q26" i="15"/>
  <c r="Q49" i="15"/>
  <c r="C4" i="15"/>
  <c r="AD4" i="19" l="1"/>
  <c r="Q26" i="14"/>
  <c r="Q12" i="14"/>
  <c r="Q35" i="14"/>
  <c r="Q8" i="14"/>
  <c r="Q20" i="14"/>
  <c r="Q39" i="14"/>
  <c r="Q24" i="14"/>
  <c r="Q25" i="14"/>
  <c r="Q33" i="14"/>
  <c r="Q38" i="14"/>
  <c r="Q41" i="14"/>
  <c r="Q16" i="14"/>
  <c r="Q17" i="14"/>
  <c r="Q14" i="14"/>
  <c r="Q31" i="14"/>
  <c r="Q9" i="14"/>
  <c r="Q23" i="14"/>
  <c r="Q30" i="14"/>
  <c r="Q32" i="14"/>
  <c r="Q42" i="14"/>
  <c r="Q18" i="14"/>
  <c r="Q45" i="14"/>
  <c r="Q29" i="14"/>
  <c r="Q28" i="14"/>
  <c r="Q43" i="14"/>
  <c r="Q15" i="14"/>
  <c r="Q40" i="14"/>
  <c r="Q10" i="14"/>
  <c r="Q27" i="14"/>
  <c r="Q19" i="14"/>
  <c r="Q44" i="14"/>
  <c r="Q13" i="14"/>
  <c r="Q34" i="14"/>
  <c r="Q36" i="14"/>
  <c r="Q37" i="14"/>
  <c r="Q22" i="14"/>
  <c r="Q11" i="14"/>
  <c r="Q21" i="14"/>
  <c r="C4" i="14"/>
  <c r="C4" i="12"/>
  <c r="Q9" i="12"/>
  <c r="Q10" i="12"/>
  <c r="Q11" i="12"/>
  <c r="Q12" i="12"/>
  <c r="Q13" i="12"/>
  <c r="Q14" i="12"/>
  <c r="Q15" i="12"/>
  <c r="Q16" i="12"/>
  <c r="Q8" i="12"/>
  <c r="Q212" i="11"/>
  <c r="Q14" i="11"/>
  <c r="Q132" i="11"/>
  <c r="Q152" i="11"/>
  <c r="Q117" i="11"/>
  <c r="Q210" i="11"/>
  <c r="Q72" i="11"/>
  <c r="Q198" i="11"/>
  <c r="Q196" i="11"/>
  <c r="Q143" i="11"/>
  <c r="Q110" i="11"/>
  <c r="Q96" i="11"/>
  <c r="Q163" i="11"/>
  <c r="Q79" i="11"/>
  <c r="Q187" i="11"/>
  <c r="Q10" i="11"/>
  <c r="Q137" i="11"/>
  <c r="Q28" i="11"/>
  <c r="Q17" i="11"/>
  <c r="Q173" i="11"/>
  <c r="Q43" i="11"/>
  <c r="Q48" i="11"/>
  <c r="Q121" i="11"/>
  <c r="Q84" i="11"/>
  <c r="Q41" i="11"/>
  <c r="Q147" i="11"/>
  <c r="Q8" i="11"/>
  <c r="Q195" i="11"/>
  <c r="Q139" i="11"/>
  <c r="Q37" i="11"/>
  <c r="Q130" i="11"/>
  <c r="Q56" i="11"/>
  <c r="Q126" i="11"/>
  <c r="Q141" i="11"/>
  <c r="Q38" i="11"/>
  <c r="Q202" i="11"/>
  <c r="Q171" i="11"/>
  <c r="Q135" i="11"/>
  <c r="Q138" i="11"/>
  <c r="Q75" i="11"/>
  <c r="Q178" i="11"/>
  <c r="Q53" i="11"/>
  <c r="Q49" i="11"/>
  <c r="Q13" i="11"/>
  <c r="Q20" i="11"/>
  <c r="Q90" i="11"/>
  <c r="Q68" i="11"/>
  <c r="Q29" i="11"/>
  <c r="Q180" i="11"/>
  <c r="Q177" i="11"/>
  <c r="Q119" i="11"/>
  <c r="Q25" i="11"/>
  <c r="Q78" i="11"/>
  <c r="Q63" i="11"/>
  <c r="Q93" i="11"/>
  <c r="Q55" i="11"/>
  <c r="Q145" i="11"/>
  <c r="Q12" i="11"/>
  <c r="Q123" i="11"/>
  <c r="Q45" i="11"/>
  <c r="Q19" i="11"/>
  <c r="Q52" i="11"/>
  <c r="Q62" i="11"/>
  <c r="Q65" i="11"/>
  <c r="Q179" i="11"/>
  <c r="Q150" i="11"/>
  <c r="Q122" i="11"/>
  <c r="Q87" i="11"/>
  <c r="Q159" i="11"/>
  <c r="Q158" i="11"/>
  <c r="Q157" i="11"/>
  <c r="Q31" i="11"/>
  <c r="Q22" i="11"/>
  <c r="Q23" i="11"/>
  <c r="Q95" i="11"/>
  <c r="Q209" i="11"/>
  <c r="Q92" i="11"/>
  <c r="Q175" i="11"/>
  <c r="Q136" i="11"/>
  <c r="Q127" i="11"/>
  <c r="Q81" i="11"/>
  <c r="Q156" i="11"/>
  <c r="Q76" i="11"/>
  <c r="Q74" i="11"/>
  <c r="Q40" i="11"/>
  <c r="Q82" i="11"/>
  <c r="Q161" i="11"/>
  <c r="Q105" i="11"/>
  <c r="Q165" i="11"/>
  <c r="Q73" i="11"/>
  <c r="Q85" i="11"/>
  <c r="Q168" i="11"/>
  <c r="Q170" i="11"/>
  <c r="Q162" i="11"/>
  <c r="Q197" i="11"/>
  <c r="Q11" i="11"/>
  <c r="Q118" i="11"/>
  <c r="Q70" i="11"/>
  <c r="Q109" i="11"/>
  <c r="Q51" i="11"/>
  <c r="Q86" i="11"/>
  <c r="Q66" i="11"/>
  <c r="Q102" i="11"/>
  <c r="Q172" i="11"/>
  <c r="Q203" i="11"/>
  <c r="Q181" i="11"/>
  <c r="Q69" i="11"/>
  <c r="Q199" i="11"/>
  <c r="Q129" i="11"/>
  <c r="Q61" i="11"/>
  <c r="Q151" i="11"/>
  <c r="Q134" i="11"/>
  <c r="Q160" i="11"/>
  <c r="Q88" i="11"/>
  <c r="Q214" i="11"/>
  <c r="Q182" i="11"/>
  <c r="Q146" i="11"/>
  <c r="Q167" i="11"/>
  <c r="Q27" i="11"/>
  <c r="Q189" i="11"/>
  <c r="Q207" i="11"/>
  <c r="Q148" i="11"/>
  <c r="Q112" i="11"/>
  <c r="Q133" i="11"/>
  <c r="Q64" i="11"/>
  <c r="Q89" i="11"/>
  <c r="Q194" i="11"/>
  <c r="Q192" i="11"/>
  <c r="Q15" i="11"/>
  <c r="Q128" i="11"/>
  <c r="Q39" i="11"/>
  <c r="Q144" i="11"/>
  <c r="Q106" i="11"/>
  <c r="Q83" i="11"/>
  <c r="Q58" i="11"/>
  <c r="Q188" i="11"/>
  <c r="Q98" i="11"/>
  <c r="Q155" i="11"/>
  <c r="Q193" i="11"/>
  <c r="Q200" i="11"/>
  <c r="Q115" i="11"/>
  <c r="Q36" i="11"/>
  <c r="Q26" i="11"/>
  <c r="Q46" i="11"/>
  <c r="Q16" i="11"/>
  <c r="Q185" i="11"/>
  <c r="Q169" i="11"/>
  <c r="Q176" i="11"/>
  <c r="Q47" i="11"/>
  <c r="Q54" i="11"/>
  <c r="Q57" i="11"/>
  <c r="Q42" i="11"/>
  <c r="Q18" i="11"/>
  <c r="Q164" i="11"/>
  <c r="Q204" i="11"/>
  <c r="Q34" i="11"/>
  <c r="Q80" i="11"/>
  <c r="Q101" i="11"/>
  <c r="Q186" i="11"/>
  <c r="Q153" i="11"/>
  <c r="Q111" i="11"/>
  <c r="Q67" i="11"/>
  <c r="Q59" i="11"/>
  <c r="Q33" i="11"/>
  <c r="Q32" i="11"/>
  <c r="Q208" i="11"/>
  <c r="Q113" i="11"/>
  <c r="Q77" i="11"/>
  <c r="Q116" i="11"/>
  <c r="Q174" i="11"/>
  <c r="Q206" i="11"/>
  <c r="Q107" i="11"/>
  <c r="Q183" i="11"/>
  <c r="Q190" i="11"/>
  <c r="Q94" i="11"/>
  <c r="Q201" i="11"/>
  <c r="Q30" i="11"/>
  <c r="Q131" i="11"/>
  <c r="Q104" i="11"/>
  <c r="Q211" i="11"/>
  <c r="Q154" i="11"/>
  <c r="Q205" i="11"/>
  <c r="Q140" i="11"/>
  <c r="Q9" i="11"/>
  <c r="Q125" i="11"/>
  <c r="Q103" i="11"/>
  <c r="Q60" i="11"/>
  <c r="Q124" i="11"/>
  <c r="Q191" i="11"/>
  <c r="Q71" i="11"/>
  <c r="Q108" i="11"/>
  <c r="Q142" i="11"/>
  <c r="Q114" i="11"/>
  <c r="Q35" i="11"/>
  <c r="Q50" i="11"/>
  <c r="Q149" i="11"/>
  <c r="Q21" i="11"/>
  <c r="Q184" i="11"/>
  <c r="Q166" i="11"/>
  <c r="Q99" i="11"/>
  <c r="Q100" i="11"/>
  <c r="Q213" i="11"/>
  <c r="Q120" i="11"/>
  <c r="Q44" i="11"/>
  <c r="Q91" i="11"/>
  <c r="Q97" i="11"/>
  <c r="Q24" i="11"/>
  <c r="C4" i="11"/>
  <c r="P25" i="2" l="1"/>
  <c r="AD5" i="19"/>
  <c r="C4" i="10"/>
  <c r="C4" i="9" l="1"/>
  <c r="Q8" i="9"/>
  <c r="Q10" i="9"/>
  <c r="Q15" i="9"/>
  <c r="Q16" i="9"/>
  <c r="Q13" i="9"/>
  <c r="Q17" i="9"/>
  <c r="Q14" i="9"/>
  <c r="Q11" i="9"/>
  <c r="Q12" i="9"/>
  <c r="Q9" i="9"/>
  <c r="C4" i="8"/>
  <c r="AE3" i="8"/>
  <c r="AE4" i="8"/>
  <c r="AD4" i="8"/>
  <c r="AD3" i="8"/>
  <c r="Q9" i="8"/>
  <c r="Q10" i="8"/>
  <c r="Q11" i="8"/>
  <c r="Q12" i="8"/>
  <c r="Q13" i="8"/>
  <c r="Q8" i="8"/>
  <c r="C4" i="7"/>
  <c r="AC3" i="6"/>
  <c r="U4" i="6"/>
  <c r="Q107" i="6"/>
  <c r="AC4" i="6"/>
  <c r="Q13" i="2" l="1"/>
  <c r="C4" i="5"/>
  <c r="Q14" i="5"/>
  <c r="Q20" i="5"/>
  <c r="Q8" i="5"/>
  <c r="Q15" i="5"/>
  <c r="Q11" i="5"/>
  <c r="Q9" i="5"/>
  <c r="Q19" i="5"/>
  <c r="Q18" i="5"/>
  <c r="Q17" i="5"/>
  <c r="Q10" i="5"/>
  <c r="Q16" i="5"/>
  <c r="Q13" i="5"/>
  <c r="Q12" i="5"/>
  <c r="C4" i="4"/>
  <c r="U5" i="20"/>
  <c r="H24" i="2" s="1"/>
  <c r="U4" i="20"/>
  <c r="G24" i="2" s="1"/>
  <c r="V4" i="17"/>
  <c r="G22" i="2" s="1"/>
  <c r="U5" i="16"/>
  <c r="H21" i="2" s="1"/>
  <c r="U4" i="16"/>
  <c r="G21" i="2" s="1"/>
  <c r="V4" i="14"/>
  <c r="H19" i="2" s="1"/>
  <c r="V3" i="14"/>
  <c r="G19" i="2" s="1"/>
  <c r="V5" i="12"/>
  <c r="H17" i="2" s="1"/>
  <c r="V4" i="12"/>
  <c r="G17" i="2" s="1"/>
  <c r="U5" i="9"/>
  <c r="U4" i="9"/>
  <c r="H13" i="2"/>
  <c r="G13" i="2"/>
  <c r="S5" i="7"/>
  <c r="H12" i="2" s="1"/>
  <c r="S4" i="7"/>
  <c r="G12" i="2" s="1"/>
  <c r="V5" i="5"/>
  <c r="H10" i="2" s="1"/>
  <c r="V4" i="5"/>
  <c r="G10" i="2" s="1"/>
  <c r="U5" i="6"/>
  <c r="H11" i="2" s="1"/>
  <c r="G11" i="2"/>
  <c r="AE4" i="4"/>
  <c r="AD4" i="4"/>
  <c r="V4" i="4"/>
  <c r="G9" i="2" s="1"/>
  <c r="AG312" i="19" l="1"/>
  <c r="C2" i="19"/>
  <c r="C1" i="19"/>
  <c r="C2" i="20"/>
  <c r="C1" i="20"/>
  <c r="V2" i="18"/>
  <c r="C2" i="18"/>
  <c r="C1" i="18"/>
  <c r="C2" i="17"/>
  <c r="C1" i="17"/>
  <c r="C3" i="17" s="1"/>
  <c r="C2" i="16"/>
  <c r="C1" i="16"/>
  <c r="C2" i="15"/>
  <c r="C1" i="15"/>
  <c r="C2" i="14"/>
  <c r="C1" i="14"/>
  <c r="C2" i="12"/>
  <c r="C1" i="12"/>
  <c r="AD5" i="4"/>
  <c r="AE5" i="4"/>
  <c r="C2" i="11"/>
  <c r="C1" i="11"/>
  <c r="V3" i="10"/>
  <c r="C2" i="10"/>
  <c r="C1" i="10"/>
  <c r="C2" i="9"/>
  <c r="C1" i="9"/>
  <c r="C2" i="8"/>
  <c r="C1" i="8"/>
  <c r="C2" i="7"/>
  <c r="C1" i="7"/>
  <c r="C5" i="7" s="1"/>
  <c r="C2" i="6"/>
  <c r="C1" i="6"/>
  <c r="C5" i="6" s="1"/>
  <c r="C2" i="5"/>
  <c r="C1" i="5"/>
  <c r="C2" i="4"/>
  <c r="C1" i="4"/>
  <c r="H15" i="2" l="1"/>
  <c r="V4" i="10"/>
  <c r="G23" i="2"/>
  <c r="G20" i="2"/>
  <c r="V3" i="19"/>
  <c r="H20" i="2"/>
  <c r="C5" i="12"/>
  <c r="V3" i="11"/>
  <c r="V4" i="11"/>
  <c r="H16" i="2" s="1"/>
  <c r="V2" i="10"/>
  <c r="C5" i="9"/>
  <c r="F9" i="2"/>
  <c r="V5" i="4"/>
  <c r="H9" i="2" s="1"/>
  <c r="P29" i="2"/>
  <c r="P4" i="2" s="1"/>
  <c r="V3" i="18"/>
  <c r="H23" i="2" s="1"/>
  <c r="C5" i="19"/>
  <c r="C5" i="20"/>
  <c r="C5" i="18"/>
  <c r="C5" i="17"/>
  <c r="C5" i="16"/>
  <c r="C5" i="15"/>
  <c r="C5" i="14"/>
  <c r="K29" i="2"/>
  <c r="C5" i="11"/>
  <c r="C5" i="10"/>
  <c r="M29" i="2"/>
  <c r="R29" i="2"/>
  <c r="C5" i="8"/>
  <c r="O29" i="2"/>
  <c r="I29" i="2"/>
  <c r="I4" i="2" s="1"/>
  <c r="N29" i="2"/>
  <c r="C5" i="5"/>
  <c r="J29" i="2"/>
  <c r="C5" i="4"/>
  <c r="G15" i="2" l="1"/>
  <c r="F15" i="2"/>
  <c r="G25" i="2"/>
  <c r="F23" i="2"/>
  <c r="V4" i="18"/>
  <c r="V5" i="15"/>
  <c r="F20" i="2"/>
  <c r="G16" i="2"/>
  <c r="V5" i="11"/>
  <c r="F16" i="2"/>
  <c r="L29" i="2"/>
  <c r="Q29" i="2"/>
  <c r="Q4" i="2" s="1"/>
  <c r="G29" i="2" l="1"/>
  <c r="V5" i="17"/>
  <c r="H22" i="2" s="1"/>
  <c r="V4" i="19"/>
  <c r="V5" i="19" s="1"/>
  <c r="H25" i="2" l="1"/>
  <c r="H29" i="2" s="1"/>
  <c r="F25" i="2"/>
  <c r="F29" i="2" s="1"/>
  <c r="F4" i="2" s="1"/>
</calcChain>
</file>

<file path=xl/sharedStrings.xml><?xml version="1.0" encoding="utf-8"?>
<sst xmlns="http://schemas.openxmlformats.org/spreadsheetml/2006/main" count="14819" uniqueCount="2510">
  <si>
    <t>AU001</t>
  </si>
  <si>
    <t>5100999000</t>
  </si>
  <si>
    <t>Other office expenses</t>
  </si>
  <si>
    <t>Training expenses</t>
  </si>
  <si>
    <t>5140001010</t>
  </si>
  <si>
    <t>External Training and Seminars</t>
  </si>
  <si>
    <t>Publicity/advertising</t>
  </si>
  <si>
    <t>5160007000</t>
  </si>
  <si>
    <t>Sponsoring</t>
  </si>
  <si>
    <t>5160008000</t>
  </si>
  <si>
    <t>Promotional gifts</t>
  </si>
  <si>
    <t>5160010000</t>
  </si>
  <si>
    <t>Marketing expense</t>
  </si>
  <si>
    <t>Business development</t>
  </si>
  <si>
    <t>5160999000</t>
  </si>
  <si>
    <t>Public relations</t>
  </si>
  <si>
    <t>Advice Tax &amp; Legal expenses</t>
  </si>
  <si>
    <t>5190001000</t>
  </si>
  <si>
    <t>Contributions&amp; club membershi</t>
  </si>
  <si>
    <t>5200006000</t>
  </si>
  <si>
    <t>Meeting costs</t>
  </si>
  <si>
    <t>5200999000</t>
  </si>
  <si>
    <t>Miscellaneous expenses</t>
  </si>
  <si>
    <t>Sundry expenses</t>
  </si>
  <si>
    <t>5200999020</t>
  </si>
  <si>
    <t>5900050000</t>
  </si>
  <si>
    <t>Other non banking expenses</t>
  </si>
  <si>
    <t>AU052</t>
  </si>
  <si>
    <t>5140001030</t>
  </si>
  <si>
    <t>Training travel and lodging ex</t>
  </si>
  <si>
    <t>5160002000</t>
  </si>
  <si>
    <t>Client periodicals/magazines</t>
  </si>
  <si>
    <t>Opening jubilees own buildin</t>
  </si>
  <si>
    <t>Donations</t>
  </si>
  <si>
    <t xml:space="preserve">Rabobank Australia </t>
  </si>
  <si>
    <t>Income tax purposes</t>
  </si>
  <si>
    <t>Per TB</t>
  </si>
  <si>
    <t>Tax Description</t>
  </si>
  <si>
    <t>ME?
Y/N</t>
  </si>
  <si>
    <t>ME
$</t>
  </si>
  <si>
    <t>Not ME but other type of FB
Y/N</t>
  </si>
  <si>
    <t>Not ME but other type of FB ==&gt;
$</t>
  </si>
  <si>
    <t>Nets to Nil in GL accts</t>
  </si>
  <si>
    <t xml:space="preserve">s58P M&amp;I or 
Bus Exp - notFB </t>
  </si>
  <si>
    <t>ME</t>
  </si>
  <si>
    <t>Car FB - addn op costs</t>
  </si>
  <si>
    <t>CP Exp FB</t>
  </si>
  <si>
    <t xml:space="preserve">Capital expenditure </t>
  </si>
  <si>
    <t>No FBT and not ded</t>
  </si>
  <si>
    <t>Additional Comments</t>
  </si>
  <si>
    <t xml:space="preserve">Prepared by </t>
  </si>
  <si>
    <t xml:space="preserve">Reviewed By </t>
  </si>
  <si>
    <t>Account#</t>
  </si>
  <si>
    <t>Account Description</t>
  </si>
  <si>
    <t>Y</t>
  </si>
  <si>
    <t>N</t>
  </si>
  <si>
    <t xml:space="preserve">Includes meal entertainment subject to FBT using 50/50 method </t>
  </si>
  <si>
    <t>Contributions&amp; club membership</t>
  </si>
  <si>
    <t xml:space="preserve">Total </t>
  </si>
  <si>
    <t>Account Number</t>
  </si>
  <si>
    <t>Account Name</t>
  </si>
  <si>
    <t xml:space="preserve">GL Total </t>
  </si>
  <si>
    <t xml:space="preserve">Variance </t>
  </si>
  <si>
    <t>BUSINESS_UNIT_CODE</t>
  </si>
  <si>
    <t>ACCOUNT_CODE</t>
  </si>
  <si>
    <t>DESCRIPTION</t>
  </si>
  <si>
    <t>BASE_AMOUNT</t>
  </si>
  <si>
    <t>BASE_CURRENCY_CODE</t>
  </si>
  <si>
    <t>JOURNAL_DATE</t>
  </si>
  <si>
    <t>DESCR</t>
  </si>
  <si>
    <t>LINE_DESCR</t>
  </si>
  <si>
    <t>PURPOSE</t>
  </si>
  <si>
    <t>INVOICE_DESCR</t>
  </si>
  <si>
    <t>INVOICE_ID</t>
  </si>
  <si>
    <t>VENDOR_NAME</t>
  </si>
  <si>
    <t>EMPLOYEE_NAME</t>
  </si>
  <si>
    <t>Search Terms</t>
  </si>
  <si>
    <t>AUQ</t>
  </si>
  <si>
    <t>AP Accruals</t>
  </si>
  <si>
    <t>CCMS</t>
  </si>
  <si>
    <t>Training</t>
  </si>
  <si>
    <t>KWIK KOPY PRINTING CENTRE CENTRAL CITY</t>
  </si>
  <si>
    <t/>
  </si>
  <si>
    <t>HonnefP-Default Licensee Merch</t>
  </si>
  <si>
    <t>FINANCIAL EDUCATION PROFFESIONALS PTYLTD</t>
  </si>
  <si>
    <t>OU change from 24104 to 25103</t>
  </si>
  <si>
    <t>LANGLEY GROUP PTY LTD</t>
  </si>
  <si>
    <t>Graduate development workshop</t>
  </si>
  <si>
    <t>OUTSOURCED SOLUTIONS PRIVATE LIMITED</t>
  </si>
  <si>
    <t>ThomasJ1-Default Licensee Merc</t>
  </si>
  <si>
    <t>EllisT-Domestic &amp; Overseas lod</t>
  </si>
  <si>
    <t>EllisT-Offshore Meals &amp; Lodgin</t>
  </si>
  <si>
    <t>PriceC-Offshore Meals &amp; Lodgin</t>
  </si>
  <si>
    <t>SchofieldL-Default Licensee Me</t>
  </si>
  <si>
    <t>FIRTHG-Default Licensee Mercha</t>
  </si>
  <si>
    <t xml:space="preserve">ABS </t>
  </si>
  <si>
    <t>No FBT, Tax deductible</t>
  </si>
  <si>
    <t>Business expense</t>
  </si>
  <si>
    <t>Notes:</t>
  </si>
  <si>
    <t xml:space="preserve">Expenditure on university courses and other courses conferences attended by employees.  These are not considered REAP but are in </t>
  </si>
  <si>
    <t>relation to the employees current roles so would be otherwise deductible for income tax purposes.  No FBT will apply to these expenses.</t>
  </si>
  <si>
    <t>McconvilleP-Default Licensee M</t>
  </si>
  <si>
    <t>No ME included.  All tax deductible</t>
  </si>
  <si>
    <t>T24 Rabo Direct Australia</t>
  </si>
  <si>
    <t>TURNKEY PROMOTIONS</t>
  </si>
  <si>
    <t>CENTIUM SOFTWARE PTY LTD TA EVENTSAIR</t>
  </si>
  <si>
    <t>SOLUTION ENTERTAINMENT</t>
  </si>
  <si>
    <t>MURRAY DAIRY LIMITED</t>
  </si>
  <si>
    <t>VISION 6 PTY LTD</t>
  </si>
  <si>
    <t>AUSTRALIA POST ACCT NO 102088</t>
  </si>
  <si>
    <t>LIGHTHOUSE PRINT GROUP</t>
  </si>
  <si>
    <t>Vision6 subscription</t>
  </si>
  <si>
    <t>AUSTRALIAN DAIRY CONFERENCE</t>
  </si>
  <si>
    <t>QUALITY EVENT HIRE PTY LTD</t>
  </si>
  <si>
    <t>Gannon Discussion Group</t>
  </si>
  <si>
    <t>GANNON AGRIBUSINESS</t>
  </si>
  <si>
    <t>SOUPCAN PTY LTD</t>
  </si>
  <si>
    <t>STREEM PTY LTD</t>
  </si>
  <si>
    <t>NICK BAKER</t>
  </si>
  <si>
    <t>PL Reval Journals</t>
  </si>
  <si>
    <t>GL Revaluation</t>
  </si>
  <si>
    <t>CANSTAR PTY LIMITED</t>
  </si>
  <si>
    <t>THE FINANCIAL BLOKE GROUP PTY LTD</t>
  </si>
  <si>
    <t>OoiS-Default Licensee Merchant</t>
  </si>
  <si>
    <t>Wholesale SMS text to clients</t>
  </si>
  <si>
    <t>JINNAKAE-Default Licensee Merc</t>
  </si>
  <si>
    <t>SHAWD-Contributions &amp; Club Mem</t>
  </si>
  <si>
    <t>SHAWD-Default Licensee Merchan</t>
  </si>
  <si>
    <t>monthly Aus subscription</t>
  </si>
  <si>
    <t>TierneyA-Default Licensee Merc</t>
  </si>
  <si>
    <t>MURPHY CARLISLE</t>
  </si>
  <si>
    <t>EllisT-Default Licensee Mercha</t>
  </si>
  <si>
    <t>CraneB-Default Licensee Mercha</t>
  </si>
  <si>
    <t>Gidley-BairdD-Default Licensee</t>
  </si>
  <si>
    <t>JASPERMI-Office Supplies</t>
  </si>
  <si>
    <t>PriceC-Default Licensee Mercha</t>
  </si>
  <si>
    <t>FelanT-Default Licensee Mercha</t>
  </si>
  <si>
    <t>SturgissH-Default Licensee Mer</t>
  </si>
  <si>
    <t>Sponsorship is deductible under s8-1 as it promotes the business and the expectation is that it will generate future business</t>
  </si>
  <si>
    <t>Rabobank truck expenses have been treated as deductible on the basis that they are a marketing expense under s8-1</t>
  </si>
  <si>
    <t>No entertainment expenses included and all tax deductible</t>
  </si>
  <si>
    <t xml:space="preserve">All field day expenses have been treated as deductible </t>
  </si>
  <si>
    <t xml:space="preserve">Marquees, furniture and other associated costs at field day events are a business expense and not a recreational event - treated as tax deductible and not subject to FBT </t>
  </si>
  <si>
    <t>TOPSY TURVEY PTY LTD</t>
  </si>
  <si>
    <t>PERPETUAL SERVICES PTY LTD</t>
  </si>
  <si>
    <t>CLEMENTSP-Default Licensee Mer</t>
  </si>
  <si>
    <t>KeoC-Default Licensee Merchant</t>
  </si>
  <si>
    <t>SACCHETTIL-Contributions &amp; Clu</t>
  </si>
  <si>
    <t>AFR monthly subscription for Geerten Battjes</t>
  </si>
  <si>
    <t>McfarlaneT-Default Licensee Me</t>
  </si>
  <si>
    <t>Fishing License</t>
  </si>
  <si>
    <t xml:space="preserve">The cost of renewing practicing certificates, memberships and accreditations required to work in the in field have been treated as tax deductible and </t>
  </si>
  <si>
    <t xml:space="preserve">no FBT on the basis that they are otherwise deductible. </t>
  </si>
  <si>
    <t>All other professional memberships and subscribtions have been treated as no FBT and tax deductible under s8-1</t>
  </si>
  <si>
    <t>Milk for office</t>
  </si>
  <si>
    <t>HallidayA-Office Supplies</t>
  </si>
  <si>
    <t>Milk</t>
  </si>
  <si>
    <t>HallidayA-Default Licensee Mer</t>
  </si>
  <si>
    <t>HallidayA-Offshore Meals &amp; Lod</t>
  </si>
  <si>
    <t>Coffee</t>
  </si>
  <si>
    <t>KeoC-Offshore Meals &amp; Lodging</t>
  </si>
  <si>
    <t>T24 Australia</t>
  </si>
  <si>
    <t>9999999</t>
  </si>
  <si>
    <t>Small Balances clean-up</t>
  </si>
  <si>
    <t>Clear returned funds</t>
  </si>
  <si>
    <t>NEVERFAIL SPRINGWATER LIMITED(100014803)</t>
  </si>
  <si>
    <t>DAILY I/CHANGE FEES</t>
  </si>
  <si>
    <t>McCallumA-Default Licensee Mer</t>
  </si>
  <si>
    <t>WebbO-Office Supplies</t>
  </si>
  <si>
    <t>Office Groceries</t>
  </si>
  <si>
    <t>MCDONALDK-Default Licensee Mer</t>
  </si>
  <si>
    <t>Office Supplies</t>
  </si>
  <si>
    <t>HorriganAY-Office Supplies</t>
  </si>
  <si>
    <t>Dalby - Morning Tea - Staff</t>
  </si>
  <si>
    <t>ThomasJ2-Default Licensee Merc</t>
  </si>
  <si>
    <t xml:space="preserve">Costs associated with Client Council events such as accomodation, catering, venue hire, flights have been treated as tax deductible and no FBT on the basis that they are a business expense.  </t>
  </si>
  <si>
    <t xml:space="preserve">Costs associated with staff conferences are tax deductible if the conference is greater than 4 hours.  The offsite is for an entire day so greater than 4 hours.  The dinner and drinks in the evening have been classified </t>
  </si>
  <si>
    <t>as meal entertainment and subject to FBT using 50/50 method.</t>
  </si>
  <si>
    <t xml:space="preserve">Sustainability benefit </t>
  </si>
  <si>
    <t xml:space="preserve">No meal entertainment or capital expenditure </t>
  </si>
  <si>
    <t xml:space="preserve">One amount for sustainability benefit.  Check against HR report </t>
  </si>
  <si>
    <t>SHES APPLES</t>
  </si>
  <si>
    <t>Staff function treated as staff entertainment</t>
  </si>
  <si>
    <t>AUSTRALIA POST 5869859</t>
  </si>
  <si>
    <t>RSA TOKEN INVOICE PERIOD ENDIN</t>
  </si>
  <si>
    <t>CANON BUSINESS SERVICES AUSTRALIA PTY</t>
  </si>
  <si>
    <t>NORTH WEST FINANCE PL TA NORTH WEST AGRI</t>
  </si>
  <si>
    <t>YARRA VALLEY LODGE RE SANDHURST TRUSTEES</t>
  </si>
  <si>
    <t>EQUIFAX AUSTRALIA INFORMATION SERVICES</t>
  </si>
  <si>
    <t>EVENT TRAVEL MANAGEMENT</t>
  </si>
  <si>
    <t>DulmEJK2-Default Licensee Merc</t>
  </si>
  <si>
    <t xml:space="preserve">Business expenses </t>
  </si>
  <si>
    <t>All business expenses.  Treat as deductible</t>
  </si>
  <si>
    <t>Kitchen supplies</t>
  </si>
  <si>
    <t>SWINTONS IGA</t>
  </si>
  <si>
    <t>IRON MOUNTAIN AUSTRALIA GROUP PTY LTD</t>
  </si>
  <si>
    <t>Newspaper subscription</t>
  </si>
  <si>
    <t>GIBSON SOAK WATER COMPANY</t>
  </si>
  <si>
    <t>Replacement water bottles for</t>
  </si>
  <si>
    <t>fennellLJ-Office Supplies</t>
  </si>
  <si>
    <t>Bendigo branch supplies</t>
  </si>
  <si>
    <t>makehamaj-Office Supplies</t>
  </si>
  <si>
    <t>Kitchen &amp; Bathroom supplies</t>
  </si>
  <si>
    <t>WilsonE3-Office Supplies</t>
  </si>
  <si>
    <t>THE FRUIT BOX GROUP PTY LTD</t>
  </si>
  <si>
    <t>Nespresso Pods</t>
  </si>
  <si>
    <t>NESPRESSO CLUB</t>
  </si>
  <si>
    <t>Monthly Linen Hire for L16 Exe</t>
  </si>
  <si>
    <t>ALSCO SYDNEY T A ALSCO PTY LTD</t>
  </si>
  <si>
    <t>KnowlesB-Costs own Car Fleet</t>
  </si>
  <si>
    <t>Milk for Branch</t>
  </si>
  <si>
    <t>COUNTRY FRUIT DISTRIBUTORS</t>
  </si>
  <si>
    <t>MICHAEL S SUPA IGA</t>
  </si>
  <si>
    <t>ThomasJ1-Office Supplies</t>
  </si>
  <si>
    <t>Office expenses - branch milk</t>
  </si>
  <si>
    <t>SvanosioG-Office Supplies</t>
  </si>
  <si>
    <t>VosR5-Default Licensee Merchan</t>
  </si>
  <si>
    <t>VosR5-Office Supplies</t>
  </si>
  <si>
    <t>MOUNT LOFTY SPRINGS</t>
  </si>
  <si>
    <t>Office Expenses</t>
  </si>
  <si>
    <t>IrwinP-Office Supplies</t>
  </si>
  <si>
    <t>WESTRIDGE FRUIT AND VEGETABLES</t>
  </si>
  <si>
    <t>THE STORE ON EAGLE</t>
  </si>
  <si>
    <t>CampbellL-Office Supplies</t>
  </si>
  <si>
    <t>DavisM2-Office Supplies</t>
  </si>
  <si>
    <t>branch supplies</t>
  </si>
  <si>
    <t>BriginshawZ-Office Supplies</t>
  </si>
  <si>
    <t>CraneB-Office Supplies</t>
  </si>
  <si>
    <t>GoodwinM1-Office Supplies</t>
  </si>
  <si>
    <t>PriceC-Office Supplies</t>
  </si>
  <si>
    <t>CoxJ-Office Supplies</t>
  </si>
  <si>
    <t>DavisM2-Default Licensee Merch</t>
  </si>
  <si>
    <t>WAGGA CATERING EQUIPMENT</t>
  </si>
  <si>
    <t>CowanA-Offshore Meals &amp; Lodgin</t>
  </si>
  <si>
    <t>EllisT-Office Supplies</t>
  </si>
  <si>
    <t>Orange Office Kitchen Supplies</t>
  </si>
  <si>
    <t>KrugerG-Office Supplies</t>
  </si>
  <si>
    <t>HudsonM1-Default Licensee Merc</t>
  </si>
  <si>
    <t>MuscatM-Office Supplies</t>
  </si>
  <si>
    <t>Purchase office supplies - Milk</t>
  </si>
  <si>
    <t>NorthcottM-Office Supplies</t>
  </si>
  <si>
    <t>Milk for Kadina branch</t>
  </si>
  <si>
    <t>SIMMONSM-Office Supplies</t>
  </si>
  <si>
    <t>Branch Morning tea supplies</t>
  </si>
  <si>
    <t>RIGHETTIM-Costs own Car Fleet</t>
  </si>
  <si>
    <t>CONNOLLYB-Office Supplies</t>
  </si>
  <si>
    <t>CONNOLLYB-Offshore Meals &amp; Lod</t>
  </si>
  <si>
    <t>BROOKDS-Office Supplies</t>
  </si>
  <si>
    <t>office coffee</t>
  </si>
  <si>
    <t>Milk - Bendigo branch</t>
  </si>
  <si>
    <t>Milk for Perth office</t>
  </si>
  <si>
    <t>DuftyW-Office Supplies</t>
  </si>
  <si>
    <t>Groceries for the Office</t>
  </si>
  <si>
    <t>GoodwinP-Office Supplies</t>
  </si>
  <si>
    <t>ROBINSONPJ-Office Supplies</t>
  </si>
  <si>
    <t>Adelaide office - Milk, Fruit, Drinks</t>
  </si>
  <si>
    <t>Atherton Branch refreshments</t>
  </si>
  <si>
    <t>MorganL-Office Supplies</t>
  </si>
  <si>
    <t>TriplettT-Offshore Meals &amp; Lod</t>
  </si>
  <si>
    <t>Weekly Branch Fruit &amp; Milk Delivery - Tim Triplett</t>
  </si>
  <si>
    <t>ALLENB-Office Supplies</t>
  </si>
  <si>
    <t>RenyardL1-Office Supplies</t>
  </si>
  <si>
    <t>Milk &amp; Fruit</t>
  </si>
  <si>
    <t>CowanA-Office Supplies</t>
  </si>
  <si>
    <t>MckinnonR-Default Licensee Mer</t>
  </si>
  <si>
    <t>CowanA-Entertainment Expense</t>
  </si>
  <si>
    <t>Branch food &amp; beverage x 12 - All branch staff - 12 x staff</t>
  </si>
  <si>
    <t>COLES 0638</t>
  </si>
  <si>
    <t>GRIFFITH FOODWORKS</t>
  </si>
  <si>
    <t>COLES 0615</t>
  </si>
  <si>
    <t>UNITED PETROLEUM MOO</t>
  </si>
  <si>
    <t>NARROGIN FRUIT</t>
  </si>
  <si>
    <t>HARVEY NORMAN AV/IT</t>
  </si>
  <si>
    <t>RYANS IGA NORTHWAY</t>
  </si>
  <si>
    <t>HARVEY NORMAN DISCOU</t>
  </si>
  <si>
    <t>NEWS PTY LIMITED</t>
  </si>
  <si>
    <t>7-ELEVEN 1201</t>
  </si>
  <si>
    <t>COLES 4490</t>
  </si>
  <si>
    <t>COLES 0620</t>
  </si>
  <si>
    <t>WOOLWORTHS/126 STURT STRE</t>
  </si>
  <si>
    <t>COLES 8760</t>
  </si>
  <si>
    <t>WOOLWORTHS/ATHERTON VLG C</t>
  </si>
  <si>
    <t>COLES 0396</t>
  </si>
  <si>
    <t>WOOLWORTHS/27 LIVERPOOL S</t>
  </si>
  <si>
    <t>Woolworths Online</t>
  </si>
  <si>
    <t>NESPRESSO AUSTRALIA</t>
  </si>
  <si>
    <t>WOOLWORTHS/197-203 ANSON</t>
  </si>
  <si>
    <t>FOODWORKS GOONDIWIND</t>
  </si>
  <si>
    <t>PERTH CONVENIENCE STORE</t>
  </si>
  <si>
    <t>WOOLWORTHS/1 FORSTER ST</t>
  </si>
  <si>
    <t>ALDI STORES - TAMWORTH</t>
  </si>
  <si>
    <t>WOOLWORTHS/SWIFT ST &amp; DAV</t>
  </si>
  <si>
    <t>SQ *EASY AS</t>
  </si>
  <si>
    <t>WOOLWORTHS/ESPERANCE BVD</t>
  </si>
  <si>
    <t>WOOLWORTHS/80-88 RUNDLE S</t>
  </si>
  <si>
    <t>ALDI STORES - ECHUCA</t>
  </si>
  <si>
    <t>WOOLWORTHS/35 - 41 MURRAY</t>
  </si>
  <si>
    <t>AAII ENTERPRISES PTY L</t>
  </si>
  <si>
    <t>WOOLWORTHS/ANN ST</t>
  </si>
  <si>
    <t>SUPA IGA ORANGE</t>
  </si>
  <si>
    <t>WOOLWORTHS/CNR 540 GEORGE</t>
  </si>
  <si>
    <t>WOOLWORTHS/CNR BEARDY &amp; J</t>
  </si>
  <si>
    <t>RJ SMITH ENGINEERING</t>
  </si>
  <si>
    <t>Liquor Baron Narrogin</t>
  </si>
  <si>
    <t>CHARGE_DESCRIPTION</t>
  </si>
  <si>
    <t xml:space="preserve">Office consumables such as milk, fruit,  tea, coffee, plant rental are treated as tax deductible and not subject to FBT on the basis that they are not entertainment expenses. </t>
  </si>
  <si>
    <t>Onsite sustenance such as working lunches, onsite morning and afternoon teas are treated as tax deductible on the basis that they are not entertainment expenses.</t>
  </si>
  <si>
    <t>Inlcudes ME and staff gifts which are exempt from FBT</t>
  </si>
  <si>
    <t xml:space="preserve">Rabobank has organised the following tours - cotton tour (Top End Cotton Tour TECT), Canadian grains tour (CGT),  Executive Development Program (EDP25M1 or CNEDP25M1), Farm Management Program (FMP18),Mini Masterclass Bundaberg (MMCB),  Mini Masterclass Riverina (MMCR), BMP Alumni Tour (BMPAT24) .  All costs associated with these programs are treated as deductible. </t>
  </si>
  <si>
    <t>Clients pay to attend the above events and all client contributions have been treated as assessable on the basis that the payments relate to the ordinary business activities of Rabobank.</t>
  </si>
  <si>
    <t xml:space="preserve">All branch Anniversary expenses have been treated as ME </t>
  </si>
  <si>
    <t>AU001 / MEC</t>
  </si>
  <si>
    <t>FBT return for the year ended 31 March 2025</t>
  </si>
  <si>
    <t>OPERATING_UNIT_CODE</t>
  </si>
  <si>
    <t>AU010021</t>
  </si>
  <si>
    <t>AU030055</t>
  </si>
  <si>
    <t>AU030222</t>
  </si>
  <si>
    <t>AU030310</t>
  </si>
  <si>
    <t>AU025104</t>
  </si>
  <si>
    <t>AU025109</t>
  </si>
  <si>
    <t>AU010025</t>
  </si>
  <si>
    <t>AU030619</t>
  </si>
  <si>
    <t>AU020099</t>
  </si>
  <si>
    <t>AU032049</t>
  </si>
  <si>
    <t>AU032074</t>
  </si>
  <si>
    <t>AU074251</t>
  </si>
  <si>
    <t>AU010014</t>
  </si>
  <si>
    <t>AU030510</t>
  </si>
  <si>
    <t>AU010010</t>
  </si>
  <si>
    <t>AU070150</t>
  </si>
  <si>
    <t>AU050118</t>
  </si>
  <si>
    <t>COMPANY DIRECTOR</t>
  </si>
  <si>
    <t>AU073158</t>
  </si>
  <si>
    <t>AU025103</t>
  </si>
  <si>
    <t>AU025074</t>
  </si>
  <si>
    <t>AU030420</t>
  </si>
  <si>
    <t>AU050119</t>
  </si>
  <si>
    <t>AA&amp;P EVENTS</t>
  </si>
  <si>
    <t>AU020090</t>
  </si>
  <si>
    <t>AU030213</t>
  </si>
  <si>
    <t>AU025080</t>
  </si>
  <si>
    <t>AU060888</t>
  </si>
  <si>
    <t>AU030613</t>
  </si>
  <si>
    <t>AU075166</t>
  </si>
  <si>
    <t>AU030612</t>
  </si>
  <si>
    <t>AU020080</t>
  </si>
  <si>
    <t>AU032053</t>
  </si>
  <si>
    <t>AU025064</t>
  </si>
  <si>
    <t>AU032045</t>
  </si>
  <si>
    <t>FARM WRITERS</t>
  </si>
  <si>
    <t>AU032056</t>
  </si>
  <si>
    <t>ShepherdD-Default Licensee Mer</t>
  </si>
  <si>
    <t>AU030212</t>
  </si>
  <si>
    <t>LILEYIT-Default Licensee Merch</t>
  </si>
  <si>
    <t>AU030320</t>
  </si>
  <si>
    <t>AU030319</t>
  </si>
  <si>
    <t>AU071196</t>
  </si>
  <si>
    <t>PassmoreA-Default Licensee Mer</t>
  </si>
  <si>
    <t>AU061134</t>
  </si>
  <si>
    <t>BARRACLOUGHD-Default Licensee</t>
  </si>
  <si>
    <t>AU030318</t>
  </si>
  <si>
    <t>AU030217</t>
  </si>
  <si>
    <t>AU036742</t>
  </si>
  <si>
    <t>AU071197</t>
  </si>
  <si>
    <t>CroattoMJ-Default Licensee Mer</t>
  </si>
  <si>
    <t>AU030514</t>
  </si>
  <si>
    <t>AU030611</t>
  </si>
  <si>
    <t>AU076175</t>
  </si>
  <si>
    <t>AU025063</t>
  </si>
  <si>
    <t>PitkethleyS-Software</t>
  </si>
  <si>
    <t>AU030511</t>
  </si>
  <si>
    <t>Haynest-Default Licensee Merch</t>
  </si>
  <si>
    <t>MEAT &amp; LIVESTOCK AUS</t>
  </si>
  <si>
    <t>AU030316</t>
  </si>
  <si>
    <t>AU036750</t>
  </si>
  <si>
    <t>AU025025</t>
  </si>
  <si>
    <t>AU030432</t>
  </si>
  <si>
    <t>AU030315</t>
  </si>
  <si>
    <t>AU025067</t>
  </si>
  <si>
    <t>AU030617</t>
  </si>
  <si>
    <t>AU010023</t>
  </si>
  <si>
    <t>AshworthJ-Default Licensee Mer</t>
  </si>
  <si>
    <t>AU030214</t>
  </si>
  <si>
    <t>EllisT-Other Personnel Expense</t>
  </si>
  <si>
    <t>AU030513</t>
  </si>
  <si>
    <t>AU030423</t>
  </si>
  <si>
    <t>AU020097</t>
  </si>
  <si>
    <t>AU032054</t>
  </si>
  <si>
    <t>AU010020</t>
  </si>
  <si>
    <t>AU030615</t>
  </si>
  <si>
    <t>MUSITANOJB-Default Licensee Me</t>
  </si>
  <si>
    <t>AU030317</t>
  </si>
  <si>
    <t>GallowayM-Offshore Meals &amp; Lod</t>
  </si>
  <si>
    <t>DonponR-Default Licensee Merch</t>
  </si>
  <si>
    <t>AU025100</t>
  </si>
  <si>
    <t>AP Closed Vouchers</t>
  </si>
  <si>
    <t>AU030616</t>
  </si>
  <si>
    <t>ThompsonP-Office Supplies</t>
  </si>
  <si>
    <t>AU030413</t>
  </si>
  <si>
    <t>AU030311</t>
  </si>
  <si>
    <t>AU030410</t>
  </si>
  <si>
    <t>AU030215</t>
  </si>
  <si>
    <t>PozziB-Office Supplies</t>
  </si>
  <si>
    <t>ZEN*B2B-Aus Prop Instit S</t>
  </si>
  <si>
    <t>LaoV-Default Licensee Merchant</t>
  </si>
  <si>
    <t>8025670-OINTE03</t>
  </si>
  <si>
    <t>ShawD1-Default Licensee Mercha</t>
  </si>
  <si>
    <t>AU030325</t>
  </si>
  <si>
    <t>AU010029</t>
  </si>
  <si>
    <t>AU030219</t>
  </si>
  <si>
    <t>ADP Monthly Invoice - Dec2024</t>
  </si>
  <si>
    <t>ScottHS-Default Licensee Merch</t>
  </si>
  <si>
    <t>2220181-ATELU01</t>
  </si>
  <si>
    <t>RaboTruck Operation (MNGT fee)</t>
  </si>
  <si>
    <t>BIG W/CRN OF GEORGE &amp; PAR</t>
  </si>
  <si>
    <t>AU060120</t>
  </si>
  <si>
    <t>AU025091</t>
  </si>
  <si>
    <t>OU</t>
  </si>
  <si>
    <t>58P</t>
  </si>
  <si>
    <t>FRESH ST. MARKET IGA</t>
  </si>
  <si>
    <t>BennettA-Offshore Meals &amp; Lodg</t>
  </si>
  <si>
    <t>AU030430</t>
  </si>
  <si>
    <t>AU030415</t>
  </si>
  <si>
    <t>AU030313</t>
  </si>
  <si>
    <t>AU060777</t>
  </si>
  <si>
    <t>WilsonE3-Airfares</t>
  </si>
  <si>
    <t>AU030412</t>
  </si>
  <si>
    <t>AU030711</t>
  </si>
  <si>
    <t>AU030710</t>
  </si>
  <si>
    <t>CROWNE PLAZA TERRIGAL PACIFIC</t>
  </si>
  <si>
    <t>AU030324</t>
  </si>
  <si>
    <t>AU032051</t>
  </si>
  <si>
    <t>BRYANT AND BROTHERS PTY LTD TA SPARRO</t>
  </si>
  <si>
    <t>Rabobank ROS Paid Media-Dec24</t>
  </si>
  <si>
    <t>AU032046</t>
  </si>
  <si>
    <t>Rabo CB Paid Media-Brand-Oct24</t>
  </si>
  <si>
    <t>Brand Health Survey - question</t>
  </si>
  <si>
    <t>The Land advertsing camp(NSW)</t>
  </si>
  <si>
    <t>AU036740</t>
  </si>
  <si>
    <t>KYNETEC AUSTRALIA PTY LTD</t>
  </si>
  <si>
    <t>Rural Confidence Survey 24/25</t>
  </si>
  <si>
    <t>Rabo Paid Media Reta Fee-Dec24</t>
  </si>
  <si>
    <t>RaboTruck Operation (Proj Mgr)</t>
  </si>
  <si>
    <t>Cattle Australia sponsorship</t>
  </si>
  <si>
    <t>SAVEFUL WORLDWIDE PTY LTD</t>
  </si>
  <si>
    <t>RaboTruck Operation (Driver)</t>
  </si>
  <si>
    <t>RaboTruck Operation (CabLease)</t>
  </si>
  <si>
    <t>Farm to Fork Videography</t>
  </si>
  <si>
    <t>Farm to Fork Videography - Far</t>
  </si>
  <si>
    <t>DUAL ENTERTAINMENT PTY LTD</t>
  </si>
  <si>
    <t>INV-0178</t>
  </si>
  <si>
    <t>RaboTruck Gippsland event x 2</t>
  </si>
  <si>
    <t>Farm to Fork TV airing  inc</t>
  </si>
  <si>
    <t>Farm to Fork TV airing Rabofac</t>
  </si>
  <si>
    <t>STCF Sponsorship</t>
  </si>
  <si>
    <t>RAINMAKER INFORMATION PTY LTD</t>
  </si>
  <si>
    <t>RaboTruck Angus Expo</t>
  </si>
  <si>
    <t>RaboTruck FNQ FDs</t>
  </si>
  <si>
    <t>RaboTruck Taroom Show</t>
  </si>
  <si>
    <t>Rabobank CB Srch Mrkt-Dec 2024</t>
  </si>
  <si>
    <t>Farm to Fork Dinner Melbo</t>
  </si>
  <si>
    <t>AP-PR 71451-OSPRI00</t>
  </si>
  <si>
    <t>NUNN MEDIA</t>
  </si>
  <si>
    <t>Nick Baker</t>
  </si>
  <si>
    <t>BFIG Sponsorship</t>
  </si>
  <si>
    <t>GroganC-Printing</t>
  </si>
  <si>
    <t>Grogan Clarke</t>
  </si>
  <si>
    <t>Maree Gymkhana Sponsorship</t>
  </si>
  <si>
    <t>Oodnadatta Bronco Branding</t>
  </si>
  <si>
    <t>Murphy Carlisle Graphic Design</t>
  </si>
  <si>
    <t>AU030712</t>
  </si>
  <si>
    <t>AU030512</t>
  </si>
  <si>
    <t>GoodwinM1-Entertainment Expens</t>
  </si>
  <si>
    <t>BWS/94 TASMAN TERRACE</t>
  </si>
  <si>
    <t>COLES 0440</t>
  </si>
  <si>
    <t>No entertainment expenses included below - all relates to Rabotruck, marketing expences and items directly related to businss activities of Rabo</t>
  </si>
  <si>
    <t>No entertainment expenses</t>
  </si>
  <si>
    <t>AU032066</t>
  </si>
  <si>
    <t>AU032061</t>
  </si>
  <si>
    <t>Haynest-Entertainment Expense</t>
  </si>
  <si>
    <t>AU030618</t>
  </si>
  <si>
    <t>AU030414</t>
  </si>
  <si>
    <t>AU032063</t>
  </si>
  <si>
    <t>AUSTRALIAN SKIN CANCER FOUNDATION LTD</t>
  </si>
  <si>
    <t>Charity days/community days have not been treated as recreational activity (arguably does not meet ITAA definition)</t>
  </si>
  <si>
    <t>AU010011</t>
  </si>
  <si>
    <t>AU030422</t>
  </si>
  <si>
    <t>RigbyC-Default Licensee Mercha</t>
  </si>
  <si>
    <t>RigbyC-Office Supplies</t>
  </si>
  <si>
    <t>KokC-Costs own Car Fleet</t>
  </si>
  <si>
    <t>WholesaleSMS Pty Ltd</t>
  </si>
  <si>
    <t>SPURDLE FAMILY TRUST</t>
  </si>
  <si>
    <t>AU030411</t>
  </si>
  <si>
    <t>CRACKER PRINT &amp; PAPE</t>
  </si>
  <si>
    <t>PRODEUCE PTY LTD</t>
  </si>
  <si>
    <t>TwomeyGJ-Offshore Meals &amp; Lodg</t>
  </si>
  <si>
    <t>AU030220</t>
  </si>
  <si>
    <t>AU030622</t>
  </si>
  <si>
    <t>COSTCO WHOLESALE AUSTR</t>
  </si>
  <si>
    <t>AU030322</t>
  </si>
  <si>
    <t>GallowayM-Office Supplies</t>
  </si>
  <si>
    <t>WOOLWORTHS/KOORINGAL ML L</t>
  </si>
  <si>
    <t>MitchellB-Offshore Meals &amp; Lod</t>
  </si>
  <si>
    <t>Return flights for Melissa Deg</t>
  </si>
  <si>
    <t>ANDREW AND MELISSA DEGUARA</t>
  </si>
  <si>
    <t>AU030321</t>
  </si>
  <si>
    <t>TaylorF-Default Licensee Merch</t>
  </si>
  <si>
    <t>TaylorF-Office Supplies</t>
  </si>
  <si>
    <t>WOOLWORTHS/215 BALO ST</t>
  </si>
  <si>
    <t>MCDONALDK-Office Supplies</t>
  </si>
  <si>
    <t>SilvaKJ-Other Personnel Expens</t>
  </si>
  <si>
    <t>Flowers</t>
  </si>
  <si>
    <t>MUTTABURRA STOCK SHOW SOCIETY INC</t>
  </si>
  <si>
    <t>AUST DAIRY CONFERENCE</t>
  </si>
  <si>
    <t>BriginshawZ-Entertainment Expe</t>
  </si>
  <si>
    <t>KnowlesB-Office Supplies</t>
  </si>
  <si>
    <t>BOTTLE O SWANHILL</t>
  </si>
  <si>
    <t>COLES 0574</t>
  </si>
  <si>
    <t>WallaceMA-Office Supplies</t>
  </si>
  <si>
    <t>SHANNON FARM CONSULTING</t>
  </si>
  <si>
    <t>BARCOO PASTORAL SOCIETY</t>
  </si>
  <si>
    <t>LONGREACH SHOW SOCIETY</t>
  </si>
  <si>
    <t>CampbellL-Default Licensee Mer</t>
  </si>
  <si>
    <t>CarterJ1-Offshore Meals &amp; Lodg</t>
  </si>
  <si>
    <t>REGIONAL WHOLESALERS</t>
  </si>
  <si>
    <t>MILLMERRAN SHOW SOCIETY INC</t>
  </si>
  <si>
    <t>ROWENA P AND C ASSOCIATION</t>
  </si>
  <si>
    <t>ALPHA SHOW SOCIETY</t>
  </si>
  <si>
    <t>INV-0141</t>
  </si>
  <si>
    <t>AU030424</t>
  </si>
  <si>
    <t>AU030211</t>
  </si>
  <si>
    <t>Van Dulm Eileen</t>
  </si>
  <si>
    <t>VICTORIAS BASEMENT</t>
  </si>
  <si>
    <t>Lilly &amp; Lotus</t>
  </si>
  <si>
    <t>KelleyM-Default Licensee Merch</t>
  </si>
  <si>
    <t>Beef equipment storage</t>
  </si>
  <si>
    <t>StewartF-Offshore Meals &amp; Lodg</t>
  </si>
  <si>
    <t>CraneB-Entertainment Expense</t>
  </si>
  <si>
    <t>ASHEEP &amp; BEEF INC.</t>
  </si>
  <si>
    <t>ELSTONJ-Entertainment Expense</t>
  </si>
  <si>
    <t>HAMILTON PASTORAL AND AGRICULTURAL</t>
  </si>
  <si>
    <t>WallaceMA-Entertainment Expens</t>
  </si>
  <si>
    <t>BED BATH N TABLE</t>
  </si>
  <si>
    <t>DOHLES-Offshore Meals &amp; Lodgin</t>
  </si>
  <si>
    <t>AU060124</t>
  </si>
  <si>
    <t>Sponsorship Fee</t>
  </si>
  <si>
    <t>OFFICEWORKS</t>
  </si>
  <si>
    <t>FAIRBAIRN BAKERY</t>
  </si>
  <si>
    <t>NUFFIELD AUSTRALIA</t>
  </si>
  <si>
    <t>WeissC-Office Supplies</t>
  </si>
  <si>
    <t>BriginshawZ-Buildings Repairs/</t>
  </si>
  <si>
    <t>ELSTONJ-Office Supplies</t>
  </si>
  <si>
    <t>PaulgerA-Office Supplies</t>
  </si>
  <si>
    <t>COLES 0704</t>
  </si>
  <si>
    <t>OFFICEWORKS 0238</t>
  </si>
  <si>
    <t>BUNNINGS 699000</t>
  </si>
  <si>
    <t>THE ANGUS SOCIETY OF AUSTRALIA</t>
  </si>
  <si>
    <t>AU030312</t>
  </si>
  <si>
    <t>HodgeM-Entertainment Expense</t>
  </si>
  <si>
    <t>PaulgerA-Default Licensee Merc</t>
  </si>
  <si>
    <t>AU030421</t>
  </si>
  <si>
    <t>GIPPSLAND AGRICULTURAL GROUP INC</t>
  </si>
  <si>
    <t>WOOLWORTHS/BAYLISS ST</t>
  </si>
  <si>
    <t>ConwayT-Offshore Meals &amp; Lodgi</t>
  </si>
  <si>
    <t>GroganC-Default Licensee Merch</t>
  </si>
  <si>
    <t>COURTYARD ON GIBRALTAR PTY LTD</t>
  </si>
  <si>
    <t>MACKAY CANEGROWERS LIMITED</t>
  </si>
  <si>
    <t>00066714-ALIGH03</t>
  </si>
  <si>
    <t>Warehousing Dec</t>
  </si>
  <si>
    <t>CAFE GRAY</t>
  </si>
  <si>
    <t>RenyardL1-Offshore Meals &amp; Lod</t>
  </si>
  <si>
    <t>INV-10370_AU_20241101</t>
  </si>
  <si>
    <t>TRACKSUIT LIMITED</t>
  </si>
  <si>
    <t>AAP Events</t>
  </si>
  <si>
    <t>COLES 8761</t>
  </si>
  <si>
    <t>SIMMONSM-Offshore Meals &amp; Lodg</t>
  </si>
  <si>
    <t>Nuffield Scholar Sponsorship</t>
  </si>
  <si>
    <t>MitchellB-Office Supplies</t>
  </si>
  <si>
    <t>Staff Christmas Breakfast Meeting</t>
  </si>
  <si>
    <t>Rabobank truck expenses have been treated as deductible on the basis that they are a marketing expense under s8-1.</t>
  </si>
  <si>
    <t>Field days include alcohol - but staff are not able to drink on jobs. Intention is to assist prospective clients or existing clients. Run sheets are available. Days usually wrap up mid afternoon.</t>
  </si>
  <si>
    <t>Field day</t>
  </si>
  <si>
    <t>Streem subscription</t>
  </si>
  <si>
    <t>subscription - OK</t>
  </si>
  <si>
    <t>AU020087</t>
  </si>
  <si>
    <t>AU050110</t>
  </si>
  <si>
    <t>AU020088</t>
  </si>
  <si>
    <t>BARRACLOUGHD-Contributions &amp; C</t>
  </si>
  <si>
    <t>AU030216</t>
  </si>
  <si>
    <t>DEPARTMENT OF PRIMARY</t>
  </si>
  <si>
    <t>RISK MANAGEMENT ASSOCIATION INC</t>
  </si>
  <si>
    <t>INV-0528</t>
  </si>
  <si>
    <t>SHUTTERSTOCK IRELAND LIMI</t>
  </si>
  <si>
    <t>web*The Land/STANDING AUTHORITY</t>
  </si>
  <si>
    <t>The Land Subscription</t>
  </si>
  <si>
    <t>AMZNPRIMEAU MEMBERSHIP</t>
  </si>
  <si>
    <t>NEWS LIMITED</t>
  </si>
  <si>
    <t>MOORA CHAMBER OF COMMERCE INC.</t>
  </si>
  <si>
    <t>80881-AAFMA00</t>
  </si>
  <si>
    <t>AU030810</t>
  </si>
  <si>
    <t>PetterssonT-Default Licensee M</t>
  </si>
  <si>
    <t>CPA AUSTRALIA</t>
  </si>
  <si>
    <t>Managers Round Table</t>
  </si>
  <si>
    <t>AU050113</t>
  </si>
  <si>
    <t>DAVID JONES LIMITED</t>
  </si>
  <si>
    <t>Teapots</t>
  </si>
  <si>
    <t>VELOCE PANINO</t>
  </si>
  <si>
    <t>AU030431</t>
  </si>
  <si>
    <t>SQ *DAILY PLANET ADELAIDE</t>
  </si>
  <si>
    <t>Pier One Sydney FP</t>
  </si>
  <si>
    <t>AU025085</t>
  </si>
  <si>
    <t>MOUNT LOFTY OPERATIONS PTY LTD</t>
  </si>
  <si>
    <t>AU060135</t>
  </si>
  <si>
    <t>ROSSR-Domestic &amp; Overseas lodg</t>
  </si>
  <si>
    <t>Q STATION</t>
  </si>
  <si>
    <t>AU030433</t>
  </si>
  <si>
    <t>AU033731</t>
  </si>
  <si>
    <t>AU076172</t>
  </si>
  <si>
    <t>AU030218</t>
  </si>
  <si>
    <t>AU010015</t>
  </si>
  <si>
    <t>AU076173</t>
  </si>
  <si>
    <t>W/off small suspense</t>
  </si>
  <si>
    <t>BANK CHRGS</t>
  </si>
  <si>
    <t>ASX INV ACL0318564</t>
  </si>
  <si>
    <t>DoremaeleMLM1-Default Licensee</t>
  </si>
  <si>
    <t>HawkeA-Office Supplies</t>
  </si>
  <si>
    <t>AU010013</t>
  </si>
  <si>
    <t>AU032042</t>
  </si>
  <si>
    <t>AU031752</t>
  </si>
  <si>
    <t>AU010060</t>
  </si>
  <si>
    <t>AU025126</t>
  </si>
  <si>
    <t>R.M.Williams</t>
  </si>
  <si>
    <t>lobelsonb-Default Licensee Mer</t>
  </si>
  <si>
    <t>DARLING PARK NEWS</t>
  </si>
  <si>
    <t>LEADWELL PEOPLE PTY LTD</t>
  </si>
  <si>
    <t>KeoC-Office Supplies</t>
  </si>
  <si>
    <t>INV-0515</t>
  </si>
  <si>
    <t>GREENFLEET TRUST</t>
  </si>
  <si>
    <t>BUNNINGS GROUP LTD</t>
  </si>
  <si>
    <t>MYER  SYDNEY CITY</t>
  </si>
  <si>
    <t>GROUPGREETING</t>
  </si>
  <si>
    <t>McCallumA-Literature (Books, N</t>
  </si>
  <si>
    <t>ALLENSTOWN NEWS</t>
  </si>
  <si>
    <t>FLETCHERM-Company Car Parking</t>
  </si>
  <si>
    <t>Transport</t>
  </si>
  <si>
    <t>SlackS-Default Licensee Mercha</t>
  </si>
  <si>
    <t>FLRS Community Leave event</t>
  </si>
  <si>
    <t>BIG W/ANSON &amp; KITE STREET</t>
  </si>
  <si>
    <t>BUNNINGS 568000</t>
  </si>
  <si>
    <t>General Expense Accrual</t>
  </si>
  <si>
    <t>AU030210</t>
  </si>
  <si>
    <t>GT700000</t>
  </si>
  <si>
    <t>AU010012</t>
  </si>
  <si>
    <t>Misc. Expense Accrual</t>
  </si>
  <si>
    <t>rounding cash and funding</t>
  </si>
  <si>
    <t>AU025060</t>
  </si>
  <si>
    <t>AU060140</t>
  </si>
  <si>
    <t>CLEARCHOICE PRODUCTS PTY LTD</t>
  </si>
  <si>
    <t>Office kitchen supplies</t>
  </si>
  <si>
    <t>ChincariniSM-Office Supplies</t>
  </si>
  <si>
    <t>tea room supplies</t>
  </si>
  <si>
    <t>McfarlaneT-Office Supplies</t>
  </si>
  <si>
    <t>AU030714</t>
  </si>
  <si>
    <t>AU031755</t>
  </si>
  <si>
    <t>AU030057</t>
  </si>
  <si>
    <t>AU030610</t>
  </si>
  <si>
    <t>AU030620</t>
  </si>
  <si>
    <t>AU050116</t>
  </si>
  <si>
    <t>NEXTRA LEONGATHA NEWSAGENCY AND EXPRESS</t>
  </si>
  <si>
    <t>office milk</t>
  </si>
  <si>
    <t>ThomasJ1-Offshore Meals &amp; Lodg</t>
  </si>
  <si>
    <t>Catering - woolorama</t>
  </si>
  <si>
    <t>NARROGIN FRUIT MARKET</t>
  </si>
  <si>
    <t>WOOLWORTHS/PARK ST &amp; KEEN</t>
  </si>
  <si>
    <t>SMITH BROS PTY LTD</t>
  </si>
  <si>
    <t>GrahamMJ-Office Supplies</t>
  </si>
  <si>
    <t>Fruit for Office</t>
  </si>
  <si>
    <t>DavisM2-Entertainment Expense</t>
  </si>
  <si>
    <t>LIQUORLAND 3536</t>
  </si>
  <si>
    <t>WOOLWORTHS/DALBY CENTRAL</t>
  </si>
  <si>
    <t>Purchase of Kitchen Supplies</t>
  </si>
  <si>
    <t>DPIRD Fishing Licence - Matt Hudson</t>
  </si>
  <si>
    <t>HudsonM1-Office Supplies</t>
  </si>
  <si>
    <t>Foodworks - Moora Branch</t>
  </si>
  <si>
    <t>FARMER JACKS FOODWORKS</t>
  </si>
  <si>
    <t>Fruit for the Dubbo Office</t>
  </si>
  <si>
    <t>Newspapers for Dubbo Branch</t>
  </si>
  <si>
    <t>TALBRAGAR STREET NEWSAGENCY</t>
  </si>
  <si>
    <t>MaharD-Office Supplies</t>
  </si>
  <si>
    <t>CoxJ-Other Personnel Expense</t>
  </si>
  <si>
    <t>LS SHELFIELD COFFEE BR</t>
  </si>
  <si>
    <t>COLES 0695</t>
  </si>
  <si>
    <t>WOOLWORTHS/91-101 MCLENNA</t>
  </si>
  <si>
    <t>ANDERSONM-Default Licensee Mer</t>
  </si>
  <si>
    <t>Nepresso Pods</t>
  </si>
  <si>
    <t>TabererC1-Default Licensee Mer</t>
  </si>
  <si>
    <t>TabererC1-Office Supplies</t>
  </si>
  <si>
    <t>CONNOLLYB-Default Licensee Mer</t>
  </si>
  <si>
    <t>DennissA-Office Supplies</t>
  </si>
  <si>
    <t>Milk for the office</t>
  </si>
  <si>
    <t>WallaceMA-Default Licensee Mer</t>
  </si>
  <si>
    <t>Nespresso Pods for DP3</t>
  </si>
  <si>
    <t>BUNNINGS 304000</t>
  </si>
  <si>
    <t>WOOLWORTHS/PALM AVE &amp; WAM</t>
  </si>
  <si>
    <t>COLES 0884</t>
  </si>
  <si>
    <t>BUNNINGS 745000</t>
  </si>
  <si>
    <t>CICCHELLIM-Office Supplies</t>
  </si>
  <si>
    <t>THE REJECT SHOP 6643</t>
  </si>
  <si>
    <t>Weekly Fruit order</t>
  </si>
  <si>
    <t>FARMER BOBS FRUIT MARKET</t>
  </si>
  <si>
    <t>RENMARK FOODLAND IGA</t>
  </si>
  <si>
    <t>GrahamMJ-Offshore Meals &amp; Lodg</t>
  </si>
  <si>
    <t>WOOLWORTHS/BROWN ST</t>
  </si>
  <si>
    <t>StevensonD1-Offshore Meals &amp; L</t>
  </si>
  <si>
    <t>BENDIGO FRE* RABO BANK</t>
  </si>
  <si>
    <t>Orange Branch Kitchen Supplies</t>
  </si>
  <si>
    <t>DanielH-Office Supplies</t>
  </si>
  <si>
    <t>SchmidtN-Costs own Car Fleet</t>
  </si>
  <si>
    <t>Coffee beans for branch - Mark  Northcott</t>
  </si>
  <si>
    <t>Coffee pods for branch</t>
  </si>
  <si>
    <t>BIG SPRINGS WATER PTY LTD</t>
  </si>
  <si>
    <t>MccullochB-Offshore Meals &amp; Lo</t>
  </si>
  <si>
    <t>makehamaj-Default Licensee Mer</t>
  </si>
  <si>
    <t>KnowlesB-Offshore Meals &amp; Lodg</t>
  </si>
  <si>
    <t>Big Springs Water</t>
  </si>
  <si>
    <t>Milk for the Brisbane Branch -</t>
  </si>
  <si>
    <t>SALE AUTHORISED NEWSAGENCY</t>
  </si>
  <si>
    <t>DP3 Kitchen consumables</t>
  </si>
  <si>
    <t>ELZIE FLORIST</t>
  </si>
  <si>
    <t>FAVELLL-Office Supplies</t>
  </si>
  <si>
    <t>WOOLWORTHS/DOG ROCK S/C L</t>
  </si>
  <si>
    <t>AXI-KEM PTY LTD</t>
  </si>
  <si>
    <t>Milk Coles</t>
  </si>
  <si>
    <t>general office expense</t>
  </si>
  <si>
    <t>FRESH &amp; SAVE ARMIDALE</t>
  </si>
  <si>
    <t>Iron Mountain - Dec 24</t>
  </si>
  <si>
    <t>SQ *NORTH END BAKEHOUSE M</t>
  </si>
  <si>
    <t>SP BUN COFFEE AUSTRALI</t>
  </si>
  <si>
    <t>LS BLOSSOMS FLORIST G</t>
  </si>
  <si>
    <t>SUTTON S BAKERY PTY LTD</t>
  </si>
  <si>
    <t>7 BEANS COFFEE</t>
  </si>
  <si>
    <t>Reddy Express 6743</t>
  </si>
  <si>
    <t>Under $300</t>
  </si>
  <si>
    <t>OK</t>
  </si>
  <si>
    <t>Picked up in Tuition expese analysis - NFA</t>
  </si>
  <si>
    <t>33108063-01-AFOUR01</t>
  </si>
  <si>
    <t>Hyatt Sydney First Deposit</t>
  </si>
  <si>
    <t>33108063-01</t>
  </si>
  <si>
    <t>EP2 MANAGEMENT TA HYATT REGENCY SYDNEY</t>
  </si>
  <si>
    <t>INV-7183-ALANG01</t>
  </si>
  <si>
    <t>STO Strength Profiles</t>
  </si>
  <si>
    <t>INV-7183</t>
  </si>
  <si>
    <t>1255-ACAPP01</t>
  </si>
  <si>
    <t>Graduate development program d</t>
  </si>
  <si>
    <t>CAPPFINITY PTY LTD</t>
  </si>
  <si>
    <t>RABOB0060129-AHARR02</t>
  </si>
  <si>
    <t>Furniture Hire for YELT BC1</t>
  </si>
  <si>
    <t>RABOB0060129</t>
  </si>
  <si>
    <t>HARRY THE HIRER</t>
  </si>
  <si>
    <t>33108063-2-AFOUR01</t>
  </si>
  <si>
    <t>YELT BC1 Venue deposit 2</t>
  </si>
  <si>
    <t>33108063-2</t>
  </si>
  <si>
    <t>33108063-3-AFOUR01</t>
  </si>
  <si>
    <t>YELT BC 1 Venue Deposit 3</t>
  </si>
  <si>
    <t>33108063-3</t>
  </si>
  <si>
    <t>API training</t>
  </si>
  <si>
    <t>INV-20336-AFINA09</t>
  </si>
  <si>
    <t>FEP Enrolments</t>
  </si>
  <si>
    <t>INV-20336</t>
  </si>
  <si>
    <t>INV-7143-ALANG01</t>
  </si>
  <si>
    <t>Team strengths profiles</t>
  </si>
  <si>
    <t>INV-7143</t>
  </si>
  <si>
    <t>Rabobank CB Search Marketing</t>
  </si>
  <si>
    <t>Graduate development works</t>
  </si>
  <si>
    <t>INV-20619-AFINA09</t>
  </si>
  <si>
    <t>FEP Enrolment, S Laidlow</t>
  </si>
  <si>
    <t>INV-20619</t>
  </si>
  <si>
    <t>FEP Enrolments ACL CPD</t>
  </si>
  <si>
    <t>FEP Enrolments CPD</t>
  </si>
  <si>
    <t>FEP Enrolments RCC</t>
  </si>
  <si>
    <t>FEP Enrolments RMs</t>
  </si>
  <si>
    <t>RETS conference Melbourne</t>
  </si>
  <si>
    <t>EZI*EZIDEBIT MEMBERSHI/821940057</t>
  </si>
  <si>
    <t>sustainability training API</t>
  </si>
  <si>
    <t>INV-01748-AWESN00</t>
  </si>
  <si>
    <t>Photography for YELT BC 1</t>
  </si>
  <si>
    <t>INV-01748</t>
  </si>
  <si>
    <t>WES NEL PHOTOGRAPHY PTY LTD</t>
  </si>
  <si>
    <t>INV-7231-ALANG01</t>
  </si>
  <si>
    <t>Offsite</t>
  </si>
  <si>
    <t>INV-7231</t>
  </si>
  <si>
    <t>RABO-I0225236-OINCH01</t>
  </si>
  <si>
    <t>CB AU LT Offsite</t>
  </si>
  <si>
    <t>RABO-I0225236</t>
  </si>
  <si>
    <t>INCHIGO</t>
  </si>
  <si>
    <t>RistromJ-Default Licensee Merc</t>
  </si>
  <si>
    <t>Gippsland Ag Group - Dinner</t>
  </si>
  <si>
    <t>SQ *GIPPSLAND AGRICULTURA</t>
  </si>
  <si>
    <t>90848234-ADIME01</t>
  </si>
  <si>
    <t>VISA FEB 2025</t>
  </si>
  <si>
    <t>DonponR-venue hire bond</t>
  </si>
  <si>
    <t>KeastJ-Tuition (study) Reimbur</t>
  </si>
  <si>
    <t>Training - software capitalisation</t>
  </si>
  <si>
    <t>ACCOUNTINGTOOLS</t>
  </si>
  <si>
    <t>INV-20841-AFINA09</t>
  </si>
  <si>
    <t>Fep - AFSL Responsible Manager</t>
  </si>
  <si>
    <t>INV-20841</t>
  </si>
  <si>
    <t>FEP - RG146 Tier 2 Deposits (E</t>
  </si>
  <si>
    <t>FEP- Generic Knowledge and Dep</t>
  </si>
  <si>
    <t>FEP -Tier 1 Deposits and Non C</t>
  </si>
  <si>
    <t>Food and Grocery Australia 2025 Registration</t>
  </si>
  <si>
    <t>EZI*AUSTRALIAN FOOD &amp;/828834783</t>
  </si>
  <si>
    <t>113522301-17/07/24-ACGUW05</t>
  </si>
  <si>
    <t>ArnottC1-Default Licensee Merc</t>
  </si>
  <si>
    <t>APLMA Financial Modelling Course</t>
  </si>
  <si>
    <t>WWW.APLMA.COM</t>
  </si>
  <si>
    <t>Agribuz event bio security</t>
  </si>
  <si>
    <t>EZI*EZIDEBIT MEMBERSHI/823627702</t>
  </si>
  <si>
    <t>Capital Growth Forum</t>
  </si>
  <si>
    <t>EB *Growth Capital For</t>
  </si>
  <si>
    <t>CookM-Default Licensee Merchan</t>
  </si>
  <si>
    <t>Biosecurity update conference</t>
  </si>
  <si>
    <t>EZI*EZIDEBIT MEMBERSHI/824780508</t>
  </si>
  <si>
    <t>CookM-Entertainment Expense</t>
  </si>
  <si>
    <t>ticket to the NTCA</t>
  </si>
  <si>
    <t>KorffD-Default Licensee Mercha</t>
  </si>
  <si>
    <t>Leading Sheep Forum Longreach</t>
  </si>
  <si>
    <t>TRYBOOKING*DEPARTMENT OF/219549188453</t>
  </si>
  <si>
    <t>APLMA - Advanced Documentation Course</t>
  </si>
  <si>
    <t>March FarmWriters lunch event (NSW Premier)</t>
  </si>
  <si>
    <t>Advanced LSL Training - Karenanne O'Neill</t>
  </si>
  <si>
    <t>THE ASSOCIATION FOR PA/631213524720</t>
  </si>
  <si>
    <t>WA Lot Feeders Better Beef</t>
  </si>
  <si>
    <t>WA LOT FEEDERS</t>
  </si>
  <si>
    <t>Haynest-Software</t>
  </si>
  <si>
    <t>3 tickets to the Agfood Fund conf.</t>
  </si>
  <si>
    <t>AGFOOD FUND PTY LTD</t>
  </si>
  <si>
    <t>KilbyJ-Default Licensee Mercha</t>
  </si>
  <si>
    <t>Staff Training - James Kilby</t>
  </si>
  <si>
    <t>Training and Education Courses</t>
  </si>
  <si>
    <t>1255</t>
  </si>
  <si>
    <t>1009009-ABRID00</t>
  </si>
  <si>
    <t>SANTNWV Offsite Deposit Feb 25</t>
  </si>
  <si>
    <t>1009009</t>
  </si>
  <si>
    <t>BRIDGEPORT HOTEL</t>
  </si>
  <si>
    <t>RABO-17/12/24-AINTE35</t>
  </si>
  <si>
    <t>LT offsite accommodation</t>
  </si>
  <si>
    <t>RABO-17/12/24</t>
  </si>
  <si>
    <t>INTERCONTINENTAL SYDNEY DOUBLE BAY</t>
  </si>
  <si>
    <t>CEC-14-ASPRI00</t>
  </si>
  <si>
    <t>Return flights for NQNT CC mem</t>
  </si>
  <si>
    <t>CEC-14</t>
  </si>
  <si>
    <t>SPRINGDALE LAND AND CATTLE CO</t>
  </si>
  <si>
    <t>EEC-1160-EBRAD02</t>
  </si>
  <si>
    <t>Hotel</t>
  </si>
  <si>
    <t>EEC-1160</t>
  </si>
  <si>
    <t>ADAM BRADLEY</t>
  </si>
  <si>
    <t>Egenica Booking Fee for Mt Gambier</t>
  </si>
  <si>
    <t>EGEN*AUSI142601669/AUBI2024348538423/AUBI2024348538423010</t>
  </si>
  <si>
    <t>20250224-ACROW18</t>
  </si>
  <si>
    <t>Crown Plaza Terrigal</t>
  </si>
  <si>
    <t>20250224</t>
  </si>
  <si>
    <t>EEC-1312-EHOWA01</t>
  </si>
  <si>
    <t>VICTAS offsite accommodation,</t>
  </si>
  <si>
    <t>EEC-1312</t>
  </si>
  <si>
    <t>MccullochB-Company Car Parking</t>
  </si>
  <si>
    <t>Parking while at airport on training course</t>
  </si>
  <si>
    <t>Launceston Airport</t>
  </si>
  <si>
    <t>EEC-1430-EHARR00</t>
  </si>
  <si>
    <t>Uber to training</t>
  </si>
  <si>
    <t>EEC-1430</t>
  </si>
  <si>
    <t>Wednesday, 1 January 2025</t>
  </si>
  <si>
    <t>Tuesday, 7 January 2025</t>
  </si>
  <si>
    <t>00000521-AWAGI03</t>
  </si>
  <si>
    <t>Woolorama 2025: Young Judges S</t>
  </si>
  <si>
    <t>WAGIN AGRICULTURAL SOCIETY INC</t>
  </si>
  <si>
    <t>2024054-AOODN00</t>
  </si>
  <si>
    <t>Oodnadatta Bronco Branding 202</t>
  </si>
  <si>
    <t>OODNADATTA RACING AND HORSE SPORTS</t>
  </si>
  <si>
    <t>2100236-AKWIK03</t>
  </si>
  <si>
    <t>Postcards Albany</t>
  </si>
  <si>
    <t>CEC-9-ASPUR00</t>
  </si>
  <si>
    <t>NQNTClientCouncilMeeting_Towns</t>
  </si>
  <si>
    <t>CEC-9</t>
  </si>
  <si>
    <t>INV-0215-ADUAL00</t>
  </si>
  <si>
    <t>Farm to Fork Deposit dinner</t>
  </si>
  <si>
    <t>INV-0215</t>
  </si>
  <si>
    <t>INV-14878-ABRYA02</t>
  </si>
  <si>
    <t>NSW always on campaign medaia</t>
  </si>
  <si>
    <t>INV-14878</t>
  </si>
  <si>
    <t>INV-905-ACAFE00</t>
  </si>
  <si>
    <t>Christmas party for clients</t>
  </si>
  <si>
    <t>INV-905</t>
  </si>
  <si>
    <t>RABO2025/1-ASOLU01</t>
  </si>
  <si>
    <t>RaboTruck Operation Q1 (Manage</t>
  </si>
  <si>
    <t>RABO2025/1</t>
  </si>
  <si>
    <t>RABO2025/3-ASOLU01</t>
  </si>
  <si>
    <t>RaboTruck Operation Q1 (Cab Le</t>
  </si>
  <si>
    <t>RABO2025/3</t>
  </si>
  <si>
    <t>RABO2025/4-ASOLU01</t>
  </si>
  <si>
    <t>RaboTruck Operation Q1 (Projec</t>
  </si>
  <si>
    <t>RABO2025/4</t>
  </si>
  <si>
    <t>RABO2025/5-ASOLU01</t>
  </si>
  <si>
    <t>RaboTruck Operation Q1 (Driver</t>
  </si>
  <si>
    <t>RABO2025/5</t>
  </si>
  <si>
    <t>RABO2025/6-ASOLU01</t>
  </si>
  <si>
    <t>RABO2025/6</t>
  </si>
  <si>
    <t>Wednesday, 8 January 2025</t>
  </si>
  <si>
    <t>00013259-AQUAL08</t>
  </si>
  <si>
    <t>Logo flag (pole flag)</t>
  </si>
  <si>
    <t>0205-WNICK00</t>
  </si>
  <si>
    <t>Nick Baker Digital Marketing F</t>
  </si>
  <si>
    <t>615592-AVISI01</t>
  </si>
  <si>
    <t>CEC-10-AJMSL00</t>
  </si>
  <si>
    <t>Return flights Richmond-Townsv</t>
  </si>
  <si>
    <t>CEC-10</t>
  </si>
  <si>
    <t>JM AND SL BELLINGHAM</t>
  </si>
  <si>
    <t>YFFB-21 Wandel</t>
  </si>
  <si>
    <t>YFFB-10 Klug</t>
  </si>
  <si>
    <t>YFFB-11 Klug</t>
  </si>
  <si>
    <t>YFFB-18 Dare</t>
  </si>
  <si>
    <t>YFFB-19 Dare</t>
  </si>
  <si>
    <t>YFFB-25 Partridge</t>
  </si>
  <si>
    <t>YFFB-26 Rowe</t>
  </si>
  <si>
    <t>YFFB-29 Newman</t>
  </si>
  <si>
    <t>Tuesday, 14 January 2025</t>
  </si>
  <si>
    <t>163267-FT2501477BTK</t>
  </si>
  <si>
    <t>Wednesday, 15 January 2025</t>
  </si>
  <si>
    <t>167038-FT25015TR67D</t>
  </si>
  <si>
    <t>167039-FT250157C136</t>
  </si>
  <si>
    <t>Thursday, 16 January 2025</t>
  </si>
  <si>
    <t>INV-0217-ADUAL00</t>
  </si>
  <si>
    <t>Farm to Fork TV Airing - Inclu</t>
  </si>
  <si>
    <t>INV-0217</t>
  </si>
  <si>
    <t>INV-0218-ADUAL00</t>
  </si>
  <si>
    <t>client testimonial video and p</t>
  </si>
  <si>
    <t>INV-0218</t>
  </si>
  <si>
    <t>INV-0220-ADUAL00</t>
  </si>
  <si>
    <t>- Farm to Fork TV Airing - Inc</t>
  </si>
  <si>
    <t>INV-0220</t>
  </si>
  <si>
    <t>166593-FT250164F1GP</t>
  </si>
  <si>
    <t>250006-AWOOD08</t>
  </si>
  <si>
    <t>Sponsorship of Mid Lachlan Flo</t>
  </si>
  <si>
    <t>WOODSTOCK MEMORIAL SHOW INC</t>
  </si>
  <si>
    <t>INV-0099-AMORE00</t>
  </si>
  <si>
    <t>Sponsorship of Moree Show Soci</t>
  </si>
  <si>
    <t>INV-0099</t>
  </si>
  <si>
    <t>MOREE SHOW SOCIETY INC</t>
  </si>
  <si>
    <t>INV-0917-AJTHA00</t>
  </si>
  <si>
    <t>Equipment Hire for Moree RaboT</t>
  </si>
  <si>
    <t>INV-0917</t>
  </si>
  <si>
    <t>JT HAYNE AND KM SIMSHAUSER</t>
  </si>
  <si>
    <t>INV-2002-AWARR</t>
  </si>
  <si>
    <t>Local branch event RaboTruck M</t>
  </si>
  <si>
    <t>INV-2002</t>
  </si>
  <si>
    <t>WARROO PARTNERSHIP</t>
  </si>
  <si>
    <t>Sunday, 19 January 2025</t>
  </si>
  <si>
    <t>Monday, 20 January 2025</t>
  </si>
  <si>
    <t>00000412-ANORT51</t>
  </si>
  <si>
    <t>Darwin Branch sponsorship 2025</t>
  </si>
  <si>
    <t>NORTHERN TERRITORY FARMERS ASSOCIATION</t>
  </si>
  <si>
    <t>1013687953-APOST07</t>
  </si>
  <si>
    <t>Auspost Dec 24</t>
  </si>
  <si>
    <t>610-AGIPP00</t>
  </si>
  <si>
    <t>Gippsland Red Meat Conference</t>
  </si>
  <si>
    <t>GIPPSLAND AGRICULTURAL GROUP (182920421)</t>
  </si>
  <si>
    <t>610-AGIPP02</t>
  </si>
  <si>
    <t>AR001558-AAGRI25</t>
  </si>
  <si>
    <t>Co hosting event with AgriFutu</t>
  </si>
  <si>
    <t>AR001558</t>
  </si>
  <si>
    <t>AGRIFUTURES AUSTRALIA</t>
  </si>
  <si>
    <t>YFFB-20 Keeffe</t>
  </si>
  <si>
    <t>YFFB-12 Poole</t>
  </si>
  <si>
    <t>YFFB-22 Bradshaw</t>
  </si>
  <si>
    <t>YFFB-23 Kenny</t>
  </si>
  <si>
    <t>YFFB-27 Ryan</t>
  </si>
  <si>
    <t>YFFB-30 Turner</t>
  </si>
  <si>
    <t>YFFB-31 Wholagan</t>
  </si>
  <si>
    <t>YFFB-33 Darlow</t>
  </si>
  <si>
    <t>YFFB-9 Young</t>
  </si>
  <si>
    <t>Tuesday, 21 January 2025</t>
  </si>
  <si>
    <t>Wednesday, 22 January 2025</t>
  </si>
  <si>
    <t>Thursday, 23 January 2025</t>
  </si>
  <si>
    <t>Friday, 24 January 2025</t>
  </si>
  <si>
    <t>INV-0037-ASAVE01</t>
  </si>
  <si>
    <t>Saveful - fridge full of recip</t>
  </si>
  <si>
    <t>INV-0037</t>
  </si>
  <si>
    <t>Sunday, 26 January 2025</t>
  </si>
  <si>
    <t>Monday, 27 January 2025</t>
  </si>
  <si>
    <t>Tuesday, 28 January 2025</t>
  </si>
  <si>
    <t>175508-FT2502892V1C</t>
  </si>
  <si>
    <t>Wednesday, 29 January 2025</t>
  </si>
  <si>
    <t>Rabobank CB Paid Media Campaig</t>
  </si>
  <si>
    <t>Rabobank Paid Media Retainer</t>
  </si>
  <si>
    <t>Rabobank ROS Paid Media - Aff</t>
  </si>
  <si>
    <t>Rabobank ROS Paid Media - cre</t>
  </si>
  <si>
    <t>Rabobank ROS Paid Media - Sear</t>
  </si>
  <si>
    <t>Rabobank ROS Paid Media - Soci</t>
  </si>
  <si>
    <t>164831-FT25029SV9LV</t>
  </si>
  <si>
    <t>Thursday, 30 January 2025</t>
  </si>
  <si>
    <t>165036-FT25030CJM6C</t>
  </si>
  <si>
    <t>YFFB-38 Hassell</t>
  </si>
  <si>
    <t>YFFB-24 Smith</t>
  </si>
  <si>
    <t>YFFB-28 Dunkley</t>
  </si>
  <si>
    <t>YFFB-32 Smith</t>
  </si>
  <si>
    <t>YFFB-34 House</t>
  </si>
  <si>
    <t>YFFB-35 House</t>
  </si>
  <si>
    <t>YFFB-36 Edwards</t>
  </si>
  <si>
    <t>YFFB-37 Rax</t>
  </si>
  <si>
    <t>YFFB-40 Cleghorn</t>
  </si>
  <si>
    <t>YFFB-41 Fulwood</t>
  </si>
  <si>
    <t>Friday, 31 January 2025</t>
  </si>
  <si>
    <t>Monday, 3 February 2025</t>
  </si>
  <si>
    <t>04001932-AFINA00</t>
  </si>
  <si>
    <t>FAAA Roadshow sponsorship x 6</t>
  </si>
  <si>
    <t>FINANCIAL ADVICE ASSOCIATION</t>
  </si>
  <si>
    <t>1000-ABENE01</t>
  </si>
  <si>
    <t>Beneath The Brim Sponsorship b</t>
  </si>
  <si>
    <t>A DAUGHTERS WAY LTD  TA BENEATH THE BRIM</t>
  </si>
  <si>
    <t>1327563-ARYDG05</t>
  </si>
  <si>
    <t>Deposit for Ekka Function</t>
  </si>
  <si>
    <t>RYDGES FORTITUDE VALLEY</t>
  </si>
  <si>
    <t>198-AMORE23</t>
  </si>
  <si>
    <t>Moree on a Plate Sponsorship</t>
  </si>
  <si>
    <t>MOREE ON A PLATE INCORPORATED</t>
  </si>
  <si>
    <t>2410232-ATURN01</t>
  </si>
  <si>
    <t>Pink Trucker Caps - Townsville</t>
  </si>
  <si>
    <t>2522-AARMI09</t>
  </si>
  <si>
    <t>Sponsorship of Armidale Campdr</t>
  </si>
  <si>
    <t>ARMIDALE CAMPDRAFT CLUB INC</t>
  </si>
  <si>
    <t>269-AAUST23</t>
  </si>
  <si>
    <t>ADC Reg Alistair Miller MAC Ql</t>
  </si>
  <si>
    <t>5025-AGUYR00</t>
  </si>
  <si>
    <t>Sponsorship of Guyra Show</t>
  </si>
  <si>
    <t>GUYRA SHOW SOCIETY</t>
  </si>
  <si>
    <t>Tuesday, 4 February 2025</t>
  </si>
  <si>
    <t>167870-FT25035PBFJS</t>
  </si>
  <si>
    <t>YFFB-39 Bairstow</t>
  </si>
  <si>
    <t>YFFB-14 Tremlett</t>
  </si>
  <si>
    <t>YFFB-15 Tremlett</t>
  </si>
  <si>
    <t>YFFB-44 Luers</t>
  </si>
  <si>
    <t>Monday, 10 February 2025</t>
  </si>
  <si>
    <t>0211-WNICK00</t>
  </si>
  <si>
    <t>1013753969-APOST07</t>
  </si>
  <si>
    <t>Auspost Jan 25</t>
  </si>
  <si>
    <t>240830-ATURN01</t>
  </si>
  <si>
    <t>Pens Dalby Branch</t>
  </si>
  <si>
    <t>618839-AVISI01</t>
  </si>
  <si>
    <t>6-26/01/25-ACANA01</t>
  </si>
  <si>
    <t>Can Assist Header Drivers Spon</t>
  </si>
  <si>
    <t>6-26/01/25</t>
  </si>
  <si>
    <t>CAN ASSIST</t>
  </si>
  <si>
    <t>I-250108-003-ABRAN06</t>
  </si>
  <si>
    <t>I-250108-003</t>
  </si>
  <si>
    <t>AUSTRALIAN BRANGUS CATTLE ASSOCIATION</t>
  </si>
  <si>
    <t>INV-0035-AGROW01</t>
  </si>
  <si>
    <t>GROWQ Sponsorship Fee</t>
  </si>
  <si>
    <t>INV-0035</t>
  </si>
  <si>
    <t>GROWQ ASSOCIATION INC</t>
  </si>
  <si>
    <t>INV-0219-ADUAL00</t>
  </si>
  <si>
    <t>Farm to Fork farm testimonial,</t>
  </si>
  <si>
    <t>INV-0219</t>
  </si>
  <si>
    <t>INVCAN-900007394-ACANS00</t>
  </si>
  <si>
    <t>ROS Canstar portal database fe</t>
  </si>
  <si>
    <t>INVCAN-900007394</t>
  </si>
  <si>
    <t>125-ABARR00</t>
  </si>
  <si>
    <t>Sponsorship of Barraba Show</t>
  </si>
  <si>
    <t>BARRABA P A &amp; H ASSOCIATION INC</t>
  </si>
  <si>
    <t>INV-0225-AEPIC06</t>
  </si>
  <si>
    <t>Sponsorship of Epic Horse Sale</t>
  </si>
  <si>
    <t>INV-0225</t>
  </si>
  <si>
    <t>EPIC HORSE SALE AND CAMPDRAFT PTY LTD</t>
  </si>
  <si>
    <t>INV-0365-ASOUT24</t>
  </si>
  <si>
    <t>Sponsorship of Cotton Growers</t>
  </si>
  <si>
    <t>INV-0365</t>
  </si>
  <si>
    <t>SOUTHERN VALLEYS COTTON GROWERS ASS</t>
  </si>
  <si>
    <t>Wednesday, 12 February 2025</t>
  </si>
  <si>
    <t>Thursday, 13 February 2025</t>
  </si>
  <si>
    <t>00000661-ANYNG00</t>
  </si>
  <si>
    <t>Sponsorship of Nyngan Show Spe</t>
  </si>
  <si>
    <t>NYNGAN SHOW SOCIETY INC</t>
  </si>
  <si>
    <t>1-2112-AGLEN04</t>
  </si>
  <si>
    <t>Sponsorship of Glenn Innes Sho</t>
  </si>
  <si>
    <t>GLEN INNES SHOW SOCIETY INC</t>
  </si>
  <si>
    <t>INV-0689-AMONA08</t>
  </si>
  <si>
    <t>2025 Sponsorship of Monaro Far</t>
  </si>
  <si>
    <t>INV-0689</t>
  </si>
  <si>
    <t>MONARO FARMING SYSTEMS</t>
  </si>
  <si>
    <t>INV-10370_AU_202411-ATRAC01</t>
  </si>
  <si>
    <t>Tracksuit invoice (difference</t>
  </si>
  <si>
    <t>Friday, 14 February 2025</t>
  </si>
  <si>
    <t>21-ACUMN02</t>
  </si>
  <si>
    <t>Sponsorship of Cumnock Show</t>
  </si>
  <si>
    <t>CUMNOCK SHOW SOCIETY INC</t>
  </si>
  <si>
    <t>Sunday, 16 February 2025</t>
  </si>
  <si>
    <t>Monday, 17 February 2025</t>
  </si>
  <si>
    <t>00019468-AROYA06</t>
  </si>
  <si>
    <t>Twba Branch 2025 s/ship Twba R</t>
  </si>
  <si>
    <t>ROYAL AGRICULTURAL SOCIETY OF QUEENSLAND</t>
  </si>
  <si>
    <t>00066992-ALIGH03</t>
  </si>
  <si>
    <t>Cattle Cards Armidale branch</t>
  </si>
  <si>
    <t>2411301-ATURN01</t>
  </si>
  <si>
    <t>Welcome Gifts - November 2024</t>
  </si>
  <si>
    <t>2774-ATURN01</t>
  </si>
  <si>
    <t>Sunscreen promo items for CC i</t>
  </si>
  <si>
    <t>INV-10913-ANUFF00</t>
  </si>
  <si>
    <t>Nuffield Australia Scholar Spo</t>
  </si>
  <si>
    <t>INV-10913</t>
  </si>
  <si>
    <t>INV-0245-ADECC00</t>
  </si>
  <si>
    <t>2023 Tamworth Rural Women's Da</t>
  </si>
  <si>
    <t>INV-0245</t>
  </si>
  <si>
    <t>DEC COMMUNICATIONS PTY LTD</t>
  </si>
  <si>
    <t>173925-FT25048V15JZ</t>
  </si>
  <si>
    <t>173926-FT25048C95W6</t>
  </si>
  <si>
    <t>Tuesday, 18 February 2025</t>
  </si>
  <si>
    <t>1691-ABOOR00</t>
  </si>
  <si>
    <t>Sponsorship of the wool and Ca</t>
  </si>
  <si>
    <t>BOOROWA SHOW SOCIETY INC</t>
  </si>
  <si>
    <t>2063-ASHAN05</t>
  </si>
  <si>
    <t>North East Dairy Business grou</t>
  </si>
  <si>
    <t>241118-ATURN01</t>
  </si>
  <si>
    <t>Collateral for Truck event and</t>
  </si>
  <si>
    <t>2650-AGANN00</t>
  </si>
  <si>
    <t>INV-030721-ACENT02</t>
  </si>
  <si>
    <t>Events Air invoice</t>
  </si>
  <si>
    <t>INV-030721</t>
  </si>
  <si>
    <t>INV-0515-ANORT07</t>
  </si>
  <si>
    <t>Sponsorship of the Night at th</t>
  </si>
  <si>
    <t>NORTH STAR SPORTING CLUB LIMITED</t>
  </si>
  <si>
    <t>INV-0556-AWALG00</t>
  </si>
  <si>
    <t>Sponsorship of Walgett Show</t>
  </si>
  <si>
    <t>INV-0556</t>
  </si>
  <si>
    <t>WALGETT SHOW SOCIETY INC</t>
  </si>
  <si>
    <t>INV-1144-AICPA06</t>
  </si>
  <si>
    <t>ICPA Spons Payment</t>
  </si>
  <si>
    <t>INV-1144</t>
  </si>
  <si>
    <t>ICPA QLD INC</t>
  </si>
  <si>
    <t>INV1287-ATHEF04</t>
  </si>
  <si>
    <t>World Angus Forum - Presenter</t>
  </si>
  <si>
    <t>INV1287</t>
  </si>
  <si>
    <t>INV-14844-ABRYA02</t>
  </si>
  <si>
    <t>2024 accrual - Paid media agen</t>
  </si>
  <si>
    <t>INV-14844</t>
  </si>
  <si>
    <t>INV-14960-ABRYA02</t>
  </si>
  <si>
    <t>2024 accrual -</t>
  </si>
  <si>
    <t>INV-14960</t>
  </si>
  <si>
    <t>INV192133-AKG2P00</t>
  </si>
  <si>
    <t>CB Brand Health Australia Invo</t>
  </si>
  <si>
    <t>INV192133</t>
  </si>
  <si>
    <t>KISIMUL HOLDINGS PTY LTD</t>
  </si>
  <si>
    <t>INV-22354-ASOUP01</t>
  </si>
  <si>
    <t>truck stubby holder Gippsland</t>
  </si>
  <si>
    <t>INV-22354</t>
  </si>
  <si>
    <t>truck stubby holder Goulburn</t>
  </si>
  <si>
    <t>INV-4990/76-ASOLU01</t>
  </si>
  <si>
    <t>Truck diesel Moree</t>
  </si>
  <si>
    <t>INV-4990/76</t>
  </si>
  <si>
    <t>Truck diesel Toowoomba</t>
  </si>
  <si>
    <t>Wednesday, 19 February 2025</t>
  </si>
  <si>
    <t>INV-14845-ABRYA02</t>
  </si>
  <si>
    <t>2024 accrual - CB boosted post</t>
  </si>
  <si>
    <t>INV-14845</t>
  </si>
  <si>
    <t>2024 accrual - ROS social - De</t>
  </si>
  <si>
    <t>INV-14881-ABRYA02</t>
  </si>
  <si>
    <t>2024 accrual - CB brand campai</t>
  </si>
  <si>
    <t>INV-14881</t>
  </si>
  <si>
    <t>INV-14992-ABRYA02</t>
  </si>
  <si>
    <t>2024 accrual - CB search marke</t>
  </si>
  <si>
    <t>INV-14992</t>
  </si>
  <si>
    <t>2024 accrual - ROS search mark</t>
  </si>
  <si>
    <t>INV-14999-ABRYA02</t>
  </si>
  <si>
    <t>2024 accrual - ROS paid media</t>
  </si>
  <si>
    <t>INV-14999</t>
  </si>
  <si>
    <t>164796-FT2505032DVZ</t>
  </si>
  <si>
    <t>164797-FT25050FQ2TV</t>
  </si>
  <si>
    <t>Thursday, 20 February 2025</t>
  </si>
  <si>
    <t>11/02/2025(1)-AANDR16</t>
  </si>
  <si>
    <t>Staff Photo's</t>
  </si>
  <si>
    <t>11/02/2025(1)</t>
  </si>
  <si>
    <t>ANDREW PEARSON PHOTOGRAPHY</t>
  </si>
  <si>
    <t>2101-ASTIR00</t>
  </si>
  <si>
    <t>Accrued from 2024: STCF Gold S</t>
  </si>
  <si>
    <t>STIRLINGS TO COAST FARMERS</t>
  </si>
  <si>
    <t>165990-FT25051GSX7S</t>
  </si>
  <si>
    <t>YFFB-42 Edwards</t>
  </si>
  <si>
    <t>YFFB-47 Kitto</t>
  </si>
  <si>
    <t>Friday, 21 February 2025</t>
  </si>
  <si>
    <t>INV-0178-AMARR01</t>
  </si>
  <si>
    <t>Sponsorship Marree Gymkhana &amp;</t>
  </si>
  <si>
    <t>MARREE SPORTS CLUB INCORPORATED</t>
  </si>
  <si>
    <t>INV-3384-ACATT03</t>
  </si>
  <si>
    <t>Platinum Sponsorship - Cattle</t>
  </si>
  <si>
    <t>INV-3384</t>
  </si>
  <si>
    <t>CATTLE AUSTRALIA</t>
  </si>
  <si>
    <t>NAFF-27-AASSO06</t>
  </si>
  <si>
    <t>NTCA Cocktail Party Reg Fee G</t>
  </si>
  <si>
    <t>NAFF-27</t>
  </si>
  <si>
    <t>ASSOCIATED ADVERTISING AND PROMOTIONS</t>
  </si>
  <si>
    <t>Sunday, 23 February 2025</t>
  </si>
  <si>
    <t>Monday, 24 February 2025</t>
  </si>
  <si>
    <t>Tuesday, 25 February 2025</t>
  </si>
  <si>
    <t>Wednesday, 26 February 2025</t>
  </si>
  <si>
    <t>163022-FT25057KDQPC</t>
  </si>
  <si>
    <t>Thursday, 27 February 2025</t>
  </si>
  <si>
    <t>Friday, 28 February 2025</t>
  </si>
  <si>
    <t>YFFB-13 Golding</t>
  </si>
  <si>
    <t>YFFB-46 Lord</t>
  </si>
  <si>
    <t>YFFB-48 Quartermaine</t>
  </si>
  <si>
    <t>Monday, 3 March 2025</t>
  </si>
  <si>
    <t>2025058-AWIMM00</t>
  </si>
  <si>
    <t>Horsham Wimmera Field Days 202</t>
  </si>
  <si>
    <t>WIMMERA MACHINERY FIELD DAYS INC</t>
  </si>
  <si>
    <t>ASCF-0078-AAUST86</t>
  </si>
  <si>
    <t>NSW Client Council Sponsorship</t>
  </si>
  <si>
    <t>ASCF-0078</t>
  </si>
  <si>
    <t>INV192145-AKG2P00</t>
  </si>
  <si>
    <t>Brand Health - Invoice 2</t>
  </si>
  <si>
    <t>INV192145</t>
  </si>
  <si>
    <t>INV-51-ACOUR00</t>
  </si>
  <si>
    <t>Q1 2025 Rabo Rural Confidence</t>
  </si>
  <si>
    <t>INV-51</t>
  </si>
  <si>
    <t>Tuesday, 4 March 2025</t>
  </si>
  <si>
    <t>00067136-ALIGH03</t>
  </si>
  <si>
    <t>Deliver notepad ICPA (Tim)</t>
  </si>
  <si>
    <t>2100986-AKWIK03</t>
  </si>
  <si>
    <t>Menu ADC dinner</t>
  </si>
  <si>
    <t>2101012-AKWIK03</t>
  </si>
  <si>
    <t>Place card ADC</t>
  </si>
  <si>
    <t>2101169-AKWIK03</t>
  </si>
  <si>
    <t>Promocard Gp'land events</t>
  </si>
  <si>
    <t>2101380-AKWIK03</t>
  </si>
  <si>
    <t>Postcard Shepp</t>
  </si>
  <si>
    <t>2101516-AKWIK03</t>
  </si>
  <si>
    <t>Aframe sign Wagin</t>
  </si>
  <si>
    <t>2101518-AKWIK03</t>
  </si>
  <si>
    <t>Aframe sign Wimmera</t>
  </si>
  <si>
    <t>INV-0224-ADUAL00</t>
  </si>
  <si>
    <t>Farm to Fork</t>
  </si>
  <si>
    <t>INV-0224</t>
  </si>
  <si>
    <t>INV-0225-ADUAL00</t>
  </si>
  <si>
    <t>INV-0226-ADUAL00</t>
  </si>
  <si>
    <t>Farm to Fork -TV Airing - Incl</t>
  </si>
  <si>
    <t>INV-0226</t>
  </si>
  <si>
    <t>INV-0227-ADUAL00</t>
  </si>
  <si>
    <t>Farm to Fork- Videography - Fa</t>
  </si>
  <si>
    <t>INV-0227</t>
  </si>
  <si>
    <t>INV-1109-ASOUT23</t>
  </si>
  <si>
    <t>SE Field Days sponorship</t>
  </si>
  <si>
    <t>INV-1109</t>
  </si>
  <si>
    <t>SOUTH EAST FIELD DAYS</t>
  </si>
  <si>
    <t>AU032072</t>
  </si>
  <si>
    <t>INV-1553-ARIDI01</t>
  </si>
  <si>
    <t>2024 Sponsorship of Riding for</t>
  </si>
  <si>
    <t>INV-1553</t>
  </si>
  <si>
    <t>RIDING FOR THE DISABLED OF THE ACT INC</t>
  </si>
  <si>
    <t>INVRMK2946-ARAIN10</t>
  </si>
  <si>
    <t>MoneyMag SMSF award ad s</t>
  </si>
  <si>
    <t>INVRMK2946</t>
  </si>
  <si>
    <t>00000572-AWAGI03</t>
  </si>
  <si>
    <t>Wagin Woolorama 2025: Addition</t>
  </si>
  <si>
    <t>1-022882-AWIRR00</t>
  </si>
  <si>
    <t>Wirruna Poll Hereford - catalo</t>
  </si>
  <si>
    <t>1-022882</t>
  </si>
  <si>
    <t>WIRRUNA POLL HEREFORD STUD</t>
  </si>
  <si>
    <t>Friday, 7 March 2025</t>
  </si>
  <si>
    <t>0216-WNICK00</t>
  </si>
  <si>
    <t>19-AALLB02</t>
  </si>
  <si>
    <t>Atherton Branch s/ship All Bre</t>
  </si>
  <si>
    <t>ALL BREEDS DAIRY COMMITTEE INC</t>
  </si>
  <si>
    <t>2060-ABOMB00</t>
  </si>
  <si>
    <t>Bombala Show Society-Dog Trial</t>
  </si>
  <si>
    <t>BOMBALA EXHIBITION SOCIETY INC</t>
  </si>
  <si>
    <t>245-AWALC00</t>
  </si>
  <si>
    <t>Sponsorship of the Walcha Show</t>
  </si>
  <si>
    <t>WALCHA SHOW SOCIETY INC.</t>
  </si>
  <si>
    <t>25026-ABARC01</t>
  </si>
  <si>
    <t>Longreach Branch S/Ship 2025 B</t>
  </si>
  <si>
    <t>33862-APROD00</t>
  </si>
  <si>
    <t>Pull up banner sugar Mackay</t>
  </si>
  <si>
    <t>621969-AVISI01</t>
  </si>
  <si>
    <t>CW002-24/02/25-ATRUN00</t>
  </si>
  <si>
    <t>CW002-24/02/25</t>
  </si>
  <si>
    <t>TRUNDLE P &amp; A SOCIETY</t>
  </si>
  <si>
    <t>INV-0007-ATOOL00</t>
  </si>
  <si>
    <t>Roma Branch S/ship of Tooloomb</t>
  </si>
  <si>
    <t>INV-0007</t>
  </si>
  <si>
    <t>TOOLOOMBILLA RODEO AND CAMPDRAFT ASSINC</t>
  </si>
  <si>
    <t>INV-0053-AICPA06</t>
  </si>
  <si>
    <t>Cloncurry Branch S/Ship of ICP</t>
  </si>
  <si>
    <t>INV-0053</t>
  </si>
  <si>
    <t>INV-0228-ADUAL00</t>
  </si>
  <si>
    <t>Farm to Fork testimonial, phot</t>
  </si>
  <si>
    <t>INV-0228</t>
  </si>
  <si>
    <t>INV-0229-ADUAL00</t>
  </si>
  <si>
    <t>Farm to F0rk TV airing, social</t>
  </si>
  <si>
    <t>INV-0229</t>
  </si>
  <si>
    <t>INV-1671-AALPH03</t>
  </si>
  <si>
    <t>Emerald Branch 2025 S/Ship Alp</t>
  </si>
  <si>
    <t>INV-1671</t>
  </si>
  <si>
    <t>IV00000000464-ALASC00</t>
  </si>
  <si>
    <t>Room Hire for Griffith Client</t>
  </si>
  <si>
    <t>IV00000000464</t>
  </si>
  <si>
    <t>LA SCALA RESTAURANT GRIFFITH PTY LTD</t>
  </si>
  <si>
    <t>YFFB-43 Newman</t>
  </si>
  <si>
    <t>YFFB-16 Rudolph</t>
  </si>
  <si>
    <t>Monday, 10 March 2025</t>
  </si>
  <si>
    <t>000425990-AUNIV02</t>
  </si>
  <si>
    <t>Feeder steer school 2.0 comerc</t>
  </si>
  <si>
    <t>UNIVERSITY OF NEW ENGLAND</t>
  </si>
  <si>
    <t>011-AMUTT01</t>
  </si>
  <si>
    <t>Longreach Branch S/Ship 2025 M</t>
  </si>
  <si>
    <t>89876-ANUNN00</t>
  </si>
  <si>
    <t>AIO rate ad</t>
  </si>
  <si>
    <t>89877-ANUNN00</t>
  </si>
  <si>
    <t>Deposits rate ad</t>
  </si>
  <si>
    <t>INV-0297-ALONG02</t>
  </si>
  <si>
    <t>Longreach Branch S/Ship 2025 S</t>
  </si>
  <si>
    <t>INV-0297</t>
  </si>
  <si>
    <t>INV-1369-AVNRP00</t>
  </si>
  <si>
    <t>AIO video Rupert</t>
  </si>
  <si>
    <t>INV-1369</t>
  </si>
  <si>
    <t>VNR PTY LTD TA VNR CREATIVE</t>
  </si>
  <si>
    <t>170653-FT25069VHZNN</t>
  </si>
  <si>
    <t>Wednesday, 12 March 2025</t>
  </si>
  <si>
    <t>Thursday, 13 March 2025</t>
  </si>
  <si>
    <t>101833-AGREE05</t>
  </si>
  <si>
    <t>Truck carbon offset 2024</t>
  </si>
  <si>
    <t>INV-0039-AISOL00</t>
  </si>
  <si>
    <t>AU2197</t>
  </si>
  <si>
    <t>INV-0039</t>
  </si>
  <si>
    <t>ISOLATED CHILDREN'S PARENT'S ASSOCIATION</t>
  </si>
  <si>
    <t>YFFB-45 Walton</t>
  </si>
  <si>
    <t>YFFB-49 Stead</t>
  </si>
  <si>
    <t>Friday, 14 March 2025</t>
  </si>
  <si>
    <t>00000814-ATARA01</t>
  </si>
  <si>
    <t>Sponsorship of the Taralga Sho</t>
  </si>
  <si>
    <t>TARALGA A.P.&amp;.H ASSOCIATION INC</t>
  </si>
  <si>
    <t>01202530921183-AELDE00</t>
  </si>
  <si>
    <t>Sponsorship of the Elders Golf</t>
  </si>
  <si>
    <t>ELDERS (GOULBURN)</t>
  </si>
  <si>
    <t>1-000918-ATULL03</t>
  </si>
  <si>
    <t>Sponsorship of the Tullibigeal</t>
  </si>
  <si>
    <t>1-000918</t>
  </si>
  <si>
    <t>TULLIBIGEAL PICNIC RACE CLUB INC</t>
  </si>
  <si>
    <t>101-AYOUN01</t>
  </si>
  <si>
    <t>Sponsorship of Young Agri Prof</t>
  </si>
  <si>
    <t>YOUNG AGRI PROFESSIONALS</t>
  </si>
  <si>
    <t>2826-ATURN01</t>
  </si>
  <si>
    <t>Deposit merchandise for the FA</t>
  </si>
  <si>
    <t>33880-APROD00</t>
  </si>
  <si>
    <t>Outdoor cafe umbrella x 4</t>
  </si>
  <si>
    <t>INV-0134-AROWE02</t>
  </si>
  <si>
    <t>Sponsorship of the Rowena Crac</t>
  </si>
  <si>
    <t>INV-0134</t>
  </si>
  <si>
    <t>INV-1172-ASOUT23</t>
  </si>
  <si>
    <t>SE field Days - ICE</t>
  </si>
  <si>
    <t>INV-1172</t>
  </si>
  <si>
    <t>WPA202425 - 001-AWARI00</t>
  </si>
  <si>
    <t>Sponsorship of the Warialda Sh</t>
  </si>
  <si>
    <t>WPA202425 - 001</t>
  </si>
  <si>
    <t>WARIALDA P AND A ASSOC. INC</t>
  </si>
  <si>
    <t>Sunday, 16 March 2025</t>
  </si>
  <si>
    <t>INV-5953-AARVE00</t>
  </si>
  <si>
    <t>Ag fest,Gippsland event</t>
  </si>
  <si>
    <t>INV-5953</t>
  </si>
  <si>
    <t>ARVEEJAY INDUSTRIES PTY LTD</t>
  </si>
  <si>
    <t>AgQuip, Henty Field Days</t>
  </si>
  <si>
    <t>coffee cup FNQ FDs</t>
  </si>
  <si>
    <t>coffee cup SE FDs</t>
  </si>
  <si>
    <t>coffee cups AngusEXPO</t>
  </si>
  <si>
    <t>Tax coffee cups</t>
  </si>
  <si>
    <t>Monday, 17 March 2025</t>
  </si>
  <si>
    <t>1013805868-APOST07</t>
  </si>
  <si>
    <t>Auspost Feb 24</t>
  </si>
  <si>
    <t>173962-FT250762WTXF</t>
  </si>
  <si>
    <t>Tuesday, 18 March 2025</t>
  </si>
  <si>
    <t>80354-OSPRI00</t>
  </si>
  <si>
    <t>00003390-AWHAR00</t>
  </si>
  <si>
    <t>NTCA Catering for pre conf eve</t>
  </si>
  <si>
    <t>WHARF ONE FOOD &amp; WINE IL LIDO BAR PIZZA</t>
  </si>
  <si>
    <t>00013361-AQUAL08</t>
  </si>
  <si>
    <t>13704-AMACK23</t>
  </si>
  <si>
    <t>Women In Sugar Conference Reg</t>
  </si>
  <si>
    <t>3617-AMALA01</t>
  </si>
  <si>
    <t>Atherton Branch S/Ship - 2025</t>
  </si>
  <si>
    <t>MALANDA PASTORAL AGRICULTURAL</t>
  </si>
  <si>
    <t>INV 016-AGREE00</t>
  </si>
  <si>
    <t>Campdraft Sponsorship 2025</t>
  </si>
  <si>
    <t>INV 016</t>
  </si>
  <si>
    <t>GREENVALE RODEO &amp; CAMPDRAFTING CLUB INC</t>
  </si>
  <si>
    <t>INV-22088-ASTEE00</t>
  </si>
  <si>
    <t>INV-22088</t>
  </si>
  <si>
    <t>PSI-000380-AMURR07</t>
  </si>
  <si>
    <t>Murray Dairy Limited  - Goulbu</t>
  </si>
  <si>
    <t>PSI-000380</t>
  </si>
  <si>
    <t>Wednesday, 19 March 2025</t>
  </si>
  <si>
    <t>Thursday, 20 March 2025</t>
  </si>
  <si>
    <t>2852-ATURN01</t>
  </si>
  <si>
    <t>Gift bags for WAB</t>
  </si>
  <si>
    <t>Sunday, 23 March 2025</t>
  </si>
  <si>
    <t>Monday, 24 March 2025</t>
  </si>
  <si>
    <t>1052656-AANGU01</t>
  </si>
  <si>
    <t>WAF Teys Shout Out Tickets</t>
  </si>
  <si>
    <t>YFFB-50 Dykes</t>
  </si>
  <si>
    <t>Tuesday, 25 March 2025</t>
  </si>
  <si>
    <t>Wednesday, 26 March 2025</t>
  </si>
  <si>
    <t>Thursday, 27 March 2025</t>
  </si>
  <si>
    <t>166482-FT250866YZDC</t>
  </si>
  <si>
    <t>Sunday, 30 March 2025</t>
  </si>
  <si>
    <t>Monday, 31 March 2025</t>
  </si>
  <si>
    <t>362965-FT25090QDXY5</t>
  </si>
  <si>
    <t>Maureen Wilde gift</t>
  </si>
  <si>
    <t>00018230-ARURA00</t>
  </si>
  <si>
    <t>Agfest Tax Invoice - Site Paym</t>
  </si>
  <si>
    <t>RURAL YOUTH ORGANISATION OF TASMANIA INC</t>
  </si>
  <si>
    <t>RyanR-Entertainment Expense</t>
  </si>
  <si>
    <t>RaboLive - Client Gift</t>
  </si>
  <si>
    <t>ORANGE CELLARS/153218026358</t>
  </si>
  <si>
    <t>RyanR-Other Personnel Expense</t>
  </si>
  <si>
    <t>LS MARTHAS FOOD &amp; HOME</t>
  </si>
  <si>
    <t>14220-AHAMI04</t>
  </si>
  <si>
    <t>Venue hire for client Christma</t>
  </si>
  <si>
    <t>Catering RMS stakeholder lunch</t>
  </si>
  <si>
    <t>The Cheesecake Shop</t>
  </si>
  <si>
    <t>HAYLEY ELIZABETH CROUC</t>
  </si>
  <si>
    <t>McconvilleP-Domestic &amp; Oversea</t>
  </si>
  <si>
    <t>Julia Creek End of Year Client Function - Venue &amp; Accommodation - Peter Mcconville</t>
  </si>
  <si>
    <t>KOPPEN CONSTRUCTION PT</t>
  </si>
  <si>
    <t>SMP*Bakers DelightStur</t>
  </si>
  <si>
    <t>Temora Client Christmas Party</t>
  </si>
  <si>
    <t>The Railway Hotel Temo</t>
  </si>
  <si>
    <t>Back in Branch Morning Tea</t>
  </si>
  <si>
    <t>Function event ticket</t>
  </si>
  <si>
    <t>publication on markets and implications of Tump tariff issues</t>
  </si>
  <si>
    <t>SYD201</t>
  </si>
  <si>
    <t>GruchyR-Default Licensee Merch</t>
  </si>
  <si>
    <t>cool room hire for Rabo Truck Xmas Moree</t>
  </si>
  <si>
    <t>JOCKS HIRE</t>
  </si>
  <si>
    <t>TaylorF-Airfares</t>
  </si>
  <si>
    <t>Lucky Door Prize - Moree RaboTruck Event</t>
  </si>
  <si>
    <t>TOURISM MOREE INC</t>
  </si>
  <si>
    <t>Lukcy door prizes - Moree RaboTruck event</t>
  </si>
  <si>
    <t>SMP*PR Interiors</t>
  </si>
  <si>
    <t>Table Xmas Decorations - Moree RaboTruck event</t>
  </si>
  <si>
    <t>ERAYNE TRADING PTY LTD</t>
  </si>
  <si>
    <t>Ice - Moree RaboTruck Event</t>
  </si>
  <si>
    <t>Tea &amp; Coffee Station - Moree RaboTruck event</t>
  </si>
  <si>
    <t>0690-AMURP01</t>
  </si>
  <si>
    <t>HodgeM-Offshore Meals &amp; Lodgin</t>
  </si>
  <si>
    <t>Raboresearch dairy event - Client</t>
  </si>
  <si>
    <t>SQ *CLYDESDALE HOTEL</t>
  </si>
  <si>
    <t>Raboresearch dairy event - Prospect</t>
  </si>
  <si>
    <t>Raboresearch dairy event - Staff</t>
  </si>
  <si>
    <t>IrwinP-Domestic &amp; Overseas lod</t>
  </si>
  <si>
    <t>Rochester DBN - Dinner 10-12-2024 - Andrew Tyler</t>
  </si>
  <si>
    <t>Caledonian Hotel Motel</t>
  </si>
  <si>
    <t>Rochester DBN - Dinner 10-12-2024 - Ged Myers</t>
  </si>
  <si>
    <t>Rochester DBN - Dinner 10-12-2024 - Heather Acocks</t>
  </si>
  <si>
    <t>Rochester DBN - Dinner 10-12-2024 - James Tyler</t>
  </si>
  <si>
    <t>Rochester DBN - Dinner 10-12-2024 - Lisa Myers</t>
  </si>
  <si>
    <t>Rochester DBN - Dinner 10-12-2024 - Michael Acocks</t>
  </si>
  <si>
    <t>Rochester DBN - Dinner 10-12-2024 - Peter Irwin</t>
  </si>
  <si>
    <t>Rochester DBN - Dinner 10-12-2024 - Robyn Tyler</t>
  </si>
  <si>
    <t>Rochester DBN - Dinner 10-12-2024 - Tom Acocks</t>
  </si>
  <si>
    <t>CB AU - Client Dinner Jugiong</t>
  </si>
  <si>
    <t>Sir George Hotel</t>
  </si>
  <si>
    <t>CB AU Temora Event</t>
  </si>
  <si>
    <t>Sarah Wheeler - Decal</t>
  </si>
  <si>
    <t>Vistaprint Australia PTY</t>
  </si>
  <si>
    <t>Ayr Branch - Women in Ag Advertorial</t>
  </si>
  <si>
    <t>MYO*CORE PUBLISHING  E/219504337834</t>
  </si>
  <si>
    <t>McconvilleP-Offshore Meals &amp; L</t>
  </si>
  <si>
    <t>Julia Creek End of Year Client Function - Catering</t>
  </si>
  <si>
    <t>CORRINAS</t>
  </si>
  <si>
    <t>Julia Creek End of Year Client Function - Drinks - Julia Creek Client Funciton</t>
  </si>
  <si>
    <t>RED EARTH HOTEL</t>
  </si>
  <si>
    <t>monthly online Tele News.com subscription</t>
  </si>
  <si>
    <t>C011/1-OOUTS00</t>
  </si>
  <si>
    <t>AIO video</t>
  </si>
  <si>
    <t>C011/1</t>
  </si>
  <si>
    <t>C011/2-OOUTS00</t>
  </si>
  <si>
    <t>AIO video invoice two</t>
  </si>
  <si>
    <t>C011/2</t>
  </si>
  <si>
    <t>IrwinP-Entertainment Expense</t>
  </si>
  <si>
    <t>Entry tickets International Dairy Week</t>
  </si>
  <si>
    <t>SQ *INTERNATIONAL DAIRY W</t>
  </si>
  <si>
    <t>Ross Dawson - Global Food Forum TIckets</t>
  </si>
  <si>
    <t>TICKETS*THE AUSTRA/fs72t8tf</t>
  </si>
  <si>
    <t>RigbyC-Other Personnel Expense</t>
  </si>
  <si>
    <t>James Ashworth - Client Gift - Delia Sparkes Metcash</t>
  </si>
  <si>
    <t>SP  LILAC AND WILLOW</t>
  </si>
  <si>
    <t>annual Weekly Times subscription</t>
  </si>
  <si>
    <t>monthly Teleg/News.com subscription</t>
  </si>
  <si>
    <t>Beyond Soil Sustainability event</t>
  </si>
  <si>
    <t>EB *Beyond Soil Sustai</t>
  </si>
  <si>
    <t>MLA BeefUp Forum Cloncurry - Registration</t>
  </si>
  <si>
    <t>AU032041</t>
  </si>
  <si>
    <t>79885-OSPRI00</t>
  </si>
  <si>
    <t>Sprinklr Subscription</t>
  </si>
  <si>
    <t>SPRINKLR INC.</t>
  </si>
  <si>
    <t>3083-AMILL00</t>
  </si>
  <si>
    <t>Twba Branch 2025 s/ship Millme</t>
  </si>
  <si>
    <t>Cloncurry Beef Expo Ticket</t>
  </si>
  <si>
    <t>Dinner tickets for Murray Wallace to HLN beef dinner - Ivan Liley</t>
  </si>
  <si>
    <t>TICKETS*HOLBROOK B/gxd44kax</t>
  </si>
  <si>
    <t>Dinner tickets for Murray Wallace to HLN beef dinner - Murray Wallace</t>
  </si>
  <si>
    <t>annual membership</t>
  </si>
  <si>
    <t>RIVERINEPLAINS.ORG.AU</t>
  </si>
  <si>
    <t>BennettA-Entertainment Expense</t>
  </si>
  <si>
    <t>Gannon discussion group xmas drinks</t>
  </si>
  <si>
    <t>SQ *NERRENA CRICKET CLUB</t>
  </si>
  <si>
    <t>Cotton Dinner tickets</t>
  </si>
  <si>
    <t>TRYBOOKING*CHCGIA/219528771395</t>
  </si>
  <si>
    <t>Sponsorship - Cotton Dinner</t>
  </si>
  <si>
    <t>INV-0141-ABUCK02</t>
  </si>
  <si>
    <t>BFIG Sponsorship INV0141</t>
  </si>
  <si>
    <t>BUCKLEBOO FARM IMPROVEMENT GROUP INC</t>
  </si>
  <si>
    <t>annual subscription</t>
  </si>
  <si>
    <t>Dropbox KYJXMB1Z38Y7</t>
  </si>
  <si>
    <t>Moulamein Races (Drinks) - client event</t>
  </si>
  <si>
    <t>Moulalein Races (Food) - Client event</t>
  </si>
  <si>
    <t>IrwinP-Offshore Meals &amp; Lodgin</t>
  </si>
  <si>
    <t>Venue hire - Moama RSL - RaboResearch Grains dinner</t>
  </si>
  <si>
    <t>MOAMA RSL</t>
  </si>
  <si>
    <t>IrwinR-Default Licensee Mercha</t>
  </si>
  <si>
    <t>Team Volunterring Day</t>
  </si>
  <si>
    <t>THE SALVATION ARMY</t>
  </si>
  <si>
    <t>Farm Writers networking event</t>
  </si>
  <si>
    <t>burdekin shire council industry breakfast</t>
  </si>
  <si>
    <t>TRYBOOKING*BURDEKIN SHIRE/219534774353</t>
  </si>
  <si>
    <t>INVKYNAU2228-AKYNE00</t>
  </si>
  <si>
    <t>INVKYNAU2228</t>
  </si>
  <si>
    <t>RyanR-Default Licensee Merchan</t>
  </si>
  <si>
    <t>Branch Sponsorship</t>
  </si>
  <si>
    <t>SMP*Ricks Engraving a6b</t>
  </si>
  <si>
    <t>SmithM1-Default Licensee Merch</t>
  </si>
  <si>
    <t>Ticket to Young Aggies Field Day</t>
  </si>
  <si>
    <t>TICKETS*CENTRAL WE/7xebv2rz</t>
  </si>
  <si>
    <t>CEC-12-AANDR00</t>
  </si>
  <si>
    <t>CEC-12</t>
  </si>
  <si>
    <t>C014/1-OOUTS00</t>
  </si>
  <si>
    <t>AIO Bill video creation</t>
  </si>
  <si>
    <t>C014/1</t>
  </si>
  <si>
    <t>RigbyC-Software</t>
  </si>
  <si>
    <t>Client Gift Kate Beddoe - Lunch and Learn</t>
  </si>
  <si>
    <t>SP LITTLE KOHA</t>
  </si>
  <si>
    <t>WallaceMA-Rental - Office Equi</t>
  </si>
  <si>
    <t>Chairs for G&amp;O event Feb 26</t>
  </si>
  <si>
    <t>HUMPHRIES FAMILY ENT</t>
  </si>
  <si>
    <t>Gimble camera</t>
  </si>
  <si>
    <t>SP JB HI-FI ONLINE</t>
  </si>
  <si>
    <t>Burdekin Shire Council Industry Breakfast - Amy</t>
  </si>
  <si>
    <t>TRYBOOKING*BURDEKIN SHIRE/219537836281</t>
  </si>
  <si>
    <t>HarrisM-Offshore Meals &amp; Lodgi</t>
  </si>
  <si>
    <t>meals and drinks Condobalin Ewe and Crop Competition</t>
  </si>
  <si>
    <t>CONDOBOLIN SPORTS CL</t>
  </si>
  <si>
    <t>WAB gifts - 36 wines</t>
  </si>
  <si>
    <t>CellarDoor.co</t>
  </si>
  <si>
    <t>Dairy week ticket</t>
  </si>
  <si>
    <t>OReillyMR-Default Licensee Mer</t>
  </si>
  <si>
    <t>Agribusiness Australia - Melbourne Event - Millie Watson development opportunity</t>
  </si>
  <si>
    <t>EZI*EZIDEBIT MEMBERSHI/824103298</t>
  </si>
  <si>
    <t>Contribution to Moree Public School lunch</t>
  </si>
  <si>
    <t>PITMAN DEAKIN PL</t>
  </si>
  <si>
    <t>HumeH-Default Licensee Merchan</t>
  </si>
  <si>
    <t>Burbury Settlement Gift -  wine glasses and card for hamper</t>
  </si>
  <si>
    <t>COCO BLUE</t>
  </si>
  <si>
    <t>HumeH-Offshore Meals &amp; Lodging</t>
  </si>
  <si>
    <t>Wine for Burburys</t>
  </si>
  <si>
    <t>SQ *MILTON VINEYARD</t>
  </si>
  <si>
    <t>BarrettE-Printing</t>
  </si>
  <si>
    <t>Printing of Neck Cards for Toowoomba Show</t>
  </si>
  <si>
    <t>Hereford Bull Sale Sponsorship Lyons Family</t>
  </si>
  <si>
    <t>McDougallJ-Office Supplies</t>
  </si>
  <si>
    <t>Drinks Hamilton Client Christmas Function</t>
  </si>
  <si>
    <t>HAMILTON CELLARBRATION/114704170423</t>
  </si>
  <si>
    <t>HAMILTON CELLARBRATION/153931170307</t>
  </si>
  <si>
    <t>ParraM-Costs own Car Fleet</t>
  </si>
  <si>
    <t>Ice Bags Sundowner</t>
  </si>
  <si>
    <t>CALTEX WAGIN</t>
  </si>
  <si>
    <t>Networking Lunch - Internation Women's Day Event - Atherton Chamber of Commerce</t>
  </si>
  <si>
    <t>TRYBOOKING*ATHERTON TABLE/219545989618</t>
  </si>
  <si>
    <t>G &amp; O Event 26 Feb - Drinks</t>
  </si>
  <si>
    <t>DAN MURPHY'S/428-432 DEAN</t>
  </si>
  <si>
    <t>G &amp; O Event 26 Feb - Ice</t>
  </si>
  <si>
    <t>G &amp; O Event 26 Feb - Soft Drink</t>
  </si>
  <si>
    <t>HuntA-Contributions &amp; Club Mem</t>
  </si>
  <si>
    <t>Parkes Ewe Comp Sponsorship</t>
  </si>
  <si>
    <t>Parkes Bowling Club</t>
  </si>
  <si>
    <t>monthly digital Tele/News.com sub</t>
  </si>
  <si>
    <t>NTCA DInner Refund Joe Webb</t>
  </si>
  <si>
    <t>NTCA Dinner Reg Fee - F Young &amp; J Webb</t>
  </si>
  <si>
    <t>NTCA Dinner Registration Refund</t>
  </si>
  <si>
    <t>NTCA Refund Dale Stephenson</t>
  </si>
  <si>
    <t>NTCA Refund Peter Robinson</t>
  </si>
  <si>
    <t>NTCA Reg Fee x 4 + credit card fee</t>
  </si>
  <si>
    <t>NTCA Registration Refund Lach Campbell</t>
  </si>
  <si>
    <t>Roger Mathews NTCA Refund</t>
  </si>
  <si>
    <t>WAF Angus EXPO - Passes</t>
  </si>
  <si>
    <t>Tamworth Regional Council</t>
  </si>
  <si>
    <t>Flowers - Major &amp; Carpenter</t>
  </si>
  <si>
    <t>BearT-Entertainment Expense</t>
  </si>
  <si>
    <t>Ticket to Wimmera Machinery Field Days</t>
  </si>
  <si>
    <t>WIMMERA FIELD DAYS*WIM</t>
  </si>
  <si>
    <t>Water for Wagin Woolorama</t>
  </si>
  <si>
    <t>Red Bird for CRT workshops</t>
  </si>
  <si>
    <t>Woolorama ice for esky</t>
  </si>
  <si>
    <t>PALACE HOTEL WAGIN/105323029978</t>
  </si>
  <si>
    <t>Woolorama water and soft drink</t>
  </si>
  <si>
    <t>BriginshawZ-Offshore Meals &amp; L</t>
  </si>
  <si>
    <t>Woolorama plater supplies. Noting difference between invoice and payment is card fees to visa/ maste</t>
  </si>
  <si>
    <t>FacyK-Entertainment Expense</t>
  </si>
  <si>
    <t>FIeld Day Entry - K Facy</t>
  </si>
  <si>
    <t>Field Days Entry Wimmera</t>
  </si>
  <si>
    <t>Lincolns Road Show</t>
  </si>
  <si>
    <t>EB *Esperance Rural To</t>
  </si>
  <si>
    <t>Asheep &amp; Beef Summer Field day</t>
  </si>
  <si>
    <t>DoupeJ-Office Supplies</t>
  </si>
  <si>
    <t>Gifts for 2 clients for Sustainability Offsite</t>
  </si>
  <si>
    <t>SQ *HAIGH'S THE STRAND AR</t>
  </si>
  <si>
    <t>EllevsenM-Default Licensee Mer</t>
  </si>
  <si>
    <t>IREC Membership Fee</t>
  </si>
  <si>
    <t>IRRIGATION RESEARCH &amp;</t>
  </si>
  <si>
    <t>Griffith Client Dinner - with RaboResearch, Ben Picton</t>
  </si>
  <si>
    <t>LA SCALA RESTAURANT</t>
  </si>
  <si>
    <t>Dinner - Visiting Experts Ben Picton and Ash Fenwick</t>
  </si>
  <si>
    <t>LS Spare</t>
  </si>
  <si>
    <t>Young farmer networking event with Rabo Research - catering 11/03/2025</t>
  </si>
  <si>
    <t>JUNEE HOTEL/17-21 SEIGNOI</t>
  </si>
  <si>
    <t>WAB shirt gifts</t>
  </si>
  <si>
    <t>TwomeyGJ-Contributions &amp; Club</t>
  </si>
  <si>
    <t>Client Meeting Narrandera</t>
  </si>
  <si>
    <t>NARRANDERA BC/53 WILLIANS</t>
  </si>
  <si>
    <t>Client Function Sir George Hotel</t>
  </si>
  <si>
    <t>Drinks/coffee/milk etc. for SE Field Days</t>
  </si>
  <si>
    <t>Fresh Milk - Coffee Station - SE Field Days</t>
  </si>
  <si>
    <t>SCARLETT MAYFAIR PTY</t>
  </si>
  <si>
    <t>JASPERMI-Costs own Car Fleet</t>
  </si>
  <si>
    <t>Ice Wimmera Field days</t>
  </si>
  <si>
    <t>OTR HORSHAM DIMBOOLA RD</t>
  </si>
  <si>
    <t>Wimmera Field days Water and Ice</t>
  </si>
  <si>
    <t>Wimmera Field days tea coffee buscuits and drinks</t>
  </si>
  <si>
    <t>Boys to the Bush lunch -clients and prospects in attendance - Amanda Shaw</t>
  </si>
  <si>
    <t>BOYSTOTHEBUSH</t>
  </si>
  <si>
    <t>Boys to the Bush lunch -clients and prospects in attendance - Belinda Barclay</t>
  </si>
  <si>
    <t>Boys to the Bush lunch -clients and prospects in attendance - Briony Elkerton</t>
  </si>
  <si>
    <t>Boys to the Bush lunch -clients and prospects in attendance - Chris Proctor</t>
  </si>
  <si>
    <t>Boys to the Bush lunch -clients and prospects in attendance - Heath Kroker</t>
  </si>
  <si>
    <t>Boys to the Bush lunch -clients and prospects in attendance - Jock Thomas</t>
  </si>
  <si>
    <t>Boys to the Bush lunch -clients and prospects in attendance - Lachlan Barclay</t>
  </si>
  <si>
    <t>Boys to the Bush lunch -clients and prospects in attendance - Sam Douglas</t>
  </si>
  <si>
    <t>Boys to the Bush lunch -clients and prospects in attendance - Tara Lennie</t>
  </si>
  <si>
    <t>Boys to the Bush lunch -clients and prospects in attendance - Tom Bear</t>
  </si>
  <si>
    <t>Income</t>
  </si>
  <si>
    <t>2060</t>
  </si>
  <si>
    <t>2852</t>
  </si>
  <si>
    <t>50 bags - accept 58P</t>
  </si>
  <si>
    <t>OK - for clients</t>
  </si>
  <si>
    <t>00000521</t>
  </si>
  <si>
    <t>00000572</t>
  </si>
  <si>
    <t>14220</t>
  </si>
  <si>
    <t>Accept business - part of seminar</t>
  </si>
  <si>
    <t>Picked up in Invoices WPE3 expese analysis - NFA</t>
  </si>
  <si>
    <t>6134322-APERP03</t>
  </si>
  <si>
    <t>AU Commercial Lending  Risk Ma</t>
  </si>
  <si>
    <t>CAL2025RAB-ADUTC00</t>
  </si>
  <si>
    <t>Membership Renewal - Jos Groot</t>
  </si>
  <si>
    <t>CAL2025RAB</t>
  </si>
  <si>
    <t>DUTCHLINK LIMITED</t>
  </si>
  <si>
    <t>0025480-ACOMP10</t>
  </si>
  <si>
    <t>Compass Ag Corporate membershi</t>
  </si>
  <si>
    <t>COMPASS AGRICULTURAL ALLIANCE</t>
  </si>
  <si>
    <t>632-AMOOR01</t>
  </si>
  <si>
    <t>Member listing for community c</t>
  </si>
  <si>
    <t>6156298-APERP03</t>
  </si>
  <si>
    <t>AU COMMERCIAL LENDING RISK MAN</t>
  </si>
  <si>
    <t>2026-0017Cancelled-ARISK01</t>
  </si>
  <si>
    <t>RMA Australia Membership Fees</t>
  </si>
  <si>
    <t>2026-0017Cancelled</t>
  </si>
  <si>
    <t>API CPV valuer licence compliance</t>
  </si>
  <si>
    <t>EEC-1163-EYUNG01</t>
  </si>
  <si>
    <t>CPA membership Fee</t>
  </si>
  <si>
    <t>EEC-1163</t>
  </si>
  <si>
    <t>HELEN YUNG</t>
  </si>
  <si>
    <t>API Invoice</t>
  </si>
  <si>
    <t>AlamsyahS-Default Licensee Mer</t>
  </si>
  <si>
    <t>CPA memberships</t>
  </si>
  <si>
    <t>CPA Membership renewals for 2025 - names included in the attached</t>
  </si>
  <si>
    <t>API Valuers License</t>
  </si>
  <si>
    <t>Shutterstock (2 extra image pack)</t>
  </si>
  <si>
    <t>Shutterstock monthly subscription (10 images download pack)</t>
  </si>
  <si>
    <t>STK*Shutterstock/149422299</t>
  </si>
  <si>
    <t>FAIRFAX SUBSCRIPTIONS/74564724316353115664500</t>
  </si>
  <si>
    <t>FAIRFAX SUBSCRIPTIONS/74564725009353105484280</t>
  </si>
  <si>
    <t>VilliersR-Audit Fees</t>
  </si>
  <si>
    <t>Annual membership fees for SAICA as discussed with Mark W</t>
  </si>
  <si>
    <t>https://www.saica.co.z</t>
  </si>
  <si>
    <t>harvard subscription</t>
  </si>
  <si>
    <t>HBR/BT_YQTXXSNPVSQZ80/94302840</t>
  </si>
  <si>
    <t>JoulesMR-Default Licensee Merc</t>
  </si>
  <si>
    <t>Fertilizer Australia Annual Membership</t>
  </si>
  <si>
    <t>FERTILIZER AUSTRALIA</t>
  </si>
  <si>
    <t>KeoC-Contributions &amp; Club Memb</t>
  </si>
  <si>
    <t>Incorrect charge disputed with Westpac &amp; Amazon refund</t>
  </si>
  <si>
    <t>Shutterstock Monthly Subscription (10 Downloads)</t>
  </si>
  <si>
    <t>STK*Shutterstock/149843309</t>
  </si>
  <si>
    <t>Shuttertock monthly subscription - 5 Image pack</t>
  </si>
  <si>
    <t>Stratamarkets Almond Report</t>
  </si>
  <si>
    <t>IN *STRATAMARKETS/5170/AAKT5P9L</t>
  </si>
  <si>
    <t>MUD-Tuition (study) Reimbursem</t>
  </si>
  <si>
    <t>AICD annual membership fee</t>
  </si>
  <si>
    <t>CrokerC-Default Licensee Merch</t>
  </si>
  <si>
    <t>Digital The Land Subscription</t>
  </si>
  <si>
    <t>Shutterstock 10 downloads per March</t>
  </si>
  <si>
    <t>STK*Shutterstock/150247840</t>
  </si>
  <si>
    <t>6134322</t>
  </si>
  <si>
    <t>0025480</t>
  </si>
  <si>
    <t>632</t>
  </si>
  <si>
    <t>6156298</t>
  </si>
  <si>
    <t>1103783-ACHAP00</t>
  </si>
  <si>
    <t>Accommodation, catering and ve</t>
  </si>
  <si>
    <t>1103783</t>
  </si>
  <si>
    <t>CHAPTER PLACE</t>
  </si>
  <si>
    <t>230976470-APULL02</t>
  </si>
  <si>
    <t>21Feb Accom Dinner SANTNWV CC</t>
  </si>
  <si>
    <t>230976470</t>
  </si>
  <si>
    <t>PULLMAN ADELAIDE</t>
  </si>
  <si>
    <t>1010418-AMOUN00</t>
  </si>
  <si>
    <t>final WAB costs for dinners</t>
  </si>
  <si>
    <t>1010418</t>
  </si>
  <si>
    <t>EEC-1154-EKHAS07</t>
  </si>
  <si>
    <t>Airport Parking SYD</t>
  </si>
  <si>
    <t>EEC-1154</t>
  </si>
  <si>
    <t>WAQAS KHAN</t>
  </si>
  <si>
    <t>Dinner 15DEC24</t>
  </si>
  <si>
    <t>Dinner 16DEC24</t>
  </si>
  <si>
    <t>Dinner 17DEC24</t>
  </si>
  <si>
    <t>Dinner 18DEC24</t>
  </si>
  <si>
    <t>Dinner 19DEC24</t>
  </si>
  <si>
    <t>Lunch 14DEC24</t>
  </si>
  <si>
    <t>Parking CHC</t>
  </si>
  <si>
    <t>Gidley-BairdA-Default Licensee</t>
  </si>
  <si>
    <t>Farm Writers Event Ticket for David Foote AU Future for Red Meat</t>
  </si>
  <si>
    <t>EEC-1178-EWATE00</t>
  </si>
  <si>
    <t>Perth Fraud Team Christmas Lun</t>
  </si>
  <si>
    <t>EEC-1178</t>
  </si>
  <si>
    <t>HAMISH WATERS</t>
  </si>
  <si>
    <t>Farm Writers Event Ticket for David Foote AU Future for Red Meat - Refund</t>
  </si>
  <si>
    <t>HARVEYMF-Entertainment Expense</t>
  </si>
  <si>
    <t>2025 Australian Dairy Conference Registration</t>
  </si>
  <si>
    <t>SACCHETTIL-Default Licensee Me</t>
  </si>
  <si>
    <t>ET Offsite</t>
  </si>
  <si>
    <t>ET offsite - additonal cost for facilitators</t>
  </si>
  <si>
    <t>Balls for Grad Induction Day</t>
  </si>
  <si>
    <t>EEC-1289-EROBE00</t>
  </si>
  <si>
    <t>Team Function - BI Planning Da</t>
  </si>
  <si>
    <t>EEC-1289</t>
  </si>
  <si>
    <t>CHLOE ROBERTS</t>
  </si>
  <si>
    <t>BradaricS-Offshore Meals &amp; Lod</t>
  </si>
  <si>
    <t>Other</t>
  </si>
  <si>
    <t>INV-1839-AGRAM01</t>
  </si>
  <si>
    <t>ET workshop facilitation</t>
  </si>
  <si>
    <t>INV-1839</t>
  </si>
  <si>
    <t>GRAM CONSULTING GROUP PTY LTD</t>
  </si>
  <si>
    <t>guest Relations</t>
  </si>
  <si>
    <t>SANTNWV Engraving &amp; Perp. Shields x 2</t>
  </si>
  <si>
    <t>CITY TROPHIES</t>
  </si>
  <si>
    <t>PriceC-Entertainment Expense</t>
  </si>
  <si>
    <t>Wine offsite dinner Feb 25 2 Nights Client Support</t>
  </si>
  <si>
    <t>PINDARIE PTY LTD</t>
  </si>
  <si>
    <t>SANTNWV Offsite Cert Frames Post IT Flip Charts Markers</t>
  </si>
  <si>
    <t>SANTNWV Offsite Feb 25 Presenter Thank you gifts</t>
  </si>
  <si>
    <t>CHARLESWORTH NUTS PT</t>
  </si>
  <si>
    <t>HardmanJ-Domestic &amp; Overseas l</t>
  </si>
  <si>
    <t>State offsite - Murray Bridge - general offsite expense</t>
  </si>
  <si>
    <t>Bridgeport Hotel</t>
  </si>
  <si>
    <t>MossA-Software</t>
  </si>
  <si>
    <t>Mentimeter for offsite</t>
  </si>
  <si>
    <t>MENTIMETER BASIC</t>
  </si>
  <si>
    <t>Client Council Feb 25 Morning Tea selections</t>
  </si>
  <si>
    <t>WOOLWORTHS/SIR DONALD BRA</t>
  </si>
  <si>
    <t>Client Council Feb 25 Lunch Selections</t>
  </si>
  <si>
    <t>Client Council FEb 25 Meeting - Breakfast and Day Refreshments</t>
  </si>
  <si>
    <t>HamiltonS-Office Supplies</t>
  </si>
  <si>
    <t>Rockhampton Bundaberg Strategy Day food expenses</t>
  </si>
  <si>
    <t>WOOLWORTHS/106 FE WALKER</t>
  </si>
  <si>
    <t>HamiltonS-Offshore Meals &amp; Lod</t>
  </si>
  <si>
    <t>GOOD GROUNDS CATERING/219541390784</t>
  </si>
  <si>
    <t>GOOD GROUNDS CATERING/219541407071</t>
  </si>
  <si>
    <t>ET Offsite AV hire</t>
  </si>
  <si>
    <t>Final Venue Payment for 2025 NSW State Offsite | AV</t>
  </si>
  <si>
    <t>Rydges Hunter OPI</t>
  </si>
  <si>
    <t>MckinnonR-Airfares</t>
  </si>
  <si>
    <t>Coach hire | Transport to activity and dinner for the VICTAS offsite | Feb 2025</t>
  </si>
  <si>
    <t>SNOWBUS</t>
  </si>
  <si>
    <t>Crockery for Board</t>
  </si>
  <si>
    <t>Power Boards for Board</t>
  </si>
  <si>
    <t>SUNLITE MITRE 10 YORK</t>
  </si>
  <si>
    <t>Berries for ET</t>
  </si>
  <si>
    <t>Milk for Morning Tea - Gippsland Area Team get together.</t>
  </si>
  <si>
    <t>EG GROUP/53 SMITH ST</t>
  </si>
  <si>
    <t>REGIONAL RISK LT STRATEGY OFFSITE - MEETING COSTS</t>
  </si>
  <si>
    <t>AU020098</t>
  </si>
  <si>
    <t>REGIONAL RISK LT STRATEGY OFFSITE - MEETING COSTS - ED WARNER</t>
  </si>
  <si>
    <t>Accept business</t>
  </si>
  <si>
    <t>Facilitating ME</t>
  </si>
  <si>
    <t>business travel</t>
  </si>
  <si>
    <t>Market data 2024 Recharges</t>
  </si>
  <si>
    <t>18755-ORABO00</t>
  </si>
  <si>
    <t>ASX INV LTI</t>
  </si>
  <si>
    <t>SING recharges_2024 pmt</t>
  </si>
  <si>
    <t>FC2313/11/24-ORABO01</t>
  </si>
  <si>
    <t>RAB BBB Insur Feb 25</t>
  </si>
  <si>
    <t>NSW BBB Insur Feb 25</t>
  </si>
  <si>
    <t>VIC BBB Insur Feb 25</t>
  </si>
  <si>
    <t>QLD BBB Insur Feb 25</t>
  </si>
  <si>
    <t>WA BBB Insur Feb 25</t>
  </si>
  <si>
    <t>SA BBB Insur Feb 25</t>
  </si>
  <si>
    <t>SERVICE DETAIL SCH</t>
  </si>
  <si>
    <t>AU060140 clearing</t>
  </si>
  <si>
    <t>MORIARTYG-</t>
  </si>
  <si>
    <t>Clear OU balance</t>
  </si>
  <si>
    <t>Sustainability Prov used</t>
  </si>
  <si>
    <t>TAS BBB Insur Feb 25</t>
  </si>
  <si>
    <t>Tsf K.Martin Feb25</t>
  </si>
  <si>
    <t>ByrneC-Airfares</t>
  </si>
  <si>
    <t>OU change from 24104 to 25106</t>
  </si>
  <si>
    <t>NT BBB Insur Feb 25</t>
  </si>
  <si>
    <t>clear suspense bal</t>
  </si>
  <si>
    <t>fix NONsuspense trade ref</t>
  </si>
  <si>
    <t>C013/1-OOUTS00</t>
  </si>
  <si>
    <t>WarnerE-Ground Travel</t>
  </si>
  <si>
    <t>WarnerE-Offshore Meals &amp; Lodgi</t>
  </si>
  <si>
    <t>4014498</t>
  </si>
  <si>
    <t>1135812</t>
  </si>
  <si>
    <t>AUL60141</t>
  </si>
  <si>
    <t>W/off small suspense reverse</t>
  </si>
  <si>
    <t>4018583</t>
  </si>
  <si>
    <t>4028813</t>
  </si>
  <si>
    <t>6984640</t>
  </si>
  <si>
    <t>1255911</t>
  </si>
  <si>
    <t>1122211</t>
  </si>
  <si>
    <t>4003918</t>
  </si>
  <si>
    <t>6945855</t>
  </si>
  <si>
    <t>1159813</t>
  </si>
  <si>
    <t>1431928</t>
  </si>
  <si>
    <t>7053170</t>
  </si>
  <si>
    <t>4009835</t>
  </si>
  <si>
    <t>4013367</t>
  </si>
  <si>
    <t>4011755</t>
  </si>
  <si>
    <t>1181104</t>
  </si>
  <si>
    <t>1368329</t>
  </si>
  <si>
    <t>1391251</t>
  </si>
  <si>
    <t>1303838</t>
  </si>
  <si>
    <t>1163569</t>
  </si>
  <si>
    <t>AU030201</t>
  </si>
  <si>
    <t>7072770</t>
  </si>
  <si>
    <t>4024318</t>
  </si>
  <si>
    <t>RABL 0125</t>
  </si>
  <si>
    <t>Clear items Mapping fix reqd</t>
  </si>
  <si>
    <t>GNA11314EUR</t>
  </si>
  <si>
    <t>1026801</t>
  </si>
  <si>
    <t>RABL 0225</t>
  </si>
  <si>
    <t>ASX INV ACL0319949</t>
  </si>
  <si>
    <t>ASX INV ACL0321404</t>
  </si>
  <si>
    <t>ASX INV ACL0322715</t>
  </si>
  <si>
    <t>RABL 1224</t>
  </si>
  <si>
    <t>Incorrect Mapping</t>
  </si>
  <si>
    <t>ASX INV ACL0319951</t>
  </si>
  <si>
    <t>ASX INV ACL0322716</t>
  </si>
  <si>
    <t>ASX INV ACL0321405</t>
  </si>
  <si>
    <t>ASX INV ACS0550529</t>
  </si>
  <si>
    <t>ASX INV ACL0322714</t>
  </si>
  <si>
    <t>ASX INV ACL0302194</t>
  </si>
  <si>
    <t>RANE 0125</t>
  </si>
  <si>
    <t>RANE 1224</t>
  </si>
  <si>
    <t>RANE 0225</t>
  </si>
  <si>
    <t>ASX INV ACS0550628</t>
  </si>
  <si>
    <t>ASX INV ACS0550743</t>
  </si>
  <si>
    <t>BCT25 -11 Robertson</t>
  </si>
  <si>
    <t>1013689113-AAUST02</t>
  </si>
  <si>
    <t>OTC monthly invoice period end</t>
  </si>
  <si>
    <t>1013689113</t>
  </si>
  <si>
    <t>0679-AMURP01</t>
  </si>
  <si>
    <t>Collateral update by external</t>
  </si>
  <si>
    <t>0679</t>
  </si>
  <si>
    <t>15709373-AVEDA00</t>
  </si>
  <si>
    <t>Equifax invoice for Dec 2024</t>
  </si>
  <si>
    <t>15709373</t>
  </si>
  <si>
    <t>FTF00021266-ACANO00</t>
  </si>
  <si>
    <t>RSA token invoice for November</t>
  </si>
  <si>
    <t>FTF00021266</t>
  </si>
  <si>
    <t>IN028176-AINDU00</t>
  </si>
  <si>
    <t>CBM Project invoice</t>
  </si>
  <si>
    <t>IN028176</t>
  </si>
  <si>
    <t>INDUE LIMITED</t>
  </si>
  <si>
    <t>IN028193-AINDU00</t>
  </si>
  <si>
    <t>CBM testing support (Indue &amp; F</t>
  </si>
  <si>
    <t>IN028193</t>
  </si>
  <si>
    <t>BCT25 -10 Phelps</t>
  </si>
  <si>
    <t>INV-0528-ANORT001</t>
  </si>
  <si>
    <t>Monthly Retainer</t>
  </si>
  <si>
    <t>FTF00021100-ACANO00</t>
  </si>
  <si>
    <t>Mailhouse ? CB/ROS letters</t>
  </si>
  <si>
    <t>FTF00021100</t>
  </si>
  <si>
    <t>FTF00021664-ACANO00</t>
  </si>
  <si>
    <t>RSA token invoice for period e</t>
  </si>
  <si>
    <t>FTF00021664</t>
  </si>
  <si>
    <t>IN028237-AINDU00</t>
  </si>
  <si>
    <t>Visa test support October 2024</t>
  </si>
  <si>
    <t>IN028237</t>
  </si>
  <si>
    <t>0691-AMURP01</t>
  </si>
  <si>
    <t>BMP Brochure 2025 Design (50%)</t>
  </si>
  <si>
    <t>0691</t>
  </si>
  <si>
    <t>15724985-AVEDA00</t>
  </si>
  <si>
    <t>Equifax invoice for January 20</t>
  </si>
  <si>
    <t>15724985</t>
  </si>
  <si>
    <t>FMP20-3 Foley</t>
  </si>
  <si>
    <t>BCT25-13 Quigley</t>
  </si>
  <si>
    <t>BCT25-14 Rummery</t>
  </si>
  <si>
    <t>INV-0530-ANORT001</t>
  </si>
  <si>
    <t>INV-0530</t>
  </si>
  <si>
    <t>BCT25-15 Burrel</t>
  </si>
  <si>
    <t>BCT25-16 Seigmeier</t>
  </si>
  <si>
    <t>BCT25-17 Kahl</t>
  </si>
  <si>
    <t>FMP20-2 Liphuyzen</t>
  </si>
  <si>
    <t>BCT25-18 Barlow</t>
  </si>
  <si>
    <t>FMP20-4 Crees</t>
  </si>
  <si>
    <t>FMP20-5 Russell</t>
  </si>
  <si>
    <t>FMP20-7 Ferguson</t>
  </si>
  <si>
    <t>15740480-AVEDA00</t>
  </si>
  <si>
    <t>Equifax invoice for February 2</t>
  </si>
  <si>
    <t>15740480</t>
  </si>
  <si>
    <t>43470-AEVEN00</t>
  </si>
  <si>
    <t>Brazil cotton Tour Travel Mana</t>
  </si>
  <si>
    <t>43470</t>
  </si>
  <si>
    <t>INV-0037-ALEAD01</t>
  </si>
  <si>
    <t>SANTNWV Offsite Guest Speaker</t>
  </si>
  <si>
    <t>0694-AMURP01</t>
  </si>
  <si>
    <t>0694</t>
  </si>
  <si>
    <t>1336170-AYARR00</t>
  </si>
  <si>
    <t>FMP20 Second Venue Hire Paymen</t>
  </si>
  <si>
    <t>1336170</t>
  </si>
  <si>
    <t>INV-0533-ANORT001</t>
  </si>
  <si>
    <t>INV-0533</t>
  </si>
  <si>
    <t>43573-AEVEN00</t>
  </si>
  <si>
    <t>Booking of all ground and air</t>
  </si>
  <si>
    <t>43573</t>
  </si>
  <si>
    <t>BCT25-19 Harris</t>
  </si>
  <si>
    <t>BCT25-20 Bolton</t>
  </si>
  <si>
    <t>FTF00022549-ACANO00</t>
  </si>
  <si>
    <t>FTF00022549</t>
  </si>
  <si>
    <t>BCT25-21 McIntyre</t>
  </si>
  <si>
    <t>BCT25-22 Geldard</t>
  </si>
  <si>
    <t>Christmas Party Parking</t>
  </si>
  <si>
    <t>LIVINGSTONE SHIRE COUN/435512241109</t>
  </si>
  <si>
    <t>External Hard Drive to support Security Incident Investigations and Forensics</t>
  </si>
  <si>
    <t>WarrenL-Office Supplies</t>
  </si>
  <si>
    <t>fertiliser and spray for Renmark Branch 26 plants</t>
  </si>
  <si>
    <t>Sympathy flowers for Merrill Phillips - QLD RCM following the passing of her husband.</t>
  </si>
  <si>
    <t>SQ *SHANNON HAWKES ARTISA</t>
  </si>
  <si>
    <t>Sydney Team BBQ - Cheese Tray</t>
  </si>
  <si>
    <t>Sydney Team BBQ - Cheese platter</t>
  </si>
  <si>
    <t>LOCALI BY ROMEOS</t>
  </si>
  <si>
    <t>2024  Regional Support</t>
  </si>
  <si>
    <t>FC2313/11/24</t>
  </si>
  <si>
    <t>RABOBANK SINGAPORE</t>
  </si>
  <si>
    <t>WiessingMH1-Airfares</t>
  </si>
  <si>
    <t>Writing off difference</t>
  </si>
  <si>
    <t>Branch plants, rubbish bins, broom</t>
  </si>
  <si>
    <t>McphersonJ-Company Car Parking</t>
  </si>
  <si>
    <t>Car park offsite</t>
  </si>
  <si>
    <t>CARE PARK</t>
  </si>
  <si>
    <t>Purchase of Flowers</t>
  </si>
  <si>
    <t>HK/AUS/1189-ORABO03</t>
  </si>
  <si>
    <t>2024 Regional Recharge</t>
  </si>
  <si>
    <t>HK/AUS/1189</t>
  </si>
  <si>
    <t>RABOBANK HONG KONG</t>
  </si>
  <si>
    <t>Team Offsite - Fish Market Tour</t>
  </si>
  <si>
    <t>SYDNEYFISHMAR* RXL97F3</t>
  </si>
  <si>
    <t>Payment to Whitsundays Regional Council for use of Flagstaff Hill Convention Centre in Bowen as venu</t>
  </si>
  <si>
    <t>WRC CVALE CS</t>
  </si>
  <si>
    <t>H2 2024 Market Data Recharges</t>
  </si>
  <si>
    <t>18755</t>
  </si>
  <si>
    <t>RABOBANK LONDON</t>
  </si>
  <si>
    <t>Asia Support Rchgs 2024</t>
  </si>
  <si>
    <t>Stock Graphic for DBM Branding</t>
  </si>
  <si>
    <t>istock.com</t>
  </si>
  <si>
    <t>Movie Night Decorations | 2025 NSW State Offsite - Hunter Valley</t>
  </si>
  <si>
    <t>BLUEBERRY EVENTS PTY L</t>
  </si>
  <si>
    <t>NeilsonS-Default Licensee Merc</t>
  </si>
  <si>
    <t>Duncan Whan Fathers Funeral</t>
  </si>
  <si>
    <t>BERNARD LAVERTY PL</t>
  </si>
  <si>
    <t>PitkethleyS-Office Supplies</t>
  </si>
  <si>
    <t>Hampers for Hope - Chocolates donation</t>
  </si>
  <si>
    <t>COLES 4166</t>
  </si>
  <si>
    <t>Mental Health Employee Intervention - Counselling</t>
  </si>
  <si>
    <t>CENTRE FOR CORPORATE H</t>
  </si>
  <si>
    <t>FelanT-Office Supplies</t>
  </si>
  <si>
    <t>Water &amp; sunscreen - Client visits</t>
  </si>
  <si>
    <t>BAROOGA IGA XPRESS</t>
  </si>
  <si>
    <t>St John Ambulance Course | Melbourne Office | Gemma, Tyson &amp; Lucas</t>
  </si>
  <si>
    <t>PAYPAL/7CRUZUMU4BLB</t>
  </si>
  <si>
    <t>Brad James retirement gift from Mark, Marcel &amp; CBAU LT</t>
  </si>
  <si>
    <t>Congratulatory baby gift for Dragana Bursac</t>
  </si>
  <si>
    <t>COUNTRY ROAD</t>
  </si>
  <si>
    <t>Sympathy flowers for Senior Rural Manager Rebecca Murray following passing of her Father.</t>
  </si>
  <si>
    <t>Retirement card for Brad James</t>
  </si>
  <si>
    <t>Wrapping paper &amp; Ribbon - Brad Farewell gift and Years of Service Frames for Geoff &amp; Roger</t>
  </si>
  <si>
    <t>LimbuP-Ground Travel</t>
  </si>
  <si>
    <t>RE - under $300 ea</t>
  </si>
  <si>
    <t>FRAUD CS-3681670</t>
  </si>
  <si>
    <t>FRAUD CS-3683673</t>
  </si>
  <si>
    <t>FRAUD CS-3723413</t>
  </si>
  <si>
    <t>FRAUD CS-3733415</t>
  </si>
  <si>
    <t>FRAUD CS-3739293</t>
  </si>
  <si>
    <t>FRAUD CS-3760259</t>
  </si>
  <si>
    <t>FRAUD CS-3792823</t>
  </si>
  <si>
    <t>FRAUD CS-3769195</t>
  </si>
  <si>
    <t>FRAUD CS-3798118</t>
  </si>
  <si>
    <t>FRAUD CS-3845226</t>
  </si>
  <si>
    <t>IFRS 16 Allocation Jan 25</t>
  </si>
  <si>
    <t>IFRS 16 Allocation Feb 25</t>
  </si>
  <si>
    <t>DP3 Central Allocation</t>
  </si>
  <si>
    <t>492266-ASALE00</t>
  </si>
  <si>
    <t>54202831-05/12/24-AMICH24</t>
  </si>
  <si>
    <t>General office expenses</t>
  </si>
  <si>
    <t>54202831-05/12/24</t>
  </si>
  <si>
    <t>FTF00021265-ACANO00</t>
  </si>
  <si>
    <t>PAM Letters - additional work</t>
  </si>
  <si>
    <t>FTF00021265</t>
  </si>
  <si>
    <t>FTF00021267-ACANO00</t>
  </si>
  <si>
    <t>Welcome packs, Secure code let</t>
  </si>
  <si>
    <t>FTF00021267</t>
  </si>
  <si>
    <t>INV-001913723-ANEVE09</t>
  </si>
  <si>
    <t>water bottle replacement for c</t>
  </si>
  <si>
    <t>INV-001913723</t>
  </si>
  <si>
    <t>54202831-17/12/24-AMICH24</t>
  </si>
  <si>
    <t>54202831-17/12/24</t>
  </si>
  <si>
    <t>107054-ANEXT00</t>
  </si>
  <si>
    <t>54202831-10/01/25-AMICH24</t>
  </si>
  <si>
    <t>54202831-10/01/25</t>
  </si>
  <si>
    <t>846430-ABIGS01</t>
  </si>
  <si>
    <t>SI280139-AWAGG18</t>
  </si>
  <si>
    <t>coffee</t>
  </si>
  <si>
    <t>SI280139</t>
  </si>
  <si>
    <t>54202831-30/10/24-AMICH24</t>
  </si>
  <si>
    <t>54202831-30/10/24</t>
  </si>
  <si>
    <t>INV-001947282-ANEVE09</t>
  </si>
  <si>
    <t>INV-001947282</t>
  </si>
  <si>
    <t>488175-ASALE00</t>
  </si>
  <si>
    <t>AUD594816-AIRON01</t>
  </si>
  <si>
    <t>AUD594816</t>
  </si>
  <si>
    <t>AUD603806-AIRON01</t>
  </si>
  <si>
    <t>AUD603806</t>
  </si>
  <si>
    <t>144678-AFARM03</t>
  </si>
  <si>
    <t>FTF00021665-ACANO00</t>
  </si>
  <si>
    <t>Welcome packs and secure code</t>
  </si>
  <si>
    <t>FTF00021665</t>
  </si>
  <si>
    <t>301622-ASWIN03</t>
  </si>
  <si>
    <t>113153-ANEXT00</t>
  </si>
  <si>
    <t>145230-AFARM03</t>
  </si>
  <si>
    <t>54202831-29/01/25-AMICH24</t>
  </si>
  <si>
    <t>54202831-29/01/25</t>
  </si>
  <si>
    <t>500316-ATOPS03</t>
  </si>
  <si>
    <t>Newspaper account</t>
  </si>
  <si>
    <t>3012902-ASWIN03</t>
  </si>
  <si>
    <t>60126838-ASWIN03</t>
  </si>
  <si>
    <t>145496-AFARM03</t>
  </si>
  <si>
    <t>60127897-ASWIN03</t>
  </si>
  <si>
    <t>145786-AFARM03</t>
  </si>
  <si>
    <t>20116426-ASWIN03</t>
  </si>
  <si>
    <t>FTF00022078-ACANO00</t>
  </si>
  <si>
    <t>Additional PAM letters Februar</t>
  </si>
  <si>
    <t>FTF00022078</t>
  </si>
  <si>
    <t>FTF00022079-ACANO00</t>
  </si>
  <si>
    <t>Welcome packs, Additional PAM</t>
  </si>
  <si>
    <t>FTF00022079</t>
  </si>
  <si>
    <t>40191018-ASWIN03</t>
  </si>
  <si>
    <t>AUD609996-AIRON01</t>
  </si>
  <si>
    <t>Iron Mountain - Jan 25</t>
  </si>
  <si>
    <t>AUD609996</t>
  </si>
  <si>
    <t>AUD618982-AIRON01</t>
  </si>
  <si>
    <t>AUD618982</t>
  </si>
  <si>
    <t>60130900-ASWIN03</t>
  </si>
  <si>
    <t>146363-AFARM03</t>
  </si>
  <si>
    <t>40197042-ASWIN03</t>
  </si>
  <si>
    <t>888362-ABIGS01</t>
  </si>
  <si>
    <t>Big Springs Riverina</t>
  </si>
  <si>
    <t>AUD625387-AIRON01</t>
  </si>
  <si>
    <t>Iron Mountain - Feb 25</t>
  </si>
  <si>
    <t>AUD625387</t>
  </si>
  <si>
    <t>AUD634389-AIRON01</t>
  </si>
  <si>
    <t>AUD634389</t>
  </si>
  <si>
    <t>146651-AFARM03</t>
  </si>
  <si>
    <t>30111634-ASWIN03</t>
  </si>
  <si>
    <t>60134165-ASWIN03</t>
  </si>
  <si>
    <t>Kitchen supples</t>
  </si>
  <si>
    <t>FTF00022550-ACANO00</t>
  </si>
  <si>
    <t>FTF00022550</t>
  </si>
  <si>
    <t>146946-AFARM03</t>
  </si>
  <si>
    <t>54202831-21/03/25-AMICH24</t>
  </si>
  <si>
    <t>54202831-21/03/25</t>
  </si>
  <si>
    <t>133151-AGIBS01</t>
  </si>
  <si>
    <t>Water bottles for water cooler</t>
  </si>
  <si>
    <t>40173846-ASWIN03</t>
  </si>
  <si>
    <t>SN00 4046 2912 2024-ATALB00</t>
  </si>
  <si>
    <t>SN00 4046 2912 2024</t>
  </si>
  <si>
    <t>Dalby Community Event - Circles of Care</t>
  </si>
  <si>
    <t>ASHTONS DALBY</t>
  </si>
  <si>
    <t>379646-ACOUN27</t>
  </si>
  <si>
    <t>50129467-ASWIN03</t>
  </si>
  <si>
    <t>INV-38731-AWEST71</t>
  </si>
  <si>
    <t>Delivery fee for fruit boxes &amp;</t>
  </si>
  <si>
    <t>INV-38731</t>
  </si>
  <si>
    <t>Monthly fruit box and milk for</t>
  </si>
  <si>
    <t>Coles</t>
  </si>
  <si>
    <t>Nibbles for Christmas Teams Call</t>
  </si>
  <si>
    <t>INV-38894-AWEST71</t>
  </si>
  <si>
    <t>Delivery Fee</t>
  </si>
  <si>
    <t>INV-38894</t>
  </si>
  <si>
    <t>Fruit box &amp; Milk for the Branc</t>
  </si>
  <si>
    <t>SN00 1332 2012 2024-ASTOR00</t>
  </si>
  <si>
    <t>SN00 1332 2012 2024</t>
  </si>
  <si>
    <t>2016716-ASWIN03</t>
  </si>
  <si>
    <t>2017387-ASWIN03</t>
  </si>
  <si>
    <t>380172-ACOUN27</t>
  </si>
  <si>
    <t>E Card for Merrill on behalf of North West Area</t>
  </si>
  <si>
    <t>Staff Morning Tea - Branch Planning Day</t>
  </si>
  <si>
    <t>Christmas morning tea</t>
  </si>
  <si>
    <t>toilet paper for the branch</t>
  </si>
  <si>
    <t>Printer ink</t>
  </si>
  <si>
    <t>Birthday - Chelsea Whytcross</t>
  </si>
  <si>
    <t>40177598-ASWIN03</t>
  </si>
  <si>
    <t>52140141-ANESP01</t>
  </si>
  <si>
    <t>90089846-AMOUN01</t>
  </si>
  <si>
    <t>Water Cooler Stand Hire 25  AD</t>
  </si>
  <si>
    <t>INV-38937-AWEST71</t>
  </si>
  <si>
    <t>INV-38937</t>
  </si>
  <si>
    <t>Weekly fruit box and milk for</t>
  </si>
  <si>
    <t>Rundle Store Pty Ltd</t>
  </si>
  <si>
    <t>Milk &amp; staff food tax included</t>
  </si>
  <si>
    <t>FAVELLL-Default Licensee Merch</t>
  </si>
  <si>
    <t>Coffee Machine Filter</t>
  </si>
  <si>
    <t>Tea Towels for Office</t>
  </si>
  <si>
    <t>SPOTLIGHT WAGGA WA</t>
  </si>
  <si>
    <t>Coles Milk Coffee and margarine</t>
  </si>
  <si>
    <t>COLES 0725</t>
  </si>
  <si>
    <t>51989680-ANESP01</t>
  </si>
  <si>
    <t>Nespresso Coffee Machine Hire</t>
  </si>
  <si>
    <t>52033857-ANESP01</t>
  </si>
  <si>
    <t>Nespresso Coffee Machine Repai</t>
  </si>
  <si>
    <t>52033924-ANESP01</t>
  </si>
  <si>
    <t>CSYD2124995-AALSC00</t>
  </si>
  <si>
    <t>CSYD2124995</t>
  </si>
  <si>
    <t>EngelbrechtD1-Default Licensee</t>
  </si>
  <si>
    <t>Staff award</t>
  </si>
  <si>
    <t>C R WARNE TROPHIES PTY</t>
  </si>
  <si>
    <t>office fruit</t>
  </si>
  <si>
    <t>INV-38988-AWEST71</t>
  </si>
  <si>
    <t>INV-38988</t>
  </si>
  <si>
    <t>60123391-ASWIN03</t>
  </si>
  <si>
    <t>Aldi fruit &amp; milk 6-1-25</t>
  </si>
  <si>
    <t>NATRAJ GROUP PTY LTD</t>
  </si>
  <si>
    <t>Milk coffee Ingham for Branch</t>
  </si>
  <si>
    <t>KrugerG-Offshore Meals &amp; Lodgi</t>
  </si>
  <si>
    <t>SQ *THE POCKET</t>
  </si>
  <si>
    <t>Branch Supplies for Client Council Meeting</t>
  </si>
  <si>
    <t>OONOONBA FRIENDLY GROC/164647053406</t>
  </si>
  <si>
    <t>Coffee/tea</t>
  </si>
  <si>
    <t>Handwash &amp; Paper towel</t>
  </si>
  <si>
    <t>BowmanR-Office Supplies</t>
  </si>
  <si>
    <t>Branch consumables/groceries</t>
  </si>
  <si>
    <t>ICPA Membership</t>
  </si>
  <si>
    <t>Isolated Childrens Par</t>
  </si>
  <si>
    <t>Dishwasher spare part</t>
  </si>
  <si>
    <t>GOLDSTEIN ESWOOD</t>
  </si>
  <si>
    <t>Fruit etc for office</t>
  </si>
  <si>
    <t>COLES 0838</t>
  </si>
  <si>
    <t>INV-39022-AWEST71</t>
  </si>
  <si>
    <t>INV-39022</t>
  </si>
  <si>
    <t>Weekly fruit box &amp; milk for th</t>
  </si>
  <si>
    <t>3345241-ATHEF03</t>
  </si>
  <si>
    <t>Fruit &amp; Milk Deliver to DP3</t>
  </si>
  <si>
    <t>380315-ACOUN27</t>
  </si>
  <si>
    <t>380466-ACOUN27</t>
  </si>
  <si>
    <t>380600-ACOUN27</t>
  </si>
  <si>
    <t>50144832-ASWIN03</t>
  </si>
  <si>
    <t>52262402-ANESP01</t>
  </si>
  <si>
    <t>60124378-ASWIN03</t>
  </si>
  <si>
    <t>60125224-ASWIN03</t>
  </si>
  <si>
    <t>SC-115668-ACLOS01</t>
  </si>
  <si>
    <t>Cup Collection Bins</t>
  </si>
  <si>
    <t>SC-115668</t>
  </si>
  <si>
    <t>CLOSED LOOP ENVIRONMENTAL SOLUTIONS PTY</t>
  </si>
  <si>
    <t>SN00 4046 0202 2025-ATALB00</t>
  </si>
  <si>
    <t>SN00 4046 0202 2025</t>
  </si>
  <si>
    <t>Morning tea Perth office. Viv first day.</t>
  </si>
  <si>
    <t>SQ *GOLDEN BAKERY - PERTH</t>
  </si>
  <si>
    <t>ChincariniSM-Default Licensee</t>
  </si>
  <si>
    <t>KMART 1112</t>
  </si>
  <si>
    <t>Tea and Milk Coles</t>
  </si>
  <si>
    <t>Aldi fruit &amp; milk 29-1-25</t>
  </si>
  <si>
    <t>Aldi fruit 14-1-25</t>
  </si>
  <si>
    <t>Boardroom Microphone</t>
  </si>
  <si>
    <t>SP RODE MICROPHONES</t>
  </si>
  <si>
    <t>Transistor Radio</t>
  </si>
  <si>
    <t>McMahonTP-Default Licensee Mer</t>
  </si>
  <si>
    <t>Rubbish Removal</t>
  </si>
  <si>
    <t>CLEANAWAY PTY LTD</t>
  </si>
  <si>
    <t>Milk, fruit, coffee &amp; hand soap</t>
  </si>
  <si>
    <t>FlynnA-Literature (Books, News</t>
  </si>
  <si>
    <t>Milk for the Brisbane Office</t>
  </si>
  <si>
    <t>BAF-V PTY LTD</t>
  </si>
  <si>
    <t>INV-39063-AWEST71</t>
  </si>
  <si>
    <t>INV-39063</t>
  </si>
  <si>
    <t>CSYD2129183-AALSC00</t>
  </si>
  <si>
    <t>CSYD2129183</t>
  </si>
  <si>
    <t>BULLS-Offshore Meals &amp; Lodging</t>
  </si>
  <si>
    <t>Office Supplies | Food for EOY regional call</t>
  </si>
  <si>
    <t>office milk fruit</t>
  </si>
  <si>
    <t>CassidyA-Office Supplies</t>
  </si>
  <si>
    <t>staff kitchen supplies</t>
  </si>
  <si>
    <t>HuntA-Default Licensee Merchan</t>
  </si>
  <si>
    <t>Coffee Machine cleaner</t>
  </si>
  <si>
    <t>INV-39131-AWEST71</t>
  </si>
  <si>
    <t>INV-39131</t>
  </si>
  <si>
    <t>ArmstrongT-Default Licensee Me</t>
  </si>
  <si>
    <t>Office Moving Expense - Boxes and tape</t>
  </si>
  <si>
    <t>BaxterD-Offshore Meals &amp; Lodgi</t>
  </si>
  <si>
    <t>Office supples</t>
  </si>
  <si>
    <t>N &amp; K Say - new home welcome</t>
  </si>
  <si>
    <t>BWS LIQUOR/CNR GREY &amp; WEN</t>
  </si>
  <si>
    <t>CowanA-Other Personnel Expense</t>
  </si>
  <si>
    <t>Rhubarb &amp; Rosie</t>
  </si>
  <si>
    <t>Wilsons Creek Ram Sale Prize Pack</t>
  </si>
  <si>
    <t>DAN MURPHY'S/218 BEARDY S</t>
  </si>
  <si>
    <t>HemphillK-Office Supplies</t>
  </si>
  <si>
    <t>Morning tea - Rowlands</t>
  </si>
  <si>
    <t>SQ *NORTH END BAKEHOUSE S</t>
  </si>
  <si>
    <t>Beattie morning tea</t>
  </si>
  <si>
    <t>Milk &amp; coffee for Kadina branch</t>
  </si>
  <si>
    <t>Branch Coffee</t>
  </si>
  <si>
    <t>52421876-ANESP01</t>
  </si>
  <si>
    <t>Milk for the branch</t>
  </si>
  <si>
    <t>lunch - Kyle Mcdonald</t>
  </si>
  <si>
    <t>SQ *BAKERS LOAF</t>
  </si>
  <si>
    <t>Boardroom TV</t>
  </si>
  <si>
    <t>INV-39200-AWEST71</t>
  </si>
  <si>
    <t>INV-39200</t>
  </si>
  <si>
    <t>SI-00141682-ACLEA08</t>
  </si>
  <si>
    <t>Disfinfectant Wipes to DP3</t>
  </si>
  <si>
    <t>SI-00141682</t>
  </si>
  <si>
    <t>BROOKDS-Default Licensee Merch</t>
  </si>
  <si>
    <t>Phone protection case</t>
  </si>
  <si>
    <t>OTTER PRODUCTS AUSTRAL</t>
  </si>
  <si>
    <t>MASTONES PTY LTD</t>
  </si>
  <si>
    <t>ThomasJ1-Entertainment Expense</t>
  </si>
  <si>
    <t>Info Session - catering requirements</t>
  </si>
  <si>
    <t>PALACE HOTEL WAGIN/144119026316</t>
  </si>
  <si>
    <t>PALACE HOTEL WAGIN/144252026317</t>
  </si>
  <si>
    <t>FORTUNE FRENCH HOT BREAD</t>
  </si>
  <si>
    <t>Pop Up Information sessions - catering requirements</t>
  </si>
  <si>
    <t>HallidayA-Entertainment Expens</t>
  </si>
  <si>
    <t>Gifts for leaving and long serving staff</t>
  </si>
  <si>
    <t>Ivy Bottleshop</t>
  </si>
  <si>
    <t>Client gift - findex- HORM approved</t>
  </si>
  <si>
    <t>Moving boxes - branch relocation</t>
  </si>
  <si>
    <t>3358645-ATHEF03</t>
  </si>
  <si>
    <t>Fruit and Milk Delivery to DP</t>
  </si>
  <si>
    <t>INV-39258-AWEST71</t>
  </si>
  <si>
    <t>INV-39258</t>
  </si>
  <si>
    <t>SN00 4046 0203 2025-ATALB00</t>
  </si>
  <si>
    <t>SN00 4046 0203 2025</t>
  </si>
  <si>
    <t>ArmstrongT-Office Supplies</t>
  </si>
  <si>
    <t>Coles - office kitchen supplies</t>
  </si>
  <si>
    <t>Flowers McDonald condolenses</t>
  </si>
  <si>
    <t>THE FLOWER SHOP DUNGOG</t>
  </si>
  <si>
    <t>Boxes for Branch Move</t>
  </si>
  <si>
    <t>MccreaM-Offshore Meals &amp; Lodgi</t>
  </si>
  <si>
    <t>Office Supplies - Milk for Staff Kitchen</t>
  </si>
  <si>
    <t>Office Milk for adelaide office</t>
  </si>
  <si>
    <t>BWS $56.00 – Office Refreshments</t>
  </si>
  <si>
    <t>Coles – Kitchen Supplies $61.20</t>
  </si>
  <si>
    <t>INV-39328-AWEST71</t>
  </si>
  <si>
    <t>INV-39328</t>
  </si>
  <si>
    <t>1069253-AGARI00</t>
  </si>
  <si>
    <t>Fruit for Dubbo Office</t>
  </si>
  <si>
    <t>GARIAN FOODS</t>
  </si>
  <si>
    <t>1071765-AGARI00</t>
  </si>
  <si>
    <t>1074781-AGARI00</t>
  </si>
  <si>
    <t>1077576-AGARI00</t>
  </si>
  <si>
    <t>1077585-AGARI00</t>
  </si>
  <si>
    <t>1077854-AGARI00</t>
  </si>
  <si>
    <t>52540762-ANESP01</t>
  </si>
  <si>
    <t>Nespresso Order for DP3</t>
  </si>
  <si>
    <t>CSYD2136351-AALSC00</t>
  </si>
  <si>
    <t>CSYD2136351</t>
  </si>
  <si>
    <t>Longreach Branch Event Esky</t>
  </si>
  <si>
    <t>SP EVAKOOL AUSTRALIA</t>
  </si>
  <si>
    <t>Wall Hooks for Longreach Office</t>
  </si>
  <si>
    <t>ThomasJ1-Costs own Car Fleet</t>
  </si>
  <si>
    <t>CALTEX NARROGIN</t>
  </si>
  <si>
    <t>EMD &amp; Lreach Coffee Beans</t>
  </si>
  <si>
    <t>PearceD-Default Licensee Merch</t>
  </si>
  <si>
    <t>Furniture</t>
  </si>
  <si>
    <t>HARVEY NORMAN FURNIT</t>
  </si>
  <si>
    <t>Branch - Kitchen Supplies</t>
  </si>
  <si>
    <t>Branch Supplies - Milk &amp; Orange Juice</t>
  </si>
  <si>
    <t>Branch Set Up Items</t>
  </si>
  <si>
    <t>KMART 1009</t>
  </si>
  <si>
    <t>Tools For Branch Hobart</t>
  </si>
  <si>
    <t>CLENNETTS MITRE 10</t>
  </si>
  <si>
    <t>COLES 7523</t>
  </si>
  <si>
    <t>Atherton Office Kitchen</t>
  </si>
  <si>
    <t>52657757-ANESP01</t>
  </si>
  <si>
    <t>INV-39384-AWEST71</t>
  </si>
  <si>
    <t>INV-39384</t>
  </si>
  <si>
    <t>Airport Accessories</t>
  </si>
  <si>
    <t>Specialist Allen Keys for Desks</t>
  </si>
  <si>
    <t>TOTALTOOLSONLINEPTYLTD/p4pexhq0</t>
  </si>
  <si>
    <t>Coles Tea Coffee &amp; Biscuits</t>
  </si>
  <si>
    <t>Replacement projector with connectors</t>
  </si>
  <si>
    <t>Foodworks Moora Branch</t>
  </si>
  <si>
    <t>Aldi fruit, milk etc 3-3-25</t>
  </si>
  <si>
    <t>EEC-1448-EWATS00</t>
  </si>
  <si>
    <t>Instant coffee purchase Melbou</t>
  </si>
  <si>
    <t>EEC-1448</t>
  </si>
  <si>
    <t>MILLIE WATSON</t>
  </si>
  <si>
    <t>Flowers for client Sarah Lees</t>
  </si>
  <si>
    <t>Hand sanitary wipes for work car</t>
  </si>
  <si>
    <t>CrokerV-Office Supplies</t>
  </si>
  <si>
    <t>NSW Client Council Skin Truck BBQ supplies</t>
  </si>
  <si>
    <t>BRYANTS PIES</t>
  </si>
  <si>
    <t>COLES 0802</t>
  </si>
  <si>
    <t>EllevsenM-Offshore Meals &amp; Lod</t>
  </si>
  <si>
    <t>Coffee beans for staff tea room</t>
  </si>
  <si>
    <t>LS Peeches Coffee Loun</t>
  </si>
  <si>
    <t>Coffee for office tea room</t>
  </si>
  <si>
    <t>Award Night Prizes (Funny) | 2025 NSW State Offsite</t>
  </si>
  <si>
    <t>KMART 1046</t>
  </si>
  <si>
    <t>LS CHAOS AND KARMA PT</t>
  </si>
  <si>
    <t>LS MARY &amp; TEX CURIOUS</t>
  </si>
  <si>
    <t>THE IRIS PATCH</t>
  </si>
  <si>
    <t>Gift Wrapping  | 2025 NSW State Offsite</t>
  </si>
  <si>
    <t>FLAG ME</t>
  </si>
  <si>
    <t>THE REJECT SHOP 246</t>
  </si>
  <si>
    <t>Gift Wrapping &amp; Award Night Prizes | 2025 NSW State Offsite</t>
  </si>
  <si>
    <t>Guest Speaker thank you gift | 2025 NSW State Offsite</t>
  </si>
  <si>
    <t>Sunscreen | 2025 NSW State Offsite</t>
  </si>
  <si>
    <t>CWH ORANGE</t>
  </si>
  <si>
    <t>GrayC-Company Car Parking</t>
  </si>
  <si>
    <t>Parking Ticket - Bank update Perth</t>
  </si>
  <si>
    <t>CITY OF PERTH</t>
  </si>
  <si>
    <t>SALESJ-Other Personnel Expense</t>
  </si>
  <si>
    <t>Condolence flowers from the Risk Team</t>
  </si>
  <si>
    <t>SP LVLY AU</t>
  </si>
  <si>
    <t>Coconut water for Level 16 meeting rooms</t>
  </si>
  <si>
    <t>DP3 Kitchen Cutlery and glasses</t>
  </si>
  <si>
    <t>NISBETS AUSTRALIA/B11Q66GDW8GM</t>
  </si>
  <si>
    <t>Credit from Woolies for out of date Milk</t>
  </si>
  <si>
    <t>DP3 Kitchen Consumables - GF Biscuits</t>
  </si>
  <si>
    <t>DP3 Milk consumables</t>
  </si>
  <si>
    <t>Milk and bathroom consumables</t>
  </si>
  <si>
    <t>Thursday Fun Day catering supplies</t>
  </si>
  <si>
    <t>Cleaning materials office</t>
  </si>
  <si>
    <t>Flowers - Staniforth</t>
  </si>
  <si>
    <t>SQ *THOM, DICK &amp; HARRY?S</t>
  </si>
  <si>
    <t>WOOLWORTHS/BANNA AVE &amp; CR</t>
  </si>
  <si>
    <t>1080458-AGARI00</t>
  </si>
  <si>
    <t>Keys new premises</t>
  </si>
  <si>
    <t>Office supplies - Coles</t>
  </si>
  <si>
    <t>Coffe Pods for branch</t>
  </si>
  <si>
    <t>05/2 - $50 for CA offsite prizes - $47.30 Horsham Branch (smell in the branch and toilet - fixed)</t>
  </si>
  <si>
    <t>28 JAN coles shop for long stay Horsham stay - $60 Horsham Branch cold drinks - Di - Lee-Anne Warren</t>
  </si>
  <si>
    <t>52705067-ANESP01</t>
  </si>
  <si>
    <t>Purchase of Kitchen Supplies.</t>
  </si>
  <si>
    <t>PurdyN-Costs own Car Fleet</t>
  </si>
  <si>
    <t>Ice for Aldersyde client event</t>
  </si>
  <si>
    <t>ATLAS FUEL NARROGIN PL</t>
  </si>
  <si>
    <t>Toner Cartridge - Printer - Office Express</t>
  </si>
  <si>
    <t>OFFICE EXPRESS ARMIDAL</t>
  </si>
  <si>
    <t>DuftyW-Offshore Meals &amp; Lodgin</t>
  </si>
  <si>
    <t>Perth Milk</t>
  </si>
  <si>
    <t>Perth Office MIlk</t>
  </si>
  <si>
    <t>ThomasJ1-Tuition (study) Reimb</t>
  </si>
  <si>
    <t>Refund RSA Course - Kellie wilkins</t>
  </si>
  <si>
    <t>ACCESS ALL AREAS TRAIN</t>
  </si>
  <si>
    <t>RSA Training for Kellie Wilkins</t>
  </si>
  <si>
    <t>WilliamsM-Office Supplies</t>
  </si>
  <si>
    <t>COLES 7775</t>
  </si>
  <si>
    <t>BLADWELLN-Default Licensee Mer</t>
  </si>
  <si>
    <t>Barbecue tools - Sponsorship event Rowena</t>
  </si>
  <si>
    <t>Coles milk, fruit etc 17-3-25</t>
  </si>
  <si>
    <t>492266</t>
  </si>
  <si>
    <t>107054</t>
  </si>
  <si>
    <t>846430</t>
  </si>
  <si>
    <t>488175</t>
  </si>
  <si>
    <t>144678</t>
  </si>
  <si>
    <t>301622</t>
  </si>
  <si>
    <t>113153</t>
  </si>
  <si>
    <t>145230</t>
  </si>
  <si>
    <t>500316</t>
  </si>
  <si>
    <t>3012902</t>
  </si>
  <si>
    <t>60126838</t>
  </si>
  <si>
    <t>145496</t>
  </si>
  <si>
    <t>60127897</t>
  </si>
  <si>
    <t>145786</t>
  </si>
  <si>
    <t>20116426</t>
  </si>
  <si>
    <t>40191018</t>
  </si>
  <si>
    <t>60130900</t>
  </si>
  <si>
    <t>146363</t>
  </si>
  <si>
    <t>40197042</t>
  </si>
  <si>
    <t>888362</t>
  </si>
  <si>
    <t>146651</t>
  </si>
  <si>
    <t>30111634</t>
  </si>
  <si>
    <t>60134165</t>
  </si>
  <si>
    <t>146946</t>
  </si>
  <si>
    <t>133151</t>
  </si>
  <si>
    <t>40173846</t>
  </si>
  <si>
    <t>379646</t>
  </si>
  <si>
    <t>50129467</t>
  </si>
  <si>
    <t>2016716</t>
  </si>
  <si>
    <t>2017387</t>
  </si>
  <si>
    <t>380172</t>
  </si>
  <si>
    <t>40177598</t>
  </si>
  <si>
    <t>52140141</t>
  </si>
  <si>
    <t>90089846</t>
  </si>
  <si>
    <t>51989680</t>
  </si>
  <si>
    <t>52033857</t>
  </si>
  <si>
    <t>52033924</t>
  </si>
  <si>
    <t>60123391</t>
  </si>
  <si>
    <t>3345241</t>
  </si>
  <si>
    <t>380315</t>
  </si>
  <si>
    <t>380466</t>
  </si>
  <si>
    <t>380600</t>
  </si>
  <si>
    <t>50144832</t>
  </si>
  <si>
    <t>52262402</t>
  </si>
  <si>
    <t>60124378</t>
  </si>
  <si>
    <t>60125224</t>
  </si>
  <si>
    <t>52421876</t>
  </si>
  <si>
    <t>3358645</t>
  </si>
  <si>
    <t>1069253</t>
  </si>
  <si>
    <t>1071765</t>
  </si>
  <si>
    <t>1074781</t>
  </si>
  <si>
    <t>1077576</t>
  </si>
  <si>
    <t>1077585</t>
  </si>
  <si>
    <t>1077854</t>
  </si>
  <si>
    <t>52540762</t>
  </si>
  <si>
    <t>52657757</t>
  </si>
  <si>
    <t>1080458</t>
  </si>
  <si>
    <t>52705067</t>
  </si>
  <si>
    <t>Under $300 OK</t>
  </si>
  <si>
    <t>Tfrred to "WPE1 ME Summary - GL analysis ent accounts.xls"</t>
  </si>
  <si>
    <t>Minor ME, some RE added back</t>
  </si>
  <si>
    <t>Includes ME</t>
  </si>
  <si>
    <t xml:space="preserve">No ME included. </t>
  </si>
  <si>
    <t>Inlcudes ME, staff gifts which are exempt from FBT and capital expenditure</t>
  </si>
  <si>
    <t>241211308705-ACOTT01</t>
  </si>
  <si>
    <t>Charity Payment WHT Phase 2</t>
  </si>
  <si>
    <t>COTTAGES 4 COUNTRY CARE</t>
  </si>
  <si>
    <t>339056-AUNIV01</t>
  </si>
  <si>
    <t>SANTNWV CC RaboCommunity Fund</t>
  </si>
  <si>
    <t>UNIVERSITY OF SOUTH AUSTRALIA</t>
  </si>
  <si>
    <t>RBAUS NET PAY JAN 25</t>
  </si>
  <si>
    <t>Cancer Council JAN 25</t>
  </si>
  <si>
    <t>Royal Flying Doctors JAN 25</t>
  </si>
  <si>
    <t>Salvos JAN 25</t>
  </si>
  <si>
    <t>Starlight JAN 25</t>
  </si>
  <si>
    <t>RBAUS NET PAY FEB 25</t>
  </si>
  <si>
    <t>Cancer Council FEB 25</t>
  </si>
  <si>
    <t>Royal Flying Doctors FEB 25</t>
  </si>
  <si>
    <t>Salvos FEB 25</t>
  </si>
  <si>
    <t>Starlight FEB 25</t>
  </si>
  <si>
    <t>RBAUS Net Pay</t>
  </si>
  <si>
    <t>Cancer Council</t>
  </si>
  <si>
    <t>Royal Flying Doctors</t>
  </si>
  <si>
    <t>Salvos</t>
  </si>
  <si>
    <t>Starlight</t>
  </si>
  <si>
    <t>No ME</t>
  </si>
  <si>
    <t>SN00 4702 2812 2024-ANEWS12</t>
  </si>
  <si>
    <t>Carrs newagency Dec invoice</t>
  </si>
  <si>
    <t>SN00 4702 2812 2024</t>
  </si>
  <si>
    <t>NEWSXPRESS CARRS ARMIDALE</t>
  </si>
  <si>
    <t>AU071198</t>
  </si>
  <si>
    <t>PictonBJ-Contributions &amp; Club</t>
  </si>
  <si>
    <t>Wall Street Journal Subscription</t>
  </si>
  <si>
    <t>D J/P-0300984497</t>
  </si>
  <si>
    <t>WSJ subscription</t>
  </si>
  <si>
    <t>D J/P-0313896163</t>
  </si>
  <si>
    <t>SN00 4702 3101 2025-ANEWS12</t>
  </si>
  <si>
    <t>Carrs newsagency January invoi</t>
  </si>
  <si>
    <t>SN00 4702 3101 2025</t>
  </si>
  <si>
    <t>SN00 4702 2802 2025-ANEWS12</t>
  </si>
  <si>
    <t>Carrs Newsagency Feb invoice</t>
  </si>
  <si>
    <t>SN00 4702 2802 2025</t>
  </si>
  <si>
    <t>WP4 - Entertainment sensitive GL Accounts for Jan 2025 to Mar 25</t>
  </si>
  <si>
    <t>No expenses recorded</t>
  </si>
  <si>
    <t>Noted</t>
  </si>
  <si>
    <t>No ME included.  client gifts are exempt from FBT</t>
  </si>
  <si>
    <t>Miscellaneous expenses (2)</t>
  </si>
  <si>
    <t>Pty FB</t>
  </si>
  <si>
    <t>Brad James &gt;$300</t>
  </si>
  <si>
    <t>consumables</t>
  </si>
  <si>
    <t>R&amp;M</t>
  </si>
  <si>
    <r>
      <t xml:space="preserve">NOTE for ITR/HardCat </t>
    </r>
    <r>
      <rPr>
        <b/>
        <sz val="11"/>
        <color theme="1"/>
        <rFont val="Wingdings"/>
        <charset val="2"/>
      </rPr>
      <t>ê</t>
    </r>
  </si>
  <si>
    <t xml:space="preserve">
$</t>
  </si>
  <si>
    <t>Pty FB &gt;$300</t>
  </si>
  <si>
    <t xml:space="preserve"> LF: Queries dealt with and responses at WPE1. Largely agreed with questions raises but have not made major changes given stage of process. Agreed we need a separate GL account or something for food whilst travelling </t>
  </si>
  <si>
    <r>
      <t xml:space="preserve"> LF response to my queries noted and accept calc accordingly.  
</t>
    </r>
    <r>
      <rPr>
        <sz val="9"/>
        <color rgb="FF0000FF"/>
        <rFont val="Script MT Bold"/>
        <family val="4"/>
      </rPr>
      <t xml:space="preserve">AJL16/5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</si>
</sst>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yyyy\-mm\-dd;@"/>
  </numFmts>
  <fonts count="23" x14ac:knownFonts="1">
    <font>
      <sz val="11"/>
      <color theme="1"/>
      <name val="Calibri"/>
      <family val="2"/>
      <scheme val="minor"/>
    </font>
    <font>
      <sz val="11"/>
      <color theme="1"/>
      <name val="Calibri"/>
      <family val="2"/>
      <scheme val="minor"/>
    </font>
    <font>
      <b/>
      <sz val="11"/>
      <color theme="1"/>
      <name val="Calibri"/>
      <family val="2"/>
      <scheme val="minor"/>
    </font>
    <font>
      <b/>
      <i/>
      <sz val="11"/>
      <color theme="1"/>
      <name val="Calibri"/>
      <family val="2"/>
      <scheme val="minor"/>
    </font>
    <font>
      <b/>
      <sz val="11"/>
      <name val="Calibri"/>
      <family val="2"/>
    </font>
    <font>
      <b/>
      <sz val="11"/>
      <color theme="0"/>
      <name val="Calibri"/>
      <family val="2"/>
    </font>
    <font>
      <sz val="11"/>
      <name val="Calibri"/>
      <family val="2"/>
    </font>
    <font>
      <i/>
      <sz val="11"/>
      <color theme="1"/>
      <name val="Calibri"/>
      <family val="2"/>
      <scheme val="minor"/>
    </font>
    <font>
      <sz val="11"/>
      <name val="Aptos Narrow"/>
      <family val="2"/>
    </font>
    <font>
      <sz val="11"/>
      <color rgb="FFFF0000"/>
      <name val="Calibri"/>
      <family val="2"/>
      <scheme val="minor"/>
    </font>
    <font>
      <sz val="11"/>
      <name val="Calibri"/>
      <family val="2"/>
      <scheme val="minor"/>
    </font>
    <font>
      <b/>
      <sz val="11"/>
      <name val="Calibri"/>
      <family val="2"/>
      <scheme val="minor"/>
    </font>
    <font>
      <b/>
      <sz val="11"/>
      <color rgb="FFFF0000"/>
      <name val="Calibri"/>
      <family val="2"/>
      <scheme val="minor"/>
    </font>
    <font>
      <b/>
      <sz val="11"/>
      <name val="Aptos Narrow"/>
      <family val="2"/>
    </font>
    <font>
      <b/>
      <u val="double"/>
      <sz val="11"/>
      <color theme="1"/>
      <name val="Calibri"/>
      <family val="2"/>
      <scheme val="minor"/>
    </font>
    <font>
      <b/>
      <u/>
      <sz val="11"/>
      <color theme="1"/>
      <name val="Calibri"/>
      <family val="2"/>
      <scheme val="minor"/>
    </font>
    <font>
      <strike/>
      <sz val="11"/>
      <name val="Aptos Narrow"/>
      <family val="2"/>
    </font>
    <font>
      <strike/>
      <sz val="11"/>
      <color theme="1"/>
      <name val="Calibri"/>
      <family val="2"/>
      <scheme val="minor"/>
    </font>
    <font>
      <sz val="8"/>
      <name val="Calibri"/>
      <family val="2"/>
      <scheme val="minor"/>
    </font>
    <font>
      <b/>
      <sz val="11"/>
      <color theme="1"/>
      <name val="Wingdings"/>
      <charset val="2"/>
    </font>
    <font>
      <sz val="9"/>
      <color theme="1"/>
      <name val="Calibri"/>
      <family val="2"/>
      <scheme val="minor"/>
    </font>
    <font>
      <sz val="9"/>
      <color rgb="FF0000FF"/>
      <name val="Calibri"/>
      <family val="2"/>
      <scheme val="minor"/>
    </font>
    <font>
      <sz val="9"/>
      <color rgb="FF0000FF"/>
      <name val="Script MT Bold"/>
      <family val="4"/>
    </font>
  </fonts>
  <fills count="11">
    <fill>
      <patternFill patternType="none"/>
    </fill>
    <fill>
      <patternFill patternType="gray125"/>
    </fill>
    <fill>
      <patternFill patternType="solid">
        <fgColor theme="1"/>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rgb="FF92D050"/>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79998168889431442"/>
        <bgColor indexed="64"/>
      </patternFill>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thick">
        <color auto="1"/>
      </right>
      <top style="medium">
        <color indexed="64"/>
      </top>
      <bottom style="medium">
        <color indexed="64"/>
      </bottom>
      <diagonal/>
    </border>
    <border>
      <left/>
      <right/>
      <top style="thin">
        <color indexed="64"/>
      </top>
      <bottom style="thin">
        <color indexed="64"/>
      </bottom>
      <diagonal/>
    </border>
    <border>
      <left/>
      <right/>
      <top/>
      <bottom style="thin">
        <color auto="1"/>
      </bottom>
      <diagonal/>
    </border>
    <border>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thin">
        <color indexed="64"/>
      </top>
      <bottom/>
      <diagonal/>
    </border>
    <border>
      <left/>
      <right/>
      <top style="thin">
        <color indexed="64"/>
      </top>
      <bottom style="double">
        <color indexed="64"/>
      </bottom>
      <diagonal/>
    </border>
  </borders>
  <cellStyleXfs count="6">
    <xf numFmtId="0" fontId="0" fillId="0" borderId="0"/>
    <xf numFmtId="43" fontId="1" fillId="0" borderId="0" applyFont="0" applyFill="0" applyBorder="0" applyAlignment="0" applyProtection="0"/>
    <xf numFmtId="43" fontId="1" fillId="0" borderId="0" applyFont="0" applyFill="0" applyBorder="0" applyAlignment="0" applyProtection="0"/>
    <xf numFmtId="0" fontId="6" fillId="0" borderId="0"/>
    <xf numFmtId="9" fontId="1" fillId="0" borderId="0" applyFont="0" applyFill="0" applyBorder="0" applyAlignment="0" applyProtection="0"/>
    <xf numFmtId="0" fontId="8" fillId="0" borderId="0"/>
  </cellStyleXfs>
  <cellXfs count="217">
    <xf numFmtId="0" fontId="0" fillId="0" borderId="0" xfId="0"/>
    <xf numFmtId="0" fontId="2" fillId="0" borderId="1" xfId="0" applyFont="1" applyBorder="1"/>
    <xf numFmtId="0" fontId="2" fillId="0" borderId="2" xfId="0" applyFont="1" applyBorder="1"/>
    <xf numFmtId="43" fontId="0" fillId="0" borderId="0" xfId="1" applyFont="1"/>
    <xf numFmtId="0" fontId="3" fillId="0" borderId="0" xfId="0" applyFont="1"/>
    <xf numFmtId="0" fontId="0" fillId="2" borderId="0" xfId="0" applyFill="1"/>
    <xf numFmtId="0" fontId="4" fillId="4" borderId="6" xfId="0" applyFont="1" applyFill="1" applyBorder="1" applyAlignment="1">
      <alignment horizontal="center" vertical="center" wrapText="1"/>
    </xf>
    <xf numFmtId="0" fontId="4" fillId="4" borderId="2" xfId="0" applyFont="1" applyFill="1" applyBorder="1" applyAlignment="1">
      <alignment horizontal="center" wrapText="1"/>
    </xf>
    <xf numFmtId="0" fontId="4" fillId="4" borderId="2"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7" borderId="6" xfId="0" applyFont="1" applyFill="1" applyBorder="1" applyAlignment="1">
      <alignment horizontal="center" vertical="center" wrapText="1"/>
    </xf>
    <xf numFmtId="0" fontId="4" fillId="0" borderId="0" xfId="0" applyFont="1"/>
    <xf numFmtId="164" fontId="0" fillId="0" borderId="0" xfId="1" applyNumberFormat="1" applyFont="1"/>
    <xf numFmtId="14" fontId="0" fillId="0" borderId="0" xfId="0" applyNumberFormat="1"/>
    <xf numFmtId="0" fontId="2" fillId="0" borderId="8" xfId="0" applyFont="1" applyBorder="1"/>
    <xf numFmtId="43" fontId="2" fillId="0" borderId="8" xfId="1" applyFont="1" applyBorder="1"/>
    <xf numFmtId="43" fontId="0" fillId="8" borderId="0" xfId="1" applyFont="1" applyFill="1"/>
    <xf numFmtId="0" fontId="0" fillId="8" borderId="0" xfId="0" applyFill="1"/>
    <xf numFmtId="0" fontId="2" fillId="0" borderId="0" xfId="0" applyFont="1"/>
    <xf numFmtId="0" fontId="4" fillId="4" borderId="1" xfId="0" applyFont="1" applyFill="1" applyBorder="1" applyAlignment="1">
      <alignment horizontal="center" vertical="center" wrapText="1"/>
    </xf>
    <xf numFmtId="43" fontId="0" fillId="0" borderId="0" xfId="0" applyNumberFormat="1"/>
    <xf numFmtId="14" fontId="6" fillId="0" borderId="0" xfId="3" applyNumberFormat="1"/>
    <xf numFmtId="43" fontId="2" fillId="0" borderId="0" xfId="1" applyFont="1"/>
    <xf numFmtId="43" fontId="4" fillId="4" borderId="1" xfId="1" applyFont="1" applyFill="1" applyBorder="1" applyAlignment="1">
      <alignment horizontal="center" vertical="center" wrapText="1"/>
    </xf>
    <xf numFmtId="0" fontId="6" fillId="0" borderId="0" xfId="3"/>
    <xf numFmtId="0" fontId="6" fillId="0" borderId="0" xfId="3"/>
    <xf numFmtId="0" fontId="0" fillId="0" borderId="9" xfId="0" applyBorder="1" applyAlignment="1">
      <alignment wrapText="1"/>
    </xf>
    <xf numFmtId="43" fontId="0" fillId="0" borderId="9" xfId="1" applyFont="1" applyBorder="1" applyAlignment="1">
      <alignment wrapText="1"/>
    </xf>
    <xf numFmtId="14" fontId="0" fillId="0" borderId="9" xfId="0" applyNumberFormat="1" applyBorder="1" applyAlignment="1">
      <alignment wrapText="1"/>
    </xf>
    <xf numFmtId="0" fontId="0" fillId="0" borderId="0" xfId="0" applyFill="1"/>
    <xf numFmtId="0" fontId="0" fillId="2" borderId="0" xfId="0" applyFill="1" applyAlignment="1">
      <alignment vertical="top"/>
    </xf>
    <xf numFmtId="0" fontId="4" fillId="4" borderId="1" xfId="0" applyFont="1" applyFill="1" applyBorder="1" applyAlignment="1">
      <alignment horizontal="center" vertical="top" wrapText="1"/>
    </xf>
    <xf numFmtId="0" fontId="4" fillId="4" borderId="2" xfId="0" applyFont="1" applyFill="1" applyBorder="1" applyAlignment="1">
      <alignment horizontal="center" vertical="top" wrapText="1"/>
    </xf>
    <xf numFmtId="0" fontId="4" fillId="4" borderId="7" xfId="0" applyFont="1" applyFill="1" applyBorder="1" applyAlignment="1">
      <alignment horizontal="center" vertical="top" wrapText="1"/>
    </xf>
    <xf numFmtId="0" fontId="4" fillId="5" borderId="2" xfId="0" applyFont="1" applyFill="1" applyBorder="1" applyAlignment="1">
      <alignment horizontal="center" vertical="top" wrapText="1"/>
    </xf>
    <xf numFmtId="0" fontId="5" fillId="2" borderId="1" xfId="0" applyFont="1" applyFill="1" applyBorder="1" applyAlignment="1">
      <alignment horizontal="center" vertical="top" wrapText="1"/>
    </xf>
    <xf numFmtId="0" fontId="4" fillId="5" borderId="3" xfId="0" applyFont="1" applyFill="1" applyBorder="1" applyAlignment="1">
      <alignment horizontal="center" vertical="top" wrapText="1"/>
    </xf>
    <xf numFmtId="0" fontId="4" fillId="5" borderId="6" xfId="0" applyFont="1" applyFill="1" applyBorder="1" applyAlignment="1">
      <alignment horizontal="center" vertical="top" wrapText="1"/>
    </xf>
    <xf numFmtId="0" fontId="4" fillId="3" borderId="3" xfId="0" applyFont="1" applyFill="1" applyBorder="1" applyAlignment="1">
      <alignment horizontal="center" vertical="top" wrapText="1"/>
    </xf>
    <xf numFmtId="0" fontId="4" fillId="6" borderId="3" xfId="0" applyFont="1" applyFill="1" applyBorder="1" applyAlignment="1">
      <alignment horizontal="center" vertical="top" wrapText="1"/>
    </xf>
    <xf numFmtId="0" fontId="0" fillId="0" borderId="0" xfId="0" applyAlignment="1">
      <alignment vertical="top"/>
    </xf>
    <xf numFmtId="43" fontId="4" fillId="4" borderId="1" xfId="1" applyFont="1" applyFill="1" applyBorder="1" applyAlignment="1">
      <alignment horizontal="center" vertical="top" wrapText="1"/>
    </xf>
    <xf numFmtId="0" fontId="0" fillId="0" borderId="0" xfId="0" applyAlignment="1">
      <alignment wrapText="1"/>
    </xf>
    <xf numFmtId="0" fontId="0" fillId="0" borderId="0" xfId="0" applyAlignment="1"/>
    <xf numFmtId="0" fontId="2" fillId="0" borderId="0" xfId="0" applyFont="1" applyAlignment="1">
      <alignment wrapText="1"/>
    </xf>
    <xf numFmtId="43" fontId="6" fillId="0" borderId="0" xfId="1" applyFont="1"/>
    <xf numFmtId="0" fontId="6" fillId="0" borderId="0" xfId="3" applyAlignment="1">
      <alignment wrapText="1"/>
    </xf>
    <xf numFmtId="0" fontId="2" fillId="0" borderId="8" xfId="0" applyFont="1" applyBorder="1" applyAlignment="1">
      <alignment wrapText="1"/>
    </xf>
    <xf numFmtId="0" fontId="2" fillId="0" borderId="0" xfId="0" applyFont="1" applyAlignment="1">
      <alignment horizontal="left"/>
    </xf>
    <xf numFmtId="14" fontId="0" fillId="0" borderId="0" xfId="0" applyNumberFormat="1" applyAlignment="1">
      <alignment wrapText="1"/>
    </xf>
    <xf numFmtId="43" fontId="6" fillId="0" borderId="0" xfId="1" applyFont="1" applyFill="1"/>
    <xf numFmtId="43" fontId="4" fillId="4" borderId="2" xfId="1" applyFont="1" applyFill="1" applyBorder="1" applyAlignment="1">
      <alignment horizontal="center" vertical="center" wrapText="1"/>
    </xf>
    <xf numFmtId="43" fontId="4" fillId="4" borderId="2" xfId="1" applyFont="1" applyFill="1" applyBorder="1" applyAlignment="1">
      <alignment horizontal="center" vertical="top" wrapText="1"/>
    </xf>
    <xf numFmtId="9" fontId="4" fillId="4" borderId="1" xfId="4" applyFont="1" applyFill="1" applyBorder="1" applyAlignment="1">
      <alignment horizontal="center" vertical="top" wrapText="1"/>
    </xf>
    <xf numFmtId="9" fontId="4" fillId="4" borderId="2" xfId="4" applyFont="1" applyFill="1" applyBorder="1" applyAlignment="1">
      <alignment horizontal="center" vertical="top" wrapText="1"/>
    </xf>
    <xf numFmtId="9" fontId="0" fillId="0" borderId="0" xfId="4" applyFont="1" applyAlignment="1">
      <alignment wrapText="1"/>
    </xf>
    <xf numFmtId="9" fontId="2" fillId="0" borderId="0" xfId="4" applyFont="1" applyAlignment="1">
      <alignment wrapText="1"/>
    </xf>
    <xf numFmtId="0" fontId="0" fillId="9" borderId="0" xfId="0" applyFill="1"/>
    <xf numFmtId="0" fontId="7" fillId="0" borderId="0" xfId="0" applyFont="1"/>
    <xf numFmtId="43" fontId="0" fillId="0" borderId="0" xfId="1" applyFont="1" applyFill="1"/>
    <xf numFmtId="43" fontId="4" fillId="4" borderId="6" xfId="1" applyFont="1" applyFill="1" applyBorder="1" applyAlignment="1">
      <alignment horizontal="center" vertical="top" wrapText="1"/>
    </xf>
    <xf numFmtId="43" fontId="4" fillId="0" borderId="0" xfId="1" applyFont="1" applyFill="1" applyBorder="1" applyAlignment="1">
      <alignment horizontal="center" vertical="top" wrapText="1"/>
    </xf>
    <xf numFmtId="0" fontId="0" fillId="0" borderId="10" xfId="0" applyBorder="1"/>
    <xf numFmtId="43" fontId="0" fillId="0" borderId="11" xfId="1" applyFont="1" applyBorder="1"/>
    <xf numFmtId="43" fontId="0" fillId="0" borderId="12" xfId="1" applyFont="1" applyBorder="1"/>
    <xf numFmtId="0" fontId="0" fillId="0" borderId="13" xfId="0" applyBorder="1"/>
    <xf numFmtId="43" fontId="0" fillId="0" borderId="14" xfId="1" applyFont="1" applyBorder="1"/>
    <xf numFmtId="43" fontId="0" fillId="0" borderId="15" xfId="1" applyFont="1" applyBorder="1"/>
    <xf numFmtId="43" fontId="2" fillId="0" borderId="16" xfId="1" applyFont="1" applyBorder="1"/>
    <xf numFmtId="0" fontId="4" fillId="4" borderId="17" xfId="0" applyFont="1" applyFill="1" applyBorder="1" applyAlignment="1">
      <alignment horizontal="center" vertical="center" wrapText="1"/>
    </xf>
    <xf numFmtId="0" fontId="4" fillId="4" borderId="18" xfId="0" applyFont="1" applyFill="1" applyBorder="1" applyAlignment="1">
      <alignment horizontal="center" vertical="center" wrapText="1"/>
    </xf>
    <xf numFmtId="0" fontId="4" fillId="4" borderId="2" xfId="0" applyFont="1" applyFill="1" applyBorder="1" applyAlignment="1">
      <alignment horizontal="center" vertical="top" wrapText="1"/>
    </xf>
    <xf numFmtId="0" fontId="0" fillId="0" borderId="0" xfId="0" applyBorder="1" applyAlignment="1">
      <alignment wrapText="1"/>
    </xf>
    <xf numFmtId="0" fontId="0" fillId="2" borderId="0" xfId="0" applyFill="1" applyBorder="1"/>
    <xf numFmtId="43" fontId="0" fillId="0" borderId="0" xfId="1" applyFont="1" applyBorder="1"/>
    <xf numFmtId="0" fontId="0" fillId="0" borderId="0" xfId="0" applyBorder="1"/>
    <xf numFmtId="0" fontId="0" fillId="0" borderId="0" xfId="0" applyFill="1" applyBorder="1" applyAlignment="1">
      <alignment wrapText="1"/>
    </xf>
    <xf numFmtId="0" fontId="0" fillId="0" borderId="0" xfId="0" applyFill="1" applyBorder="1"/>
    <xf numFmtId="0" fontId="2" fillId="0" borderId="9" xfId="0" applyFont="1" applyBorder="1" applyAlignment="1">
      <alignment vertical="top" wrapText="1"/>
    </xf>
    <xf numFmtId="43" fontId="2" fillId="0" borderId="9" xfId="1" applyFont="1" applyBorder="1" applyAlignment="1">
      <alignment vertical="top" wrapText="1"/>
    </xf>
    <xf numFmtId="14" fontId="2" fillId="0" borderId="9" xfId="0" applyNumberFormat="1" applyFont="1" applyBorder="1" applyAlignment="1">
      <alignment vertical="top" wrapText="1"/>
    </xf>
    <xf numFmtId="0" fontId="2" fillId="0" borderId="0" xfId="0" applyFont="1" applyBorder="1" applyAlignment="1">
      <alignment vertical="top" wrapText="1"/>
    </xf>
    <xf numFmtId="0" fontId="6" fillId="0" borderId="0" xfId="3" applyBorder="1"/>
    <xf numFmtId="43" fontId="6" fillId="0" borderId="0" xfId="1" applyFont="1" applyBorder="1"/>
    <xf numFmtId="14" fontId="6" fillId="0" borderId="0" xfId="3" applyNumberFormat="1" applyBorder="1"/>
    <xf numFmtId="0" fontId="6" fillId="0" borderId="0" xfId="3" applyBorder="1" applyAlignment="1">
      <alignment wrapText="1"/>
    </xf>
    <xf numFmtId="14" fontId="0" fillId="0" borderId="0" xfId="0" applyNumberFormat="1" applyBorder="1"/>
    <xf numFmtId="14" fontId="0" fillId="0" borderId="0" xfId="0" applyNumberFormat="1" applyAlignment="1"/>
    <xf numFmtId="43" fontId="0" fillId="8" borderId="0" xfId="0" applyNumberFormat="1" applyFill="1"/>
    <xf numFmtId="0" fontId="0" fillId="0" borderId="9" xfId="0" applyBorder="1"/>
    <xf numFmtId="14" fontId="0" fillId="0" borderId="9" xfId="0" applyNumberFormat="1" applyBorder="1"/>
    <xf numFmtId="9" fontId="0" fillId="0" borderId="0" xfId="4" applyFont="1" applyBorder="1" applyAlignment="1">
      <alignment wrapText="1"/>
    </xf>
    <xf numFmtId="2" fontId="6" fillId="0" borderId="0" xfId="3" applyNumberFormat="1"/>
    <xf numFmtId="2" fontId="0" fillId="0" borderId="0" xfId="0" applyNumberFormat="1"/>
    <xf numFmtId="14" fontId="6" fillId="0" borderId="0" xfId="3" applyNumberFormat="1" applyAlignment="1">
      <alignment wrapText="1"/>
    </xf>
    <xf numFmtId="14" fontId="8" fillId="0" borderId="9" xfId="5" applyNumberFormat="1" applyBorder="1"/>
    <xf numFmtId="14" fontId="8" fillId="0" borderId="0" xfId="5" applyNumberFormat="1"/>
    <xf numFmtId="0" fontId="0" fillId="0" borderId="0" xfId="0" applyNumberFormat="1"/>
    <xf numFmtId="43" fontId="0" fillId="0" borderId="0" xfId="1" applyFont="1" applyFill="1" applyBorder="1"/>
    <xf numFmtId="0" fontId="6" fillId="0" borderId="0" xfId="3" applyFill="1" applyBorder="1" applyAlignment="1">
      <alignment wrapText="1"/>
    </xf>
    <xf numFmtId="0" fontId="6" fillId="0" borderId="0" xfId="3" applyFill="1" applyBorder="1"/>
    <xf numFmtId="43" fontId="6" fillId="0" borderId="0" xfId="1" applyFont="1" applyFill="1" applyBorder="1"/>
    <xf numFmtId="0" fontId="6" fillId="0" borderId="0" xfId="3" applyNumberFormat="1" applyFill="1" applyBorder="1"/>
    <xf numFmtId="0" fontId="0" fillId="0" borderId="0" xfId="0" applyNumberFormat="1" applyFill="1" applyBorder="1"/>
    <xf numFmtId="14" fontId="0" fillId="9" borderId="0" xfId="0" applyNumberFormat="1" applyFill="1" applyAlignment="1"/>
    <xf numFmtId="0" fontId="0" fillId="2" borderId="19" xfId="0" applyFill="1" applyBorder="1"/>
    <xf numFmtId="0" fontId="0" fillId="0" borderId="19" xfId="0" applyBorder="1" applyAlignment="1">
      <alignment wrapText="1"/>
    </xf>
    <xf numFmtId="0" fontId="0" fillId="0" borderId="19" xfId="0" applyBorder="1"/>
    <xf numFmtId="43" fontId="0" fillId="0" borderId="19" xfId="1" applyFont="1" applyBorder="1"/>
    <xf numFmtId="0" fontId="0" fillId="8" borderId="0" xfId="0" applyNumberFormat="1" applyFill="1"/>
    <xf numFmtId="0" fontId="8" fillId="0" borderId="0" xfId="5"/>
    <xf numFmtId="14" fontId="8" fillId="0" borderId="0" xfId="5" applyNumberFormat="1" applyBorder="1"/>
    <xf numFmtId="164" fontId="7" fillId="0" borderId="0" xfId="1" applyNumberFormat="1" applyFont="1"/>
    <xf numFmtId="0" fontId="7" fillId="0" borderId="0" xfId="0" applyFont="1" applyAlignment="1">
      <alignment wrapText="1"/>
    </xf>
    <xf numFmtId="43" fontId="7" fillId="0" borderId="0" xfId="1" applyFont="1"/>
    <xf numFmtId="43" fontId="7" fillId="0" borderId="14" xfId="1" applyFont="1" applyBorder="1"/>
    <xf numFmtId="43" fontId="7" fillId="0" borderId="11" xfId="1" applyFont="1" applyBorder="1"/>
    <xf numFmtId="14" fontId="8" fillId="0" borderId="0" xfId="5" applyNumberFormat="1" applyFill="1"/>
    <xf numFmtId="0" fontId="8" fillId="0" borderId="0" xfId="5"/>
    <xf numFmtId="0" fontId="8" fillId="0" borderId="9" xfId="5" applyBorder="1"/>
    <xf numFmtId="0" fontId="8" fillId="0" borderId="0" xfId="5"/>
    <xf numFmtId="9" fontId="0" fillId="0" borderId="0" xfId="4" applyFont="1" applyFill="1" applyAlignment="1">
      <alignment wrapText="1"/>
    </xf>
    <xf numFmtId="0" fontId="7" fillId="0" borderId="0" xfId="0" applyFont="1" applyFill="1"/>
    <xf numFmtId="0" fontId="8" fillId="0" borderId="0" xfId="5"/>
    <xf numFmtId="0" fontId="8" fillId="0" borderId="9" xfId="5" applyBorder="1"/>
    <xf numFmtId="165" fontId="0" fillId="0" borderId="0" xfId="0" applyNumberFormat="1" applyAlignment="1">
      <alignment wrapText="1"/>
    </xf>
    <xf numFmtId="0" fontId="8" fillId="0" borderId="0" xfId="5"/>
    <xf numFmtId="0" fontId="8" fillId="0" borderId="9" xfId="5" applyBorder="1"/>
    <xf numFmtId="0" fontId="8" fillId="0" borderId="0" xfId="5"/>
    <xf numFmtId="0" fontId="8" fillId="0" borderId="0" xfId="5"/>
    <xf numFmtId="165" fontId="8" fillId="0" borderId="0" xfId="5" applyNumberFormat="1"/>
    <xf numFmtId="0" fontId="8" fillId="0" borderId="0" xfId="5"/>
    <xf numFmtId="0" fontId="8" fillId="0" borderId="9" xfId="5" applyBorder="1"/>
    <xf numFmtId="0" fontId="7" fillId="0" borderId="0" xfId="0" applyNumberFormat="1" applyFont="1" applyAlignment="1">
      <alignment horizontal="left"/>
    </xf>
    <xf numFmtId="0" fontId="0" fillId="0" borderId="0" xfId="0" applyNumberFormat="1" applyAlignment="1">
      <alignment horizontal="left"/>
    </xf>
    <xf numFmtId="0" fontId="0" fillId="0" borderId="0" xfId="0" applyAlignment="1">
      <alignment horizontal="left"/>
    </xf>
    <xf numFmtId="0" fontId="0" fillId="0" borderId="0" xfId="0" applyNumberFormat="1" applyFill="1" applyAlignment="1">
      <alignment horizontal="left"/>
    </xf>
    <xf numFmtId="0" fontId="7" fillId="0" borderId="0" xfId="0" applyNumberFormat="1" applyFont="1" applyFill="1" applyAlignment="1">
      <alignment horizontal="left"/>
    </xf>
    <xf numFmtId="0" fontId="0" fillId="0" borderId="0" xfId="0" applyNumberFormat="1" applyAlignment="1">
      <alignment horizontal="left" wrapText="1"/>
    </xf>
    <xf numFmtId="0" fontId="8" fillId="0" borderId="0" xfId="5"/>
    <xf numFmtId="0" fontId="8" fillId="0" borderId="0" xfId="5"/>
    <xf numFmtId="0" fontId="8" fillId="0" borderId="9" xfId="5" applyBorder="1"/>
    <xf numFmtId="0" fontId="4" fillId="4" borderId="1" xfId="0" applyFont="1" applyFill="1" applyBorder="1" applyAlignment="1">
      <alignment horizontal="center" vertical="top" wrapText="1"/>
    </xf>
    <xf numFmtId="0" fontId="4" fillId="4" borderId="2" xfId="0" applyFont="1" applyFill="1" applyBorder="1" applyAlignment="1">
      <alignment horizontal="center" vertical="top" wrapText="1"/>
    </xf>
    <xf numFmtId="43" fontId="2" fillId="0" borderId="0" xfId="0" applyNumberFormat="1" applyFont="1"/>
    <xf numFmtId="0" fontId="2" fillId="0" borderId="0" xfId="0" applyFont="1" applyAlignment="1"/>
    <xf numFmtId="0" fontId="10" fillId="0" borderId="0" xfId="0" applyFont="1"/>
    <xf numFmtId="0" fontId="11" fillId="0" borderId="0" xfId="0" applyFont="1"/>
    <xf numFmtId="0" fontId="11" fillId="0" borderId="0" xfId="0" applyFont="1" applyAlignment="1">
      <alignment wrapText="1"/>
    </xf>
    <xf numFmtId="0" fontId="11" fillId="2" borderId="0" xfId="0" applyFont="1" applyFill="1"/>
    <xf numFmtId="43" fontId="11" fillId="0" borderId="0" xfId="1" applyFont="1"/>
    <xf numFmtId="0" fontId="4" fillId="4" borderId="5" xfId="0" applyFont="1" applyFill="1" applyBorder="1" applyAlignment="1">
      <alignment horizontal="center" vertical="center" wrapText="1"/>
    </xf>
    <xf numFmtId="0" fontId="2" fillId="0" borderId="20" xfId="0" applyFont="1" applyBorder="1"/>
    <xf numFmtId="0" fontId="11" fillId="0" borderId="0" xfId="0" applyFont="1" applyAlignment="1"/>
    <xf numFmtId="0" fontId="0" fillId="0" borderId="9" xfId="0" applyBorder="1" applyAlignment="1"/>
    <xf numFmtId="0" fontId="6" fillId="0" borderId="0" xfId="3" applyAlignment="1"/>
    <xf numFmtId="0" fontId="12" fillId="0" borderId="0" xfId="0" applyFont="1" applyAlignment="1"/>
    <xf numFmtId="14" fontId="2" fillId="0" borderId="0" xfId="0" applyNumberFormat="1" applyFont="1" applyAlignment="1">
      <alignment wrapText="1"/>
    </xf>
    <xf numFmtId="0" fontId="2" fillId="0" borderId="1" xfId="0" applyFont="1" applyBorder="1" applyAlignment="1">
      <alignment vertical="top" wrapText="1"/>
    </xf>
    <xf numFmtId="0" fontId="2" fillId="0" borderId="2" xfId="0" applyFont="1" applyBorder="1" applyAlignment="1">
      <alignment vertical="top" wrapText="1"/>
    </xf>
    <xf numFmtId="43" fontId="2" fillId="0" borderId="2" xfId="1" applyFont="1" applyBorder="1" applyAlignment="1">
      <alignment vertical="top" wrapText="1"/>
    </xf>
    <xf numFmtId="14" fontId="2" fillId="0" borderId="2" xfId="0" applyNumberFormat="1" applyFont="1" applyBorder="1" applyAlignment="1">
      <alignment vertical="top" wrapText="1"/>
    </xf>
    <xf numFmtId="0" fontId="2" fillId="0" borderId="3" xfId="0" applyFont="1" applyBorder="1" applyAlignment="1">
      <alignment vertical="top" wrapText="1"/>
    </xf>
    <xf numFmtId="0" fontId="8" fillId="0" borderId="9" xfId="5" applyBorder="1" applyAlignment="1">
      <alignment wrapText="1"/>
    </xf>
    <xf numFmtId="0" fontId="8" fillId="0" borderId="0" xfId="5" applyAlignment="1">
      <alignment wrapText="1"/>
    </xf>
    <xf numFmtId="14" fontId="2" fillId="0" borderId="0" xfId="0" applyNumberFormat="1" applyFont="1"/>
    <xf numFmtId="43" fontId="9" fillId="0" borderId="0" xfId="1" applyFont="1"/>
    <xf numFmtId="0" fontId="13" fillId="0" borderId="1" xfId="5" applyFont="1" applyBorder="1"/>
    <xf numFmtId="0" fontId="13" fillId="0" borderId="2" xfId="5" applyFont="1" applyBorder="1"/>
    <xf numFmtId="14" fontId="13" fillId="0" borderId="2" xfId="5" applyNumberFormat="1" applyFont="1" applyBorder="1"/>
    <xf numFmtId="0" fontId="13" fillId="0" borderId="2" xfId="5" applyFont="1" applyBorder="1" applyAlignment="1">
      <alignment wrapText="1"/>
    </xf>
    <xf numFmtId="0" fontId="13" fillId="0" borderId="3" xfId="5" applyFont="1" applyBorder="1" applyAlignment="1">
      <alignment wrapText="1"/>
    </xf>
    <xf numFmtId="0" fontId="2" fillId="0" borderId="1" xfId="0" applyFont="1" applyBorder="1" applyAlignment="1">
      <alignment wrapText="1"/>
    </xf>
    <xf numFmtId="0" fontId="2" fillId="0" borderId="2" xfId="0" applyFont="1" applyBorder="1" applyAlignment="1">
      <alignment wrapText="1"/>
    </xf>
    <xf numFmtId="43" fontId="2" fillId="0" borderId="2" xfId="1" applyFont="1" applyBorder="1" applyAlignment="1">
      <alignment wrapText="1"/>
    </xf>
    <xf numFmtId="14" fontId="2" fillId="0" borderId="2" xfId="0" applyNumberFormat="1" applyFont="1" applyBorder="1" applyAlignment="1">
      <alignment wrapText="1"/>
    </xf>
    <xf numFmtId="0" fontId="2" fillId="0" borderId="3" xfId="0" applyFont="1" applyBorder="1" applyAlignment="1">
      <alignment wrapText="1"/>
    </xf>
    <xf numFmtId="43" fontId="2" fillId="0" borderId="20" xfId="1" applyFont="1" applyBorder="1" applyAlignment="1">
      <alignment horizontal="center"/>
    </xf>
    <xf numFmtId="43" fontId="9" fillId="0" borderId="0" xfId="0" applyNumberFormat="1" applyFont="1"/>
    <xf numFmtId="0" fontId="0" fillId="0" borderId="0" xfId="0" applyFill="1" applyAlignment="1">
      <alignment wrapText="1"/>
    </xf>
    <xf numFmtId="17" fontId="0" fillId="0" borderId="0" xfId="0" applyNumberFormat="1" applyAlignment="1">
      <alignment wrapText="1"/>
    </xf>
    <xf numFmtId="43" fontId="2" fillId="0" borderId="20" xfId="1" applyFont="1" applyBorder="1"/>
    <xf numFmtId="14" fontId="14" fillId="0" borderId="0" xfId="0" applyNumberFormat="1" applyFont="1" applyAlignment="1"/>
    <xf numFmtId="14" fontId="2" fillId="0" borderId="2" xfId="0" applyNumberFormat="1" applyFont="1" applyBorder="1"/>
    <xf numFmtId="0" fontId="2" fillId="0" borderId="3" xfId="0" applyFont="1" applyBorder="1"/>
    <xf numFmtId="14" fontId="15" fillId="0" borderId="0" xfId="0" applyNumberFormat="1" applyFont="1"/>
    <xf numFmtId="0" fontId="4" fillId="10" borderId="7" xfId="0" applyFont="1" applyFill="1" applyBorder="1" applyAlignment="1">
      <alignment horizontal="center" vertical="top" wrapText="1"/>
    </xf>
    <xf numFmtId="0" fontId="4" fillId="10" borderId="2" xfId="0" applyFont="1" applyFill="1" applyBorder="1" applyAlignment="1">
      <alignment horizontal="center" vertical="center" wrapText="1"/>
    </xf>
    <xf numFmtId="43" fontId="12" fillId="0" borderId="20" xfId="1" applyFont="1" applyBorder="1"/>
    <xf numFmtId="43" fontId="12" fillId="10" borderId="0" xfId="0" applyNumberFormat="1" applyFont="1" applyFill="1"/>
    <xf numFmtId="0" fontId="16" fillId="0" borderId="0" xfId="5" applyFont="1"/>
    <xf numFmtId="14" fontId="16" fillId="0" borderId="0" xfId="5" applyNumberFormat="1" applyFont="1"/>
    <xf numFmtId="0" fontId="16" fillId="0" borderId="0" xfId="5" applyFont="1" applyAlignment="1">
      <alignment wrapText="1"/>
    </xf>
    <xf numFmtId="0" fontId="17" fillId="2" borderId="0" xfId="0" applyFont="1" applyFill="1"/>
    <xf numFmtId="43" fontId="17" fillId="0" borderId="0" xfId="1" applyFont="1"/>
    <xf numFmtId="0" fontId="17" fillId="0" borderId="0" xfId="0" applyFont="1"/>
    <xf numFmtId="0" fontId="13" fillId="0" borderId="1" xfId="5" applyFont="1" applyBorder="1" applyAlignment="1">
      <alignment wrapText="1"/>
    </xf>
    <xf numFmtId="14" fontId="13" fillId="0" borderId="2" xfId="5" applyNumberFormat="1" applyFont="1" applyBorder="1" applyAlignment="1">
      <alignment wrapText="1"/>
    </xf>
    <xf numFmtId="165" fontId="13" fillId="0" borderId="2" xfId="5" applyNumberFormat="1" applyFont="1" applyBorder="1" applyAlignment="1">
      <alignment wrapText="1"/>
    </xf>
    <xf numFmtId="0" fontId="2" fillId="0" borderId="0" xfId="0" applyFont="1" applyAlignment="1">
      <alignment horizontal="right"/>
    </xf>
    <xf numFmtId="0" fontId="21" fillId="0" borderId="0" xfId="0" applyFont="1" applyFill="1" applyAlignment="1">
      <alignment vertical="top" wrapText="1"/>
    </xf>
    <xf numFmtId="0" fontId="2" fillId="3" borderId="1" xfId="0" applyFont="1" applyFill="1" applyBorder="1" applyAlignment="1">
      <alignment horizontal="center"/>
    </xf>
    <xf numFmtId="0" fontId="2" fillId="3" borderId="3" xfId="0" applyFont="1" applyFill="1" applyBorder="1" applyAlignment="1">
      <alignment horizontal="center"/>
    </xf>
    <xf numFmtId="0" fontId="4" fillId="4" borderId="1" xfId="0" applyFont="1" applyFill="1" applyBorder="1" applyAlignment="1">
      <alignment horizontal="center" vertical="top" wrapText="1"/>
    </xf>
    <xf numFmtId="0" fontId="4" fillId="4" borderId="2" xfId="0" applyFont="1" applyFill="1" applyBorder="1" applyAlignment="1">
      <alignment horizontal="center" vertical="top" wrapText="1"/>
    </xf>
    <xf numFmtId="0" fontId="4" fillId="4" borderId="3" xfId="0" applyFont="1" applyFill="1" applyBorder="1" applyAlignment="1">
      <alignment horizontal="center" vertical="top" wrapText="1"/>
    </xf>
    <xf numFmtId="0" fontId="20" fillId="0" borderId="0" xfId="0" applyFont="1" applyAlignment="1">
      <alignment vertical="center" wrapText="1"/>
    </xf>
    <xf numFmtId="0" fontId="4" fillId="7" borderId="4" xfId="0" applyFont="1" applyFill="1" applyBorder="1" applyAlignment="1">
      <alignment horizontal="center" vertical="center"/>
    </xf>
    <xf numFmtId="0" fontId="4" fillId="7" borderId="0" xfId="0" applyFont="1" applyFill="1" applyBorder="1" applyAlignment="1">
      <alignment horizontal="center" vertical="center"/>
    </xf>
    <xf numFmtId="14" fontId="0" fillId="0" borderId="0" xfId="0" applyNumberFormat="1" applyAlignment="1">
      <alignment horizontal="left" wrapText="1"/>
    </xf>
    <xf numFmtId="0" fontId="0" fillId="0" borderId="0" xfId="0" applyAlignment="1">
      <alignment horizontal="left" vertical="top" wrapText="1"/>
    </xf>
  </cellXfs>
  <cellStyles count="6">
    <cellStyle name="Comma" xfId="1" builtinId="3"/>
    <cellStyle name="Comma 2" xfId="2" xr:uid="{3499EB58-B5B7-4FB5-BBA1-B674F2FDFDC1}"/>
    <cellStyle name="Normal" xfId="0" builtinId="0"/>
    <cellStyle name="Normal 2" xfId="5" xr:uid="{1D35DC15-4566-48A3-A0DC-3488EE6FF7C7}"/>
    <cellStyle name="Normal 4" xfId="3" xr:uid="{73A9D0A0-7ADC-4039-83FC-24F4957AD1E4}"/>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2A79B-8CC6-4589-89E8-32B2431EA8E5}">
  <sheetPr>
    <tabColor rgb="FFFFFF00"/>
  </sheetPr>
  <dimension ref="A1:U40"/>
  <sheetViews>
    <sheetView tabSelected="1" workbookViewId="0">
      <selection activeCell="C27" sqref="C27"/>
    </sheetView>
  </sheetViews>
  <sheetFormatPr defaultRowHeight="14.5" x14ac:dyDescent="0.35"/>
  <cols>
    <col min="1" max="1" width="16.54296875" customWidth="1"/>
    <col min="2" max="2" width="32.26953125" bestFit="1" customWidth="1"/>
    <col min="3" max="3" width="10.54296875" bestFit="1" customWidth="1"/>
    <col min="4" max="4" width="37.81640625" style="48" customWidth="1"/>
    <col min="6" max="6" width="10.54296875" bestFit="1" customWidth="1"/>
    <col min="7" max="8" width="10.54296875" customWidth="1"/>
    <col min="11" max="11" width="5.1796875" customWidth="1"/>
    <col min="12" max="12" width="6" customWidth="1"/>
    <col min="13" max="13" width="5.1796875" customWidth="1"/>
    <col min="14" max="14" width="5.26953125" customWidth="1"/>
    <col min="15" max="15" width="4.1796875" customWidth="1"/>
    <col min="16" max="16" width="22.7265625" bestFit="1" customWidth="1"/>
    <col min="17" max="17" width="9.26953125" customWidth="1"/>
    <col min="18" max="18" width="12.81640625" customWidth="1"/>
    <col min="19" max="19" width="3.453125" style="5" customWidth="1"/>
  </cols>
  <sheetData>
    <row r="1" spans="1:18" x14ac:dyDescent="0.35">
      <c r="A1" s="4" t="s">
        <v>34</v>
      </c>
    </row>
    <row r="2" spans="1:18" ht="15" thickBot="1" x14ac:dyDescent="0.4">
      <c r="A2" s="4" t="s">
        <v>312</v>
      </c>
    </row>
    <row r="3" spans="1:18" ht="15" customHeight="1" thickBot="1" x14ac:dyDescent="0.4">
      <c r="A3" s="4" t="s">
        <v>2496</v>
      </c>
      <c r="E3" s="209" t="s">
        <v>2453</v>
      </c>
      <c r="F3" s="210"/>
      <c r="G3" s="210"/>
      <c r="H3" s="210"/>
      <c r="I3" s="211"/>
      <c r="P3" s="205" t="s">
        <v>2505</v>
      </c>
    </row>
    <row r="4" spans="1:18" ht="15" thickBot="1" x14ac:dyDescent="0.4">
      <c r="F4" s="66">
        <f>F29</f>
        <v>48484.750000000015</v>
      </c>
      <c r="G4" s="67"/>
      <c r="H4" s="67"/>
      <c r="I4" s="195">
        <f t="shared" ref="I4" si="0">I29</f>
        <v>499.09</v>
      </c>
      <c r="P4" s="150">
        <f>P29</f>
        <v>3139.9799999999996</v>
      </c>
      <c r="Q4" s="150">
        <f>Q29</f>
        <v>5559.3</v>
      </c>
    </row>
    <row r="5" spans="1:18" ht="15" thickBot="1" x14ac:dyDescent="0.4">
      <c r="I5" t="s">
        <v>2507</v>
      </c>
      <c r="P5" s="207" t="s">
        <v>35</v>
      </c>
      <c r="Q5" s="208"/>
    </row>
    <row r="6" spans="1:18" ht="87.5" thickBot="1" x14ac:dyDescent="0.4">
      <c r="A6" s="17" t="s">
        <v>52</v>
      </c>
      <c r="B6" s="17" t="s">
        <v>53</v>
      </c>
      <c r="C6" t="s">
        <v>36</v>
      </c>
      <c r="D6" s="6" t="s">
        <v>37</v>
      </c>
      <c r="E6" s="7" t="s">
        <v>38</v>
      </c>
      <c r="F6" s="8" t="s">
        <v>39</v>
      </c>
      <c r="G6" s="76" t="s">
        <v>311</v>
      </c>
      <c r="H6" s="75" t="s">
        <v>27</v>
      </c>
      <c r="I6" s="9" t="s">
        <v>40</v>
      </c>
      <c r="J6" s="193" t="s">
        <v>2506</v>
      </c>
      <c r="K6" s="11" t="s">
        <v>42</v>
      </c>
      <c r="L6" s="12" t="s">
        <v>43</v>
      </c>
      <c r="M6" s="13" t="s">
        <v>44</v>
      </c>
      <c r="N6" s="13" t="s">
        <v>45</v>
      </c>
      <c r="O6" s="13" t="s">
        <v>46</v>
      </c>
      <c r="P6" s="14" t="s">
        <v>47</v>
      </c>
      <c r="Q6" s="14" t="s">
        <v>48</v>
      </c>
      <c r="R6" s="15" t="s">
        <v>49</v>
      </c>
    </row>
    <row r="7" spans="1:18" x14ac:dyDescent="0.35">
      <c r="C7" s="17"/>
      <c r="G7" s="71"/>
      <c r="H7" s="68"/>
    </row>
    <row r="8" spans="1:18" x14ac:dyDescent="0.35">
      <c r="A8" s="139">
        <v>5140001000</v>
      </c>
      <c r="B8" s="64" t="s">
        <v>3</v>
      </c>
      <c r="C8" s="18">
        <v>39393.880000000005</v>
      </c>
      <c r="D8" s="119" t="s">
        <v>744</v>
      </c>
      <c r="E8" s="64"/>
      <c r="F8" s="120"/>
      <c r="G8" s="121"/>
      <c r="H8" s="122"/>
      <c r="I8" s="120"/>
      <c r="J8" s="120"/>
      <c r="K8" s="120"/>
      <c r="L8" s="120"/>
      <c r="M8" s="120"/>
      <c r="N8" s="120"/>
      <c r="O8" s="120"/>
      <c r="P8" s="120"/>
      <c r="Q8" s="120"/>
      <c r="R8" s="120"/>
    </row>
    <row r="9" spans="1:18" x14ac:dyDescent="0.35">
      <c r="A9" s="140">
        <v>5140001010</v>
      </c>
      <c r="B9" t="s">
        <v>5</v>
      </c>
      <c r="C9" s="18">
        <v>121158.59</v>
      </c>
      <c r="D9" s="48" t="s">
        <v>102</v>
      </c>
      <c r="E9" t="s">
        <v>54</v>
      </c>
      <c r="F9" s="3">
        <f>'Ext Training'!V53</f>
        <v>0</v>
      </c>
      <c r="G9" s="72">
        <f>'Ext Training'!V4</f>
        <v>0</v>
      </c>
      <c r="H9" s="69">
        <f>'Ext Training'!V5</f>
        <v>0</v>
      </c>
      <c r="I9" s="3"/>
      <c r="J9" s="3"/>
      <c r="K9" s="3"/>
      <c r="L9" s="3"/>
      <c r="M9" s="3"/>
      <c r="N9" s="3"/>
      <c r="O9" s="3"/>
      <c r="P9" s="3"/>
      <c r="Q9" s="3"/>
      <c r="R9" s="172" t="s">
        <v>2498</v>
      </c>
    </row>
    <row r="10" spans="1:18" x14ac:dyDescent="0.35">
      <c r="A10" s="140">
        <v>5140001030</v>
      </c>
      <c r="B10" t="s">
        <v>29</v>
      </c>
      <c r="C10" s="18">
        <v>60353.16</v>
      </c>
      <c r="D10" s="48" t="s">
        <v>102</v>
      </c>
      <c r="E10" t="s">
        <v>55</v>
      </c>
      <c r="F10" s="3">
        <f>'Training Trav&amp;lodg'!V4+'Training Trav&amp;lodg'!V5</f>
        <v>0</v>
      </c>
      <c r="G10" s="72">
        <f>'Training Trav&amp;lodg'!V4</f>
        <v>0</v>
      </c>
      <c r="H10" s="69">
        <f>'Training Trav&amp;lodg'!V5</f>
        <v>0</v>
      </c>
      <c r="I10" s="3"/>
      <c r="J10" s="3"/>
      <c r="K10" s="3"/>
      <c r="L10" s="3"/>
      <c r="M10" s="3"/>
      <c r="N10" s="3"/>
      <c r="O10" s="3"/>
      <c r="P10" s="3"/>
      <c r="Q10" s="3"/>
      <c r="R10" s="172" t="s">
        <v>2498</v>
      </c>
    </row>
    <row r="11" spans="1:18" x14ac:dyDescent="0.35">
      <c r="A11" s="141">
        <v>5160001000</v>
      </c>
      <c r="B11" t="s">
        <v>6</v>
      </c>
      <c r="C11" s="18">
        <v>211952.46999999991</v>
      </c>
      <c r="D11" s="48" t="s">
        <v>102</v>
      </c>
      <c r="E11" t="s">
        <v>55</v>
      </c>
      <c r="F11" s="3">
        <f>'Publicity&amp;Advert''g'!U4+'Publicity&amp;Advert''g'!U5</f>
        <v>0</v>
      </c>
      <c r="G11" s="72">
        <f>'Publicity&amp;Advert''g'!U4</f>
        <v>0</v>
      </c>
      <c r="H11" s="69">
        <f>'Publicity&amp;Advert''g'!U5</f>
        <v>0</v>
      </c>
      <c r="I11" s="3"/>
      <c r="J11" s="3"/>
      <c r="K11" s="3"/>
      <c r="L11" s="3"/>
      <c r="M11" s="3"/>
      <c r="N11" s="3"/>
      <c r="O11" s="3"/>
      <c r="P11" s="3"/>
      <c r="Q11" s="3"/>
      <c r="R11" s="172" t="s">
        <v>2498</v>
      </c>
    </row>
    <row r="12" spans="1:18" x14ac:dyDescent="0.35">
      <c r="A12" s="140">
        <v>5160006000</v>
      </c>
      <c r="B12" t="s">
        <v>32</v>
      </c>
      <c r="C12" s="18">
        <v>0</v>
      </c>
      <c r="D12" s="48" t="s">
        <v>2497</v>
      </c>
      <c r="E12" t="s">
        <v>55</v>
      </c>
      <c r="F12" s="3">
        <f>'Open-Jubilees'!S4+'Open-Jubilees'!S5</f>
        <v>0</v>
      </c>
      <c r="G12" s="72">
        <f>'Open-Jubilees'!S4</f>
        <v>0</v>
      </c>
      <c r="H12" s="69">
        <f>'Open-Jubilees'!S5</f>
        <v>0</v>
      </c>
      <c r="R12" s="172" t="s">
        <v>2498</v>
      </c>
    </row>
    <row r="13" spans="1:18" x14ac:dyDescent="0.35">
      <c r="A13" s="140">
        <v>5160007000</v>
      </c>
      <c r="B13" t="s">
        <v>8</v>
      </c>
      <c r="C13" s="18">
        <v>18398.38</v>
      </c>
      <c r="D13" s="48" t="s">
        <v>2454</v>
      </c>
      <c r="E13" t="s">
        <v>54</v>
      </c>
      <c r="F13" s="3">
        <f>Sponsoring!V3+Sponsoring!V4</f>
        <v>127.27</v>
      </c>
      <c r="G13" s="72">
        <f>Sponsoring!V3</f>
        <v>0</v>
      </c>
      <c r="H13" s="69">
        <f>Sponsoring!V4</f>
        <v>127.27</v>
      </c>
      <c r="Q13" s="184">
        <f>Sponsoring!AE4+Sponsoring!AE3</f>
        <v>0</v>
      </c>
      <c r="R13" s="172" t="s">
        <v>2498</v>
      </c>
    </row>
    <row r="14" spans="1:18" ht="29" x14ac:dyDescent="0.35">
      <c r="A14" s="140">
        <v>5160008000</v>
      </c>
      <c r="B14" t="s">
        <v>10</v>
      </c>
      <c r="C14" s="18">
        <v>7059.24</v>
      </c>
      <c r="D14" s="48" t="s">
        <v>2499</v>
      </c>
      <c r="E14" t="s">
        <v>55</v>
      </c>
      <c r="F14" s="3">
        <f>'Promo gifts'!U4+'Promo gifts'!U5</f>
        <v>0</v>
      </c>
      <c r="G14" s="72">
        <f>'Promo gifts'!U4</f>
        <v>0</v>
      </c>
      <c r="H14" s="69">
        <f>'Promo gifts'!U5</f>
        <v>0</v>
      </c>
      <c r="I14" s="3"/>
      <c r="J14" s="3"/>
      <c r="K14" s="3"/>
      <c r="L14" s="3"/>
      <c r="M14" s="3"/>
      <c r="N14" s="3"/>
      <c r="O14" s="3"/>
      <c r="P14" s="3"/>
      <c r="Q14" s="3"/>
      <c r="R14" s="172" t="s">
        <v>2498</v>
      </c>
    </row>
    <row r="15" spans="1:18" ht="29" x14ac:dyDescent="0.35">
      <c r="A15" s="141">
        <v>5160010000</v>
      </c>
      <c r="B15" t="s">
        <v>12</v>
      </c>
      <c r="C15" s="18">
        <v>-4733.2099999999991</v>
      </c>
      <c r="D15" s="48" t="s">
        <v>56</v>
      </c>
      <c r="E15" t="s">
        <v>54</v>
      </c>
      <c r="F15" s="3">
        <f>Marketing!V2+Marketing!V3</f>
        <v>1340.71</v>
      </c>
      <c r="G15" s="72">
        <f>Marketing!V2</f>
        <v>0</v>
      </c>
      <c r="H15" s="69">
        <f>Marketing!V3</f>
        <v>1340.71</v>
      </c>
      <c r="I15" s="3"/>
      <c r="J15" s="3"/>
      <c r="K15" s="3"/>
      <c r="L15" s="3"/>
      <c r="M15" s="3"/>
      <c r="N15" s="3"/>
      <c r="O15" s="3"/>
      <c r="P15" s="3"/>
      <c r="Q15" s="3"/>
      <c r="R15" s="172" t="s">
        <v>743</v>
      </c>
    </row>
    <row r="16" spans="1:18" x14ac:dyDescent="0.35">
      <c r="A16" s="142">
        <v>5160011000</v>
      </c>
      <c r="B16" s="35" t="s">
        <v>13</v>
      </c>
      <c r="C16" s="18">
        <v>260399.01</v>
      </c>
      <c r="D16" s="48" t="s">
        <v>2455</v>
      </c>
      <c r="E16" t="s">
        <v>54</v>
      </c>
      <c r="F16" s="3">
        <f>'Bus Dev'!V3+'Bus Dev'!V4</f>
        <v>33301.990000000005</v>
      </c>
      <c r="G16" s="72">
        <f>'Bus Dev'!V3</f>
        <v>8846.07</v>
      </c>
      <c r="H16" s="69">
        <f>'Bus Dev'!V4</f>
        <v>24455.920000000006</v>
      </c>
      <c r="I16" s="3"/>
      <c r="J16" s="3"/>
      <c r="K16" s="3"/>
      <c r="L16" s="3"/>
      <c r="M16" s="3"/>
      <c r="N16" s="3"/>
      <c r="O16" s="3"/>
      <c r="P16" s="3"/>
      <c r="Q16" s="3"/>
      <c r="R16" s="172" t="s">
        <v>743</v>
      </c>
    </row>
    <row r="17" spans="1:21" x14ac:dyDescent="0.35">
      <c r="A17" s="142">
        <v>5160999000</v>
      </c>
      <c r="B17" s="35" t="s">
        <v>15</v>
      </c>
      <c r="C17" s="18">
        <v>11669.68</v>
      </c>
      <c r="D17" s="48" t="s">
        <v>102</v>
      </c>
      <c r="E17" t="s">
        <v>55</v>
      </c>
      <c r="F17" s="3">
        <f>'PR exp'!V4+'PR exp'!V5</f>
        <v>0</v>
      </c>
      <c r="G17" s="72">
        <f>'PR exp'!V4</f>
        <v>0</v>
      </c>
      <c r="H17" s="69">
        <f>'PR exp'!V5</f>
        <v>0</v>
      </c>
      <c r="R17" s="172" t="s">
        <v>2498</v>
      </c>
    </row>
    <row r="18" spans="1:21" ht="29" x14ac:dyDescent="0.35">
      <c r="A18" s="143">
        <v>5180003000</v>
      </c>
      <c r="B18" s="128" t="s">
        <v>16</v>
      </c>
      <c r="C18" s="118">
        <v>39168.869999999995</v>
      </c>
      <c r="D18" s="119" t="s">
        <v>1662</v>
      </c>
      <c r="E18" s="64" t="s">
        <v>55</v>
      </c>
      <c r="F18" s="120"/>
      <c r="G18" s="121"/>
      <c r="H18" s="122"/>
      <c r="I18" s="64"/>
      <c r="J18" s="64"/>
      <c r="K18" s="64"/>
      <c r="L18" s="64"/>
      <c r="M18" s="64"/>
      <c r="N18" s="64"/>
      <c r="O18" s="64"/>
      <c r="P18" s="64"/>
      <c r="R18" s="172" t="s">
        <v>2498</v>
      </c>
    </row>
    <row r="19" spans="1:21" x14ac:dyDescent="0.35">
      <c r="A19" s="142">
        <v>5190001000</v>
      </c>
      <c r="B19" s="35" t="s">
        <v>57</v>
      </c>
      <c r="C19" s="18">
        <v>36644.04</v>
      </c>
      <c r="D19" s="48" t="s">
        <v>102</v>
      </c>
      <c r="E19" t="s">
        <v>55</v>
      </c>
      <c r="F19" s="3">
        <f>'Club memship'!U3+'Club memship'!U4</f>
        <v>0</v>
      </c>
      <c r="G19" s="72">
        <f>'Club memship'!V3</f>
        <v>0</v>
      </c>
      <c r="H19" s="69">
        <f>'Club memship'!V4</f>
        <v>0</v>
      </c>
      <c r="I19" s="3"/>
      <c r="J19" s="3"/>
      <c r="K19" s="3"/>
      <c r="L19" s="3"/>
      <c r="M19" s="3"/>
      <c r="N19" s="3"/>
      <c r="O19" s="3"/>
      <c r="P19" s="3"/>
      <c r="Q19" s="3"/>
      <c r="R19" s="172" t="s">
        <v>2498</v>
      </c>
    </row>
    <row r="20" spans="1:21" ht="29" x14ac:dyDescent="0.35">
      <c r="A20" s="142">
        <v>5200006000</v>
      </c>
      <c r="B20" s="35" t="s">
        <v>20</v>
      </c>
      <c r="C20" s="18">
        <v>112631.6</v>
      </c>
      <c r="D20" s="48" t="s">
        <v>56</v>
      </c>
      <c r="E20" t="s">
        <v>54</v>
      </c>
      <c r="F20" s="3">
        <f>'Meeting costs'!V3+'Meeting costs'!V4</f>
        <v>12438.54</v>
      </c>
      <c r="G20" s="72">
        <f>'Meeting costs'!V3</f>
        <v>4862</v>
      </c>
      <c r="H20" s="69">
        <f>'Meeting costs'!V4</f>
        <v>7576.54</v>
      </c>
      <c r="I20" s="3"/>
      <c r="J20" s="3"/>
      <c r="K20" s="3"/>
      <c r="L20" s="3"/>
      <c r="M20" s="3"/>
      <c r="N20" s="3"/>
      <c r="O20" s="3"/>
      <c r="P20" s="3"/>
      <c r="Q20" s="3"/>
      <c r="R20" s="28">
        <f>SUM(R18:R19)</f>
        <v>0</v>
      </c>
    </row>
    <row r="21" spans="1:21" x14ac:dyDescent="0.35">
      <c r="A21" s="142">
        <v>5200999000</v>
      </c>
      <c r="B21" s="35" t="s">
        <v>22</v>
      </c>
      <c r="C21" s="18">
        <v>-7588.4399999999951</v>
      </c>
      <c r="D21" s="48" t="s">
        <v>2456</v>
      </c>
      <c r="E21" t="s">
        <v>55</v>
      </c>
      <c r="F21" s="3">
        <f>'Misc exp'!U4+'Misc exp'!U5</f>
        <v>0</v>
      </c>
      <c r="G21" s="72">
        <f>'Misc exp'!U4</f>
        <v>0</v>
      </c>
      <c r="H21" s="69">
        <f>'Misc exp'!U5</f>
        <v>0</v>
      </c>
      <c r="R21" s="172" t="s">
        <v>2498</v>
      </c>
    </row>
    <row r="22" spans="1:21" x14ac:dyDescent="0.35">
      <c r="A22" s="140">
        <v>5200999010</v>
      </c>
      <c r="B22" t="s">
        <v>23</v>
      </c>
      <c r="C22" s="18">
        <v>0</v>
      </c>
      <c r="D22" s="48" t="s">
        <v>2497</v>
      </c>
      <c r="E22" t="s">
        <v>54</v>
      </c>
      <c r="F22" s="3">
        <f>Sundry!V4+Sundry!V5</f>
        <v>0</v>
      </c>
      <c r="G22" s="72">
        <f>Sundry!V4</f>
        <v>0</v>
      </c>
      <c r="H22" s="69">
        <f>Sundry!V5</f>
        <v>0</v>
      </c>
      <c r="I22" s="3"/>
      <c r="J22" s="3"/>
      <c r="K22" s="3"/>
      <c r="L22" s="3"/>
      <c r="M22" s="3"/>
      <c r="N22" s="3"/>
      <c r="O22" s="3"/>
      <c r="P22" s="3"/>
      <c r="Q22" s="3"/>
      <c r="R22" s="172" t="s">
        <v>2498</v>
      </c>
    </row>
    <row r="23" spans="1:21" ht="29" x14ac:dyDescent="0.35">
      <c r="A23" s="140">
        <v>5200999020</v>
      </c>
      <c r="B23" t="s">
        <v>2500</v>
      </c>
      <c r="C23" s="18">
        <v>216944.08999999997</v>
      </c>
      <c r="D23" s="48" t="s">
        <v>307</v>
      </c>
      <c r="E23" t="s">
        <v>54</v>
      </c>
      <c r="F23" s="3">
        <f>'Misc exp (2)'!V2+'Misc exp (2)'!V3</f>
        <v>141.80000000000001</v>
      </c>
      <c r="G23" s="72">
        <f>'Misc exp (2)'!V2</f>
        <v>0</v>
      </c>
      <c r="H23" s="69">
        <f>'Misc exp (2)'!V3</f>
        <v>141.80000000000001</v>
      </c>
      <c r="I23" s="172">
        <f>'Misc exp (2)'!W4</f>
        <v>499.09</v>
      </c>
      <c r="K23" s="3"/>
      <c r="L23" s="3"/>
      <c r="M23" s="3"/>
      <c r="N23" s="3"/>
      <c r="O23" s="3"/>
      <c r="P23" s="3">
        <f>'Misc exp (2)'!AD2+'Misc exp (2)'!AD3</f>
        <v>0</v>
      </c>
      <c r="Q23" s="3">
        <f>'Misc exp (2)'!AE2+'Misc exp (2)'!AE3</f>
        <v>5559.3</v>
      </c>
      <c r="R23" s="172" t="s">
        <v>2498</v>
      </c>
    </row>
    <row r="24" spans="1:21" x14ac:dyDescent="0.35">
      <c r="A24" s="140">
        <v>5900050000</v>
      </c>
      <c r="B24" t="s">
        <v>26</v>
      </c>
      <c r="C24" s="18">
        <v>10292.089999999998</v>
      </c>
      <c r="D24" s="48" t="s">
        <v>102</v>
      </c>
      <c r="E24" t="s">
        <v>55</v>
      </c>
      <c r="F24" s="3">
        <f>'Other non-bank exp'!U4+'Other non-bank exp'!U5</f>
        <v>0</v>
      </c>
      <c r="G24" s="72">
        <f>'Other non-bank exp'!U4</f>
        <v>0</v>
      </c>
      <c r="H24" s="69">
        <f>'Other non-bank exp'!U5</f>
        <v>0</v>
      </c>
      <c r="I24" s="3"/>
      <c r="J24" s="3"/>
      <c r="K24" s="3"/>
      <c r="L24" s="3"/>
      <c r="M24" s="3"/>
      <c r="N24" s="3"/>
      <c r="O24" s="3"/>
      <c r="P24" s="3"/>
      <c r="Q24" s="3"/>
      <c r="R24" s="172" t="s">
        <v>743</v>
      </c>
      <c r="U24" s="19"/>
    </row>
    <row r="25" spans="1:21" ht="29" x14ac:dyDescent="0.35">
      <c r="A25" s="140">
        <v>5100999000</v>
      </c>
      <c r="B25" t="s">
        <v>2</v>
      </c>
      <c r="C25" s="18">
        <v>91319.73</v>
      </c>
      <c r="D25" s="48" t="s">
        <v>2457</v>
      </c>
      <c r="E25" t="s">
        <v>54</v>
      </c>
      <c r="F25" s="3">
        <f>'Other exp'!V3+'Other exp'!V4</f>
        <v>1134.4399999999998</v>
      </c>
      <c r="G25" s="72">
        <f>'Other exp'!V3</f>
        <v>1063.33</v>
      </c>
      <c r="H25" s="69">
        <f>'Other exp'!V4</f>
        <v>71.11</v>
      </c>
      <c r="I25" s="3"/>
      <c r="J25" s="3"/>
      <c r="K25" s="3"/>
      <c r="L25" s="3"/>
      <c r="M25" s="3"/>
      <c r="N25" s="3"/>
      <c r="O25" s="3"/>
      <c r="P25" s="3">
        <f>'Other exp'!AD3+'Other exp'!AD4</f>
        <v>3139.9799999999996</v>
      </c>
      <c r="Q25" s="3">
        <f>'Other exp'!AE3+'Other exp'!AE4</f>
        <v>0</v>
      </c>
      <c r="R25" s="172" t="s">
        <v>743</v>
      </c>
      <c r="U25" s="19"/>
    </row>
    <row r="26" spans="1:21" x14ac:dyDescent="0.35">
      <c r="A26" s="144">
        <v>5190002000</v>
      </c>
      <c r="B26" t="s">
        <v>33</v>
      </c>
      <c r="C26" s="18">
        <v>9848.869999999999</v>
      </c>
      <c r="D26" s="48" t="s">
        <v>2479</v>
      </c>
      <c r="E26" t="s">
        <v>55</v>
      </c>
      <c r="F26" s="3">
        <f>Donations!V3+Donations!V4</f>
        <v>0</v>
      </c>
      <c r="G26" s="72"/>
      <c r="H26" s="69"/>
      <c r="I26" s="3"/>
      <c r="J26" s="3"/>
      <c r="K26" s="3"/>
      <c r="L26" s="3"/>
      <c r="M26" s="3"/>
      <c r="N26" s="3"/>
      <c r="O26" s="3"/>
      <c r="P26" s="3"/>
      <c r="Q26" s="3"/>
      <c r="R26" s="172" t="s">
        <v>2498</v>
      </c>
      <c r="U26" s="19"/>
    </row>
    <row r="27" spans="1:21" x14ac:dyDescent="0.35">
      <c r="A27" s="144">
        <v>5160002000</v>
      </c>
      <c r="B27" t="s">
        <v>31</v>
      </c>
      <c r="C27" s="18">
        <v>209.96</v>
      </c>
      <c r="D27" s="48" t="s">
        <v>2479</v>
      </c>
      <c r="E27" t="s">
        <v>55</v>
      </c>
      <c r="F27" s="3">
        <f>'Client period'!V3+'Client period'!V4</f>
        <v>0</v>
      </c>
      <c r="G27" s="72"/>
      <c r="H27" s="69"/>
      <c r="I27" s="3"/>
      <c r="J27" s="3"/>
      <c r="K27" s="3"/>
      <c r="L27" s="3"/>
      <c r="M27" s="3"/>
      <c r="N27" s="3"/>
      <c r="O27" s="3"/>
      <c r="P27" s="3"/>
      <c r="Q27" s="3"/>
      <c r="R27" s="172" t="s">
        <v>2498</v>
      </c>
      <c r="U27" s="19"/>
    </row>
    <row r="28" spans="1:21" x14ac:dyDescent="0.35">
      <c r="C28" s="18"/>
      <c r="F28" s="3"/>
      <c r="G28" s="73"/>
      <c r="H28" s="70"/>
      <c r="I28" s="3"/>
      <c r="J28" s="3"/>
      <c r="K28" s="3"/>
      <c r="L28" s="3"/>
      <c r="M28" s="3"/>
      <c r="N28" s="3"/>
      <c r="O28" s="3"/>
      <c r="P28" s="3"/>
      <c r="Q28" s="3"/>
      <c r="R28" s="3"/>
    </row>
    <row r="29" spans="1:21" x14ac:dyDescent="0.35">
      <c r="C29" s="18"/>
      <c r="D29" s="53" t="s">
        <v>58</v>
      </c>
      <c r="E29" s="20"/>
      <c r="F29" s="21">
        <f>SUM(F7:F28)</f>
        <v>48484.750000000015</v>
      </c>
      <c r="G29" s="74">
        <f>SUM(G8:G25)</f>
        <v>14771.4</v>
      </c>
      <c r="H29" s="74">
        <f>SUM(H8:H25)</f>
        <v>33713.350000000006</v>
      </c>
      <c r="I29" s="21">
        <f t="shared" ref="I29:R29" si="1">SUM(I7:I28)</f>
        <v>499.09</v>
      </c>
      <c r="J29" s="21">
        <f t="shared" si="1"/>
        <v>0</v>
      </c>
      <c r="K29" s="21">
        <f t="shared" si="1"/>
        <v>0</v>
      </c>
      <c r="L29" s="21">
        <f t="shared" si="1"/>
        <v>0</v>
      </c>
      <c r="M29" s="21">
        <f t="shared" si="1"/>
        <v>0</v>
      </c>
      <c r="N29" s="21">
        <f t="shared" si="1"/>
        <v>0</v>
      </c>
      <c r="O29" s="21">
        <f t="shared" si="1"/>
        <v>0</v>
      </c>
      <c r="P29" s="21">
        <f t="shared" si="1"/>
        <v>3139.9799999999996</v>
      </c>
      <c r="Q29" s="21">
        <f t="shared" si="1"/>
        <v>5559.3</v>
      </c>
      <c r="R29" s="21">
        <f t="shared" si="1"/>
        <v>0</v>
      </c>
    </row>
    <row r="30" spans="1:21" ht="15" thickBot="1" x14ac:dyDescent="0.4"/>
    <row r="31" spans="1:21" ht="15" thickBot="1" x14ac:dyDescent="0.4">
      <c r="M31" s="213" t="s">
        <v>50</v>
      </c>
      <c r="N31" s="214"/>
      <c r="O31" s="214"/>
      <c r="R31" s="16" t="s">
        <v>51</v>
      </c>
    </row>
    <row r="32" spans="1:21" ht="72" customHeight="1" x14ac:dyDescent="0.35">
      <c r="M32" s="212" t="s">
        <v>2508</v>
      </c>
      <c r="N32" s="212"/>
      <c r="O32" s="212"/>
      <c r="P32" s="212"/>
      <c r="Q32" s="212"/>
      <c r="R32" s="206" t="s">
        <v>2509</v>
      </c>
    </row>
    <row r="33" spans="13:17" x14ac:dyDescent="0.35">
      <c r="M33" s="46"/>
      <c r="N33" s="46"/>
      <c r="O33" s="46"/>
      <c r="P33" s="46"/>
      <c r="Q33" s="46"/>
    </row>
    <row r="34" spans="13:17" x14ac:dyDescent="0.35">
      <c r="M34" s="46"/>
      <c r="N34" s="46"/>
      <c r="O34" s="46"/>
      <c r="P34" s="46"/>
      <c r="Q34" s="46"/>
    </row>
    <row r="35" spans="13:17" x14ac:dyDescent="0.35">
      <c r="M35" s="46"/>
      <c r="N35" s="46"/>
      <c r="O35" s="46"/>
      <c r="P35" s="46"/>
      <c r="Q35" s="46"/>
    </row>
    <row r="36" spans="13:17" x14ac:dyDescent="0.35">
      <c r="M36" s="46"/>
      <c r="N36" s="46"/>
      <c r="O36" s="46"/>
      <c r="P36" s="46"/>
      <c r="Q36" s="46"/>
    </row>
    <row r="37" spans="13:17" x14ac:dyDescent="0.35">
      <c r="M37" s="46"/>
      <c r="N37" s="46"/>
      <c r="O37" s="46"/>
      <c r="P37" s="46"/>
      <c r="Q37" s="46"/>
    </row>
    <row r="38" spans="13:17" x14ac:dyDescent="0.35">
      <c r="M38" s="46"/>
      <c r="N38" s="46"/>
      <c r="O38" s="46"/>
      <c r="P38" s="46"/>
      <c r="Q38" s="46"/>
    </row>
    <row r="39" spans="13:17" x14ac:dyDescent="0.35">
      <c r="M39" s="46"/>
      <c r="N39" s="46"/>
      <c r="O39" s="46"/>
      <c r="P39" s="46"/>
      <c r="Q39" s="46"/>
    </row>
    <row r="40" spans="13:17" x14ac:dyDescent="0.35">
      <c r="M40" s="46"/>
      <c r="N40" s="46"/>
      <c r="O40" s="46"/>
      <c r="P40" s="46"/>
      <c r="Q40" s="46"/>
    </row>
  </sheetData>
  <mergeCells count="4">
    <mergeCell ref="P5:Q5"/>
    <mergeCell ref="E3:I3"/>
    <mergeCell ref="M32:Q32"/>
    <mergeCell ref="M31:O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612A0-0207-4C0C-8CA7-D82E487A927A}">
  <sheetPr>
    <tabColor rgb="FF92D050"/>
  </sheetPr>
  <dimension ref="A1:AG60"/>
  <sheetViews>
    <sheetView workbookViewId="0">
      <pane ySplit="7" topLeftCell="A8" activePane="bottomLeft" state="frozen"/>
      <selection pane="bottomLeft" activeCell="C3" sqref="C3"/>
    </sheetView>
  </sheetViews>
  <sheetFormatPr defaultRowHeight="14.5" x14ac:dyDescent="0.35"/>
  <cols>
    <col min="1" max="2" width="6.54296875" customWidth="1"/>
    <col min="3" max="3" width="11.54296875" customWidth="1"/>
    <col min="4" max="4" width="4.1796875" style="3" customWidth="1"/>
    <col min="5" max="5" width="8.81640625" bestFit="1" customWidth="1"/>
    <col min="6" max="7" width="4.1796875" style="19" customWidth="1"/>
    <col min="8" max="8" width="10.453125" style="48" customWidth="1"/>
    <col min="9" max="9" width="19.81640625" style="48" customWidth="1"/>
    <col min="10" max="10" width="18.54296875" style="48" customWidth="1"/>
    <col min="11" max="11" width="30.81640625" bestFit="1" customWidth="1"/>
    <col min="12" max="12" width="13.54296875" customWidth="1"/>
    <col min="14" max="14" width="18.54296875" bestFit="1" customWidth="1"/>
    <col min="15" max="15" width="16.1796875" customWidth="1"/>
    <col min="16" max="16" width="3.453125" style="5" customWidth="1"/>
    <col min="17" max="17" width="10.1796875" style="3" bestFit="1" customWidth="1"/>
    <col min="18" max="18" width="3.7265625" style="48" customWidth="1"/>
    <col min="19" max="19" width="10.54296875" style="48" customWidth="1"/>
  </cols>
  <sheetData>
    <row r="1" spans="1:33" x14ac:dyDescent="0.35">
      <c r="A1" t="s">
        <v>59</v>
      </c>
      <c r="C1" s="24">
        <f>Summary!A9</f>
        <v>5140001010</v>
      </c>
    </row>
    <row r="2" spans="1:33" x14ac:dyDescent="0.35">
      <c r="A2" t="s">
        <v>60</v>
      </c>
      <c r="C2" s="24" t="str">
        <f>Summary!B9</f>
        <v>External Training and Seminars</v>
      </c>
      <c r="H2" s="24" t="s">
        <v>98</v>
      </c>
      <c r="S2" s="151" t="s">
        <v>102</v>
      </c>
    </row>
    <row r="3" spans="1:33" x14ac:dyDescent="0.35">
      <c r="A3" t="s">
        <v>61</v>
      </c>
      <c r="C3" s="22">
        <v>121158.59</v>
      </c>
      <c r="H3" t="s">
        <v>99</v>
      </c>
    </row>
    <row r="4" spans="1:33" x14ac:dyDescent="0.35">
      <c r="A4" t="s">
        <v>36</v>
      </c>
      <c r="C4" s="22">
        <f>SUM(E:E)</f>
        <v>121158.59000000001</v>
      </c>
      <c r="H4" t="s">
        <v>100</v>
      </c>
      <c r="T4" s="24" t="s">
        <v>0</v>
      </c>
      <c r="U4" s="24"/>
      <c r="V4" s="3">
        <f>SUMIF($A$10:$A$23731,"AU001",V9:V23730)</f>
        <v>0</v>
      </c>
      <c r="AC4" s="24" t="s">
        <v>0</v>
      </c>
      <c r="AD4" s="3">
        <f>SUMIF($A$10:$A$23731,"AU001",AD9:AD23730)</f>
        <v>0</v>
      </c>
      <c r="AE4" s="3">
        <f>SUMIF($A$10:$A$23731,"AU001",AE9:AE23730)</f>
        <v>0</v>
      </c>
    </row>
    <row r="5" spans="1:33" ht="15" thickBot="1" x14ac:dyDescent="0.4">
      <c r="A5" t="s">
        <v>62</v>
      </c>
      <c r="C5" s="3">
        <f>C3-C4</f>
        <v>0</v>
      </c>
      <c r="Q5" s="28"/>
      <c r="R5" s="50"/>
      <c r="T5" s="24" t="s">
        <v>27</v>
      </c>
      <c r="U5" s="24"/>
      <c r="V5" s="3">
        <f>SUMIF($A$10:$A$23732,"AU052",V9:V23731)</f>
        <v>0</v>
      </c>
      <c r="AC5" s="24" t="s">
        <v>27</v>
      </c>
      <c r="AD5" s="3">
        <f>SUMIF($A$10:$A$23732,"AU052",AD9:AD23731)</f>
        <v>0</v>
      </c>
      <c r="AE5" s="3">
        <f>SUMIF($A$10:$A$23732,"AU052",AE9:AE23731)</f>
        <v>0</v>
      </c>
    </row>
    <row r="6" spans="1:33" ht="15" thickBot="1" x14ac:dyDescent="0.4">
      <c r="AD6" s="207" t="s">
        <v>35</v>
      </c>
      <c r="AE6" s="208"/>
    </row>
    <row r="7" spans="1:33" s="46" customFormat="1" ht="60" customHeight="1" thickBot="1" x14ac:dyDescent="0.4">
      <c r="A7" s="84" t="s">
        <v>63</v>
      </c>
      <c r="B7" s="84" t="s">
        <v>313</v>
      </c>
      <c r="C7" s="84" t="s">
        <v>64</v>
      </c>
      <c r="D7" s="85" t="s">
        <v>65</v>
      </c>
      <c r="E7" s="84" t="s">
        <v>66</v>
      </c>
      <c r="F7" s="86" t="s">
        <v>67</v>
      </c>
      <c r="G7" s="86" t="s">
        <v>68</v>
      </c>
      <c r="H7" s="84" t="s">
        <v>69</v>
      </c>
      <c r="I7" s="84" t="s">
        <v>70</v>
      </c>
      <c r="J7" s="84" t="s">
        <v>71</v>
      </c>
      <c r="K7" s="84" t="s">
        <v>72</v>
      </c>
      <c r="L7" s="84" t="s">
        <v>73</v>
      </c>
      <c r="M7" s="84" t="s">
        <v>74</v>
      </c>
      <c r="N7" s="87" t="s">
        <v>75</v>
      </c>
      <c r="O7" s="87" t="s">
        <v>304</v>
      </c>
      <c r="P7" s="36"/>
      <c r="Q7" s="47" t="s">
        <v>95</v>
      </c>
      <c r="R7" s="37" t="s">
        <v>76</v>
      </c>
      <c r="S7" s="38" t="s">
        <v>37</v>
      </c>
      <c r="T7" s="38" t="s">
        <v>38</v>
      </c>
      <c r="U7" s="77" t="s">
        <v>417</v>
      </c>
      <c r="V7" s="38" t="s">
        <v>39</v>
      </c>
      <c r="W7" s="39" t="s">
        <v>40</v>
      </c>
      <c r="X7" s="40" t="s">
        <v>41</v>
      </c>
      <c r="Y7" s="41" t="s">
        <v>42</v>
      </c>
      <c r="Z7" s="42" t="s">
        <v>43</v>
      </c>
      <c r="AA7" s="43" t="s">
        <v>44</v>
      </c>
      <c r="AB7" s="43" t="s">
        <v>45</v>
      </c>
      <c r="AC7" s="43" t="s">
        <v>46</v>
      </c>
      <c r="AD7" s="44" t="s">
        <v>47</v>
      </c>
      <c r="AE7" s="44" t="s">
        <v>48</v>
      </c>
      <c r="AF7" s="45" t="s">
        <v>49</v>
      </c>
    </row>
    <row r="8" spans="1:33" ht="58" x14ac:dyDescent="0.35">
      <c r="A8" s="81" t="s">
        <v>27</v>
      </c>
      <c r="B8" s="81" t="s">
        <v>408</v>
      </c>
      <c r="C8" s="81" t="s">
        <v>4</v>
      </c>
      <c r="D8" s="80" t="s">
        <v>5</v>
      </c>
      <c r="E8" s="81">
        <v>-55000</v>
      </c>
      <c r="F8" s="92" t="s">
        <v>77</v>
      </c>
      <c r="G8" s="92">
        <v>45658</v>
      </c>
      <c r="H8" s="78" t="s">
        <v>410</v>
      </c>
      <c r="I8" s="78" t="s">
        <v>87</v>
      </c>
      <c r="J8" s="78"/>
      <c r="K8" s="81"/>
      <c r="L8" s="81"/>
      <c r="M8" s="81"/>
      <c r="N8" s="81"/>
      <c r="O8" s="81"/>
      <c r="P8" s="79"/>
      <c r="Q8" s="80">
        <f t="shared" ref="Q8:Q39" si="0">ABS(E8)</f>
        <v>55000</v>
      </c>
      <c r="R8" s="78"/>
      <c r="S8" s="78"/>
      <c r="T8" s="81"/>
      <c r="U8" s="81"/>
      <c r="V8" s="81"/>
      <c r="W8" s="81"/>
      <c r="X8" s="81"/>
      <c r="Y8" s="81"/>
      <c r="Z8" s="81"/>
      <c r="AA8" s="81"/>
      <c r="AB8" s="81"/>
      <c r="AC8" s="81"/>
      <c r="AD8" s="81"/>
      <c r="AE8" s="81"/>
      <c r="AF8" s="81"/>
      <c r="AG8" s="81"/>
    </row>
    <row r="9" spans="1:33" ht="43.5" x14ac:dyDescent="0.35">
      <c r="A9" s="81" t="s">
        <v>27</v>
      </c>
      <c r="B9" s="81" t="s">
        <v>408</v>
      </c>
      <c r="C9" s="81" t="s">
        <v>4</v>
      </c>
      <c r="D9" s="80" t="s">
        <v>5</v>
      </c>
      <c r="E9" s="81">
        <v>55000</v>
      </c>
      <c r="F9" s="92" t="s">
        <v>77</v>
      </c>
      <c r="G9" s="92">
        <v>45686</v>
      </c>
      <c r="H9" s="78" t="s">
        <v>772</v>
      </c>
      <c r="I9" s="78" t="s">
        <v>773</v>
      </c>
      <c r="J9" s="78"/>
      <c r="K9" s="81"/>
      <c r="L9" s="81"/>
      <c r="M9" s="81"/>
      <c r="N9" s="81"/>
      <c r="O9" s="81"/>
      <c r="P9" s="79"/>
      <c r="Q9" s="80">
        <f t="shared" si="0"/>
        <v>55000</v>
      </c>
      <c r="R9" s="78"/>
      <c r="S9" s="78"/>
      <c r="T9" s="81"/>
      <c r="U9" s="81"/>
      <c r="V9" s="81"/>
      <c r="W9" s="81"/>
      <c r="X9" s="81"/>
      <c r="Y9" s="81"/>
      <c r="Z9" s="81"/>
      <c r="AA9" s="81"/>
      <c r="AB9" s="81"/>
      <c r="AC9" s="81"/>
      <c r="AD9" s="81"/>
      <c r="AE9" s="81"/>
      <c r="AF9" s="81"/>
      <c r="AG9" s="81"/>
    </row>
    <row r="10" spans="1:33" ht="43.5" x14ac:dyDescent="0.35">
      <c r="A10" s="81" t="s">
        <v>27</v>
      </c>
      <c r="B10" s="81" t="s">
        <v>408</v>
      </c>
      <c r="C10" s="81" t="s">
        <v>4</v>
      </c>
      <c r="D10" s="80" t="s">
        <v>5</v>
      </c>
      <c r="E10" s="81">
        <v>-55000</v>
      </c>
      <c r="F10" s="92" t="s">
        <v>77</v>
      </c>
      <c r="G10" s="92">
        <v>45691</v>
      </c>
      <c r="H10" s="78" t="s">
        <v>772</v>
      </c>
      <c r="I10" s="78" t="s">
        <v>773</v>
      </c>
      <c r="J10" s="78"/>
      <c r="K10" s="81"/>
      <c r="L10" s="81"/>
      <c r="M10" s="81"/>
      <c r="N10" s="81"/>
      <c r="O10" s="81"/>
      <c r="P10" s="79"/>
      <c r="Q10" s="80">
        <f t="shared" si="0"/>
        <v>55000</v>
      </c>
      <c r="R10" s="78"/>
      <c r="S10" s="78"/>
      <c r="T10" s="81"/>
      <c r="U10" s="81"/>
      <c r="V10" s="81"/>
      <c r="W10" s="81"/>
      <c r="X10" s="81"/>
      <c r="Y10" s="81"/>
      <c r="Z10" s="81"/>
      <c r="AA10" s="81"/>
      <c r="AB10" s="81"/>
      <c r="AC10" s="81"/>
      <c r="AD10" s="81"/>
      <c r="AE10" s="81"/>
      <c r="AF10" s="81"/>
      <c r="AG10" s="81"/>
    </row>
    <row r="11" spans="1:33" ht="29" x14ac:dyDescent="0.35">
      <c r="A11" s="81" t="s">
        <v>27</v>
      </c>
      <c r="B11" s="81" t="s">
        <v>315</v>
      </c>
      <c r="C11" s="81" t="s">
        <v>4</v>
      </c>
      <c r="D11" s="80" t="s">
        <v>5</v>
      </c>
      <c r="E11" s="81">
        <v>53991.82</v>
      </c>
      <c r="F11" s="92" t="s">
        <v>77</v>
      </c>
      <c r="G11" s="92">
        <v>45702</v>
      </c>
      <c r="H11" s="78" t="s">
        <v>78</v>
      </c>
      <c r="I11" s="78" t="s">
        <v>791</v>
      </c>
      <c r="J11" s="78"/>
      <c r="K11" s="81" t="s">
        <v>792</v>
      </c>
      <c r="L11" s="81" t="s">
        <v>793</v>
      </c>
      <c r="M11" s="81" t="s">
        <v>794</v>
      </c>
      <c r="N11" s="81"/>
      <c r="O11" s="81"/>
      <c r="P11" s="79"/>
      <c r="Q11" s="80">
        <f t="shared" si="0"/>
        <v>53991.82</v>
      </c>
      <c r="R11" s="78"/>
      <c r="S11" s="78"/>
      <c r="T11" s="81"/>
      <c r="U11" s="81"/>
      <c r="V11" s="81"/>
      <c r="W11" s="81"/>
      <c r="X11" s="81"/>
      <c r="Y11" s="81"/>
      <c r="Z11" s="81"/>
      <c r="AA11" s="81"/>
      <c r="AB11" s="81"/>
      <c r="AC11" s="81"/>
      <c r="AD11" s="81"/>
      <c r="AE11" s="81"/>
      <c r="AF11" s="81"/>
      <c r="AG11" s="81"/>
    </row>
    <row r="12" spans="1:33" x14ac:dyDescent="0.35">
      <c r="A12" s="81" t="s">
        <v>27</v>
      </c>
      <c r="B12" s="81" t="s">
        <v>315</v>
      </c>
      <c r="C12" s="81" t="s">
        <v>4</v>
      </c>
      <c r="D12" s="80" t="s">
        <v>5</v>
      </c>
      <c r="E12" s="81">
        <v>32601.11</v>
      </c>
      <c r="F12" s="92" t="s">
        <v>77</v>
      </c>
      <c r="G12" s="92">
        <v>45691</v>
      </c>
      <c r="H12" s="78" t="s">
        <v>78</v>
      </c>
      <c r="I12" s="78" t="s">
        <v>774</v>
      </c>
      <c r="J12" s="78"/>
      <c r="K12" s="81" t="s">
        <v>778</v>
      </c>
      <c r="L12" s="81" t="s">
        <v>776</v>
      </c>
      <c r="M12" s="81" t="s">
        <v>84</v>
      </c>
      <c r="N12" s="81"/>
      <c r="O12" s="81"/>
      <c r="P12" s="79"/>
      <c r="Q12" s="80">
        <f t="shared" si="0"/>
        <v>32601.11</v>
      </c>
      <c r="R12" s="78"/>
      <c r="S12" s="78"/>
      <c r="T12" s="81"/>
      <c r="U12" s="81"/>
      <c r="V12" s="81"/>
      <c r="W12" s="81"/>
      <c r="X12" s="81"/>
      <c r="Y12" s="81"/>
      <c r="Z12" s="81"/>
      <c r="AA12" s="81"/>
      <c r="AB12" s="81"/>
      <c r="AC12" s="81"/>
      <c r="AD12" s="81"/>
      <c r="AE12" s="81"/>
      <c r="AF12" s="81"/>
      <c r="AG12" s="81"/>
    </row>
    <row r="13" spans="1:33" x14ac:dyDescent="0.35">
      <c r="A13" s="81" t="s">
        <v>0</v>
      </c>
      <c r="B13" s="81" t="s">
        <v>408</v>
      </c>
      <c r="C13" s="81" t="s">
        <v>4</v>
      </c>
      <c r="D13" s="80" t="s">
        <v>5</v>
      </c>
      <c r="E13" s="81">
        <v>21793.51</v>
      </c>
      <c r="F13" s="92" t="s">
        <v>77</v>
      </c>
      <c r="G13" s="92">
        <v>45692</v>
      </c>
      <c r="H13" s="78" t="s">
        <v>78</v>
      </c>
      <c r="I13" s="78" t="s">
        <v>752</v>
      </c>
      <c r="J13" s="78"/>
      <c r="K13" s="81" t="s">
        <v>753</v>
      </c>
      <c r="L13" s="81" t="s">
        <v>840</v>
      </c>
      <c r="M13" s="81" t="s">
        <v>754</v>
      </c>
      <c r="N13" s="81"/>
      <c r="O13" s="81"/>
      <c r="P13" s="79"/>
      <c r="Q13" s="80">
        <f t="shared" si="0"/>
        <v>21793.51</v>
      </c>
      <c r="R13" s="78"/>
      <c r="S13" s="78"/>
      <c r="T13" s="81"/>
      <c r="U13" s="81"/>
      <c r="V13" s="81"/>
      <c r="W13" s="81"/>
      <c r="X13" s="81"/>
      <c r="Y13" s="81"/>
      <c r="Z13" s="81"/>
      <c r="AA13" s="81"/>
      <c r="AB13" s="81"/>
      <c r="AC13" s="81"/>
      <c r="AD13" s="81"/>
      <c r="AE13" s="81"/>
      <c r="AF13" s="81"/>
      <c r="AG13" s="81"/>
    </row>
    <row r="14" spans="1:33" ht="29" x14ac:dyDescent="0.35">
      <c r="A14" s="81" t="s">
        <v>0</v>
      </c>
      <c r="B14" s="81" t="s">
        <v>314</v>
      </c>
      <c r="C14" s="81" t="s">
        <v>4</v>
      </c>
      <c r="D14" s="80" t="s">
        <v>5</v>
      </c>
      <c r="E14" s="81">
        <v>10438.19</v>
      </c>
      <c r="F14" s="92" t="s">
        <v>77</v>
      </c>
      <c r="G14" s="92">
        <v>45692</v>
      </c>
      <c r="H14" s="78" t="s">
        <v>78</v>
      </c>
      <c r="I14" s="78" t="s">
        <v>755</v>
      </c>
      <c r="J14" s="78"/>
      <c r="K14" s="81" t="s">
        <v>756</v>
      </c>
      <c r="L14" s="81" t="s">
        <v>757</v>
      </c>
      <c r="M14" s="81" t="s">
        <v>758</v>
      </c>
      <c r="N14" s="81"/>
      <c r="O14" s="81"/>
      <c r="P14" s="79"/>
      <c r="Q14" s="80">
        <f t="shared" si="0"/>
        <v>10438.19</v>
      </c>
      <c r="R14" s="78"/>
      <c r="S14" s="78"/>
      <c r="T14" s="81"/>
      <c r="U14" s="81"/>
      <c r="V14" s="81"/>
      <c r="W14" s="81"/>
      <c r="X14" s="81"/>
      <c r="Y14" s="81"/>
      <c r="Z14" s="81"/>
      <c r="AA14" s="81"/>
      <c r="AB14" s="81"/>
      <c r="AC14" s="81"/>
      <c r="AD14" s="81"/>
      <c r="AE14" s="81"/>
      <c r="AF14" s="81"/>
      <c r="AG14" s="81"/>
    </row>
    <row r="15" spans="1:33" x14ac:dyDescent="0.35">
      <c r="A15" s="81" t="s">
        <v>27</v>
      </c>
      <c r="B15" s="81" t="s">
        <v>315</v>
      </c>
      <c r="C15" s="81" t="s">
        <v>4</v>
      </c>
      <c r="D15" s="80" t="s">
        <v>5</v>
      </c>
      <c r="E15" s="81">
        <v>8676.66</v>
      </c>
      <c r="F15" s="92" t="s">
        <v>77</v>
      </c>
      <c r="G15" s="92">
        <v>45691</v>
      </c>
      <c r="H15" s="78" t="s">
        <v>78</v>
      </c>
      <c r="I15" s="78" t="s">
        <v>774</v>
      </c>
      <c r="J15" s="78"/>
      <c r="K15" s="81" t="s">
        <v>777</v>
      </c>
      <c r="L15" s="81" t="s">
        <v>776</v>
      </c>
      <c r="M15" s="81" t="s">
        <v>84</v>
      </c>
      <c r="N15" s="81"/>
      <c r="O15" s="81"/>
      <c r="P15" s="79"/>
      <c r="Q15" s="80">
        <f t="shared" si="0"/>
        <v>8676.66</v>
      </c>
      <c r="R15" s="78"/>
      <c r="S15" s="78"/>
      <c r="T15" s="81"/>
      <c r="U15" s="81"/>
      <c r="V15" s="81"/>
      <c r="W15" s="81"/>
      <c r="X15" s="81"/>
      <c r="Y15" s="81"/>
      <c r="Z15" s="81"/>
      <c r="AA15" s="81"/>
      <c r="AB15" s="81"/>
      <c r="AC15" s="81"/>
      <c r="AD15" s="81"/>
      <c r="AE15" s="81"/>
      <c r="AF15" s="81"/>
      <c r="AG15" s="81"/>
    </row>
    <row r="16" spans="1:33" s="81" customFormat="1" x14ac:dyDescent="0.35">
      <c r="A16" s="81" t="s">
        <v>27</v>
      </c>
      <c r="B16" s="81" t="s">
        <v>318</v>
      </c>
      <c r="C16" s="81" t="s">
        <v>4</v>
      </c>
      <c r="D16" s="80" t="s">
        <v>5</v>
      </c>
      <c r="E16" s="81">
        <v>5737.51</v>
      </c>
      <c r="F16" s="92" t="s">
        <v>77</v>
      </c>
      <c r="G16" s="92">
        <v>45691</v>
      </c>
      <c r="H16" s="78" t="s">
        <v>78</v>
      </c>
      <c r="I16" s="78" t="s">
        <v>774</v>
      </c>
      <c r="J16" s="78"/>
      <c r="K16" s="81" t="s">
        <v>778</v>
      </c>
      <c r="L16" s="81" t="s">
        <v>776</v>
      </c>
      <c r="M16" s="81" t="s">
        <v>84</v>
      </c>
      <c r="P16" s="79"/>
      <c r="Q16" s="80">
        <f t="shared" si="0"/>
        <v>5737.51</v>
      </c>
      <c r="R16" s="78"/>
      <c r="S16" s="78"/>
    </row>
    <row r="17" spans="1:19" s="81" customFormat="1" x14ac:dyDescent="0.35">
      <c r="A17" s="88" t="s">
        <v>27</v>
      </c>
      <c r="B17" s="88" t="s">
        <v>362</v>
      </c>
      <c r="C17" s="88" t="s">
        <v>4</v>
      </c>
      <c r="D17" s="89" t="s">
        <v>5</v>
      </c>
      <c r="E17" s="88">
        <v>5061.95</v>
      </c>
      <c r="F17" s="90" t="s">
        <v>77</v>
      </c>
      <c r="G17" s="90">
        <v>45677</v>
      </c>
      <c r="H17" s="91" t="s">
        <v>78</v>
      </c>
      <c r="I17" s="91" t="s">
        <v>769</v>
      </c>
      <c r="J17" s="91"/>
      <c r="K17" s="88" t="s">
        <v>770</v>
      </c>
      <c r="L17" s="88" t="s">
        <v>771</v>
      </c>
      <c r="M17" s="88" t="s">
        <v>86</v>
      </c>
      <c r="N17" s="88"/>
      <c r="O17" s="88"/>
      <c r="P17" s="79"/>
      <c r="Q17" s="80">
        <f t="shared" si="0"/>
        <v>5061.95</v>
      </c>
      <c r="R17" s="78"/>
      <c r="S17" s="78"/>
    </row>
    <row r="18" spans="1:19" s="81" customFormat="1" ht="29" x14ac:dyDescent="0.35">
      <c r="A18" s="81" t="s">
        <v>0</v>
      </c>
      <c r="B18" s="81" t="s">
        <v>314</v>
      </c>
      <c r="C18" s="81" t="s">
        <v>4</v>
      </c>
      <c r="D18" s="80" t="s">
        <v>5</v>
      </c>
      <c r="E18" s="81">
        <v>2974.58</v>
      </c>
      <c r="F18" s="92" t="s">
        <v>77</v>
      </c>
      <c r="G18" s="92">
        <v>45691</v>
      </c>
      <c r="H18" s="78" t="s">
        <v>78</v>
      </c>
      <c r="I18" s="78" t="s">
        <v>745</v>
      </c>
      <c r="J18" s="78"/>
      <c r="K18" s="81" t="s">
        <v>746</v>
      </c>
      <c r="L18" s="81" t="s">
        <v>747</v>
      </c>
      <c r="M18" s="81" t="s">
        <v>748</v>
      </c>
      <c r="P18" s="79"/>
      <c r="Q18" s="80">
        <f t="shared" si="0"/>
        <v>2974.58</v>
      </c>
      <c r="R18" s="78"/>
      <c r="S18" s="78"/>
    </row>
    <row r="19" spans="1:19" s="81" customFormat="1" x14ac:dyDescent="0.35">
      <c r="A19" s="88" t="s">
        <v>0</v>
      </c>
      <c r="B19" s="88" t="s">
        <v>314</v>
      </c>
      <c r="C19" s="88" t="s">
        <v>4</v>
      </c>
      <c r="D19" s="89" t="s">
        <v>5</v>
      </c>
      <c r="E19" s="88">
        <v>2974.58</v>
      </c>
      <c r="F19" s="90" t="s">
        <v>77</v>
      </c>
      <c r="G19" s="90">
        <v>45709</v>
      </c>
      <c r="H19" s="91" t="s">
        <v>78</v>
      </c>
      <c r="I19" s="91" t="s">
        <v>759</v>
      </c>
      <c r="J19" s="91"/>
      <c r="K19" s="88" t="s">
        <v>760</v>
      </c>
      <c r="L19" s="88" t="s">
        <v>761</v>
      </c>
      <c r="M19" s="88" t="s">
        <v>748</v>
      </c>
      <c r="N19" s="88"/>
      <c r="O19" s="88"/>
      <c r="P19" s="79"/>
      <c r="Q19" s="80">
        <f t="shared" si="0"/>
        <v>2974.58</v>
      </c>
      <c r="R19" s="78"/>
      <c r="S19" s="78"/>
    </row>
    <row r="20" spans="1:19" s="81" customFormat="1" x14ac:dyDescent="0.35">
      <c r="A20" s="81" t="s">
        <v>0</v>
      </c>
      <c r="B20" s="81" t="s">
        <v>314</v>
      </c>
      <c r="C20" s="81" t="s">
        <v>4</v>
      </c>
      <c r="D20" s="80" t="s">
        <v>5</v>
      </c>
      <c r="E20" s="81">
        <v>2974.58</v>
      </c>
      <c r="F20" s="92" t="s">
        <v>77</v>
      </c>
      <c r="G20" s="92">
        <v>45709</v>
      </c>
      <c r="H20" s="78" t="s">
        <v>78</v>
      </c>
      <c r="I20" s="78" t="s">
        <v>762</v>
      </c>
      <c r="J20" s="78"/>
      <c r="K20" s="81" t="s">
        <v>763</v>
      </c>
      <c r="L20" s="81" t="s">
        <v>764</v>
      </c>
      <c r="M20" s="81" t="s">
        <v>748</v>
      </c>
      <c r="P20" s="79"/>
      <c r="Q20" s="80">
        <f t="shared" si="0"/>
        <v>2974.58</v>
      </c>
      <c r="R20" s="78"/>
      <c r="S20" s="78"/>
    </row>
    <row r="21" spans="1:19" s="81" customFormat="1" x14ac:dyDescent="0.35">
      <c r="A21" s="81" t="s">
        <v>27</v>
      </c>
      <c r="B21" s="81" t="s">
        <v>315</v>
      </c>
      <c r="C21" s="81" t="s">
        <v>4</v>
      </c>
      <c r="D21" s="80" t="s">
        <v>5</v>
      </c>
      <c r="E21" s="81">
        <v>2794.08</v>
      </c>
      <c r="F21" s="92" t="s">
        <v>77</v>
      </c>
      <c r="G21" s="92">
        <v>45691</v>
      </c>
      <c r="H21" s="78" t="s">
        <v>78</v>
      </c>
      <c r="I21" s="78" t="s">
        <v>774</v>
      </c>
      <c r="J21" s="78"/>
      <c r="K21" s="81" t="s">
        <v>780</v>
      </c>
      <c r="L21" s="81" t="s">
        <v>776</v>
      </c>
      <c r="M21" s="81" t="s">
        <v>84</v>
      </c>
      <c r="P21" s="79"/>
      <c r="Q21" s="80">
        <f t="shared" si="0"/>
        <v>2794.08</v>
      </c>
      <c r="R21" s="78"/>
      <c r="S21" s="78"/>
    </row>
    <row r="22" spans="1:19" s="81" customFormat="1" x14ac:dyDescent="0.35">
      <c r="A22" s="81" t="s">
        <v>27</v>
      </c>
      <c r="B22" s="81" t="s">
        <v>332</v>
      </c>
      <c r="C22" s="81" t="s">
        <v>4</v>
      </c>
      <c r="D22" s="80" t="s">
        <v>5</v>
      </c>
      <c r="E22" s="81">
        <v>2600</v>
      </c>
      <c r="F22" s="92" t="s">
        <v>77</v>
      </c>
      <c r="G22" s="92">
        <v>45691</v>
      </c>
      <c r="H22" s="78" t="s">
        <v>78</v>
      </c>
      <c r="I22" s="78" t="s">
        <v>774</v>
      </c>
      <c r="J22" s="78"/>
      <c r="K22" s="81" t="s">
        <v>775</v>
      </c>
      <c r="L22" s="81" t="s">
        <v>776</v>
      </c>
      <c r="M22" s="81" t="s">
        <v>84</v>
      </c>
      <c r="P22" s="79"/>
      <c r="Q22" s="80">
        <f t="shared" si="0"/>
        <v>2600</v>
      </c>
      <c r="R22" s="78"/>
      <c r="S22" s="78"/>
    </row>
    <row r="23" spans="1:19" s="81" customFormat="1" x14ac:dyDescent="0.35">
      <c r="A23" s="81" t="s">
        <v>27</v>
      </c>
      <c r="B23" s="81" t="s">
        <v>314</v>
      </c>
      <c r="C23" s="81" t="s">
        <v>4</v>
      </c>
      <c r="D23" s="80" t="s">
        <v>5</v>
      </c>
      <c r="E23" s="81">
        <v>2181.36</v>
      </c>
      <c r="F23" s="92" t="s">
        <v>77</v>
      </c>
      <c r="G23" s="92">
        <v>45701</v>
      </c>
      <c r="H23" s="78" t="s">
        <v>78</v>
      </c>
      <c r="I23" s="78" t="s">
        <v>784</v>
      </c>
      <c r="J23" s="78"/>
      <c r="K23" s="81" t="s">
        <v>785</v>
      </c>
      <c r="L23" s="81" t="s">
        <v>786</v>
      </c>
      <c r="M23" s="81" t="s">
        <v>787</v>
      </c>
      <c r="P23" s="79"/>
      <c r="Q23" s="80">
        <f t="shared" si="0"/>
        <v>2181.36</v>
      </c>
      <c r="R23" s="78"/>
      <c r="S23" s="78"/>
    </row>
    <row r="24" spans="1:19" s="81" customFormat="1" ht="43.5" x14ac:dyDescent="0.35">
      <c r="A24" s="88" t="s">
        <v>27</v>
      </c>
      <c r="B24" s="88" t="s">
        <v>329</v>
      </c>
      <c r="C24" s="88" t="s">
        <v>4</v>
      </c>
      <c r="D24" s="89" t="s">
        <v>5</v>
      </c>
      <c r="E24" s="88">
        <v>1849</v>
      </c>
      <c r="F24" s="90" t="s">
        <v>77</v>
      </c>
      <c r="G24" s="90">
        <v>45733</v>
      </c>
      <c r="H24" s="91" t="s">
        <v>79</v>
      </c>
      <c r="I24" s="91" t="s">
        <v>359</v>
      </c>
      <c r="J24" s="91" t="s">
        <v>810</v>
      </c>
      <c r="K24" s="88"/>
      <c r="L24" s="88"/>
      <c r="M24" s="88"/>
      <c r="N24" s="88"/>
      <c r="O24" s="88" t="s">
        <v>811</v>
      </c>
      <c r="P24" s="79"/>
      <c r="Q24" s="80">
        <f t="shared" si="0"/>
        <v>1849</v>
      </c>
      <c r="R24" s="78"/>
      <c r="S24" s="78"/>
    </row>
    <row r="25" spans="1:19" s="81" customFormat="1" ht="29" x14ac:dyDescent="0.35">
      <c r="A25" s="88" t="s">
        <v>27</v>
      </c>
      <c r="B25" s="88" t="s">
        <v>315</v>
      </c>
      <c r="C25" s="88" t="s">
        <v>4</v>
      </c>
      <c r="D25" s="89" t="s">
        <v>5</v>
      </c>
      <c r="E25" s="88">
        <v>1529.55</v>
      </c>
      <c r="F25" s="90" t="s">
        <v>77</v>
      </c>
      <c r="G25" s="90">
        <v>45734</v>
      </c>
      <c r="H25" s="91" t="s">
        <v>79</v>
      </c>
      <c r="I25" s="91" t="s">
        <v>813</v>
      </c>
      <c r="J25" s="91" t="s">
        <v>814</v>
      </c>
      <c r="K25" s="88"/>
      <c r="L25" s="88"/>
      <c r="M25" s="88"/>
      <c r="N25" s="88"/>
      <c r="O25" s="88" t="s">
        <v>815</v>
      </c>
      <c r="P25" s="79"/>
      <c r="Q25" s="80">
        <f t="shared" si="0"/>
        <v>1529.55</v>
      </c>
      <c r="R25" s="78"/>
      <c r="S25" s="78"/>
    </row>
    <row r="26" spans="1:19" s="81" customFormat="1" ht="29" x14ac:dyDescent="0.35">
      <c r="A26" s="81" t="s">
        <v>27</v>
      </c>
      <c r="B26" s="81" t="s">
        <v>315</v>
      </c>
      <c r="C26" s="81" t="s">
        <v>4</v>
      </c>
      <c r="D26" s="80" t="s">
        <v>5</v>
      </c>
      <c r="E26" s="81">
        <v>1529.55</v>
      </c>
      <c r="F26" s="92" t="s">
        <v>77</v>
      </c>
      <c r="G26" s="92">
        <v>45744</v>
      </c>
      <c r="H26" s="78" t="s">
        <v>79</v>
      </c>
      <c r="I26" s="78" t="s">
        <v>837</v>
      </c>
      <c r="J26" s="78" t="s">
        <v>838</v>
      </c>
      <c r="O26" s="81" t="s">
        <v>815</v>
      </c>
      <c r="P26" s="79"/>
      <c r="Q26" s="80">
        <f t="shared" si="0"/>
        <v>1529.55</v>
      </c>
      <c r="R26" s="78"/>
      <c r="S26" s="78"/>
    </row>
    <row r="27" spans="1:19" s="81" customFormat="1" x14ac:dyDescent="0.35">
      <c r="A27" s="81" t="s">
        <v>27</v>
      </c>
      <c r="B27" s="81" t="s">
        <v>329</v>
      </c>
      <c r="C27" s="81" t="s">
        <v>4</v>
      </c>
      <c r="D27" s="80" t="s">
        <v>5</v>
      </c>
      <c r="E27" s="81">
        <v>1510.11</v>
      </c>
      <c r="F27" s="92" t="s">
        <v>77</v>
      </c>
      <c r="G27" s="92">
        <v>45701</v>
      </c>
      <c r="H27" s="78" t="s">
        <v>78</v>
      </c>
      <c r="I27" s="78" t="s">
        <v>788</v>
      </c>
      <c r="J27" s="78"/>
      <c r="K27" s="81" t="s">
        <v>789</v>
      </c>
      <c r="L27" s="81" t="s">
        <v>790</v>
      </c>
      <c r="M27" s="81" t="s">
        <v>86</v>
      </c>
      <c r="P27" s="79"/>
      <c r="Q27" s="80">
        <f t="shared" si="0"/>
        <v>1510.11</v>
      </c>
      <c r="R27" s="78"/>
      <c r="S27" s="78"/>
    </row>
    <row r="28" spans="1:19" s="81" customFormat="1" x14ac:dyDescent="0.35">
      <c r="A28" s="81" t="s">
        <v>27</v>
      </c>
      <c r="B28" s="81" t="s">
        <v>356</v>
      </c>
      <c r="C28" s="81" t="s">
        <v>4</v>
      </c>
      <c r="D28" s="80" t="s">
        <v>5</v>
      </c>
      <c r="E28" s="81">
        <v>1294.3800000000001</v>
      </c>
      <c r="F28" s="92" t="s">
        <v>77</v>
      </c>
      <c r="G28" s="92">
        <v>45701</v>
      </c>
      <c r="H28" s="78" t="s">
        <v>78</v>
      </c>
      <c r="I28" s="78" t="s">
        <v>788</v>
      </c>
      <c r="J28" s="78"/>
      <c r="K28" s="81" t="s">
        <v>789</v>
      </c>
      <c r="L28" s="81" t="s">
        <v>790</v>
      </c>
      <c r="M28" s="81" t="s">
        <v>86</v>
      </c>
      <c r="P28" s="79"/>
      <c r="Q28" s="80">
        <f t="shared" si="0"/>
        <v>1294.3800000000001</v>
      </c>
      <c r="R28" s="78"/>
      <c r="S28" s="78"/>
    </row>
    <row r="29" spans="1:19" s="81" customFormat="1" x14ac:dyDescent="0.35">
      <c r="A29" s="81" t="s">
        <v>27</v>
      </c>
      <c r="B29" s="81" t="s">
        <v>318</v>
      </c>
      <c r="C29" s="81" t="s">
        <v>4</v>
      </c>
      <c r="D29" s="80" t="s">
        <v>5</v>
      </c>
      <c r="E29" s="81">
        <v>1185</v>
      </c>
      <c r="F29" s="92" t="s">
        <v>77</v>
      </c>
      <c r="G29" s="92">
        <v>45666</v>
      </c>
      <c r="H29" s="78" t="s">
        <v>78</v>
      </c>
      <c r="I29" s="78" t="s">
        <v>766</v>
      </c>
      <c r="J29" s="78"/>
      <c r="K29" s="81" t="s">
        <v>767</v>
      </c>
      <c r="L29" s="81" t="s">
        <v>768</v>
      </c>
      <c r="M29" s="81" t="s">
        <v>84</v>
      </c>
      <c r="P29" s="79"/>
      <c r="Q29" s="80">
        <f t="shared" si="0"/>
        <v>1185</v>
      </c>
      <c r="R29" s="78"/>
      <c r="S29" s="78"/>
    </row>
    <row r="30" spans="1:19" s="81" customFormat="1" x14ac:dyDescent="0.35">
      <c r="A30" s="81" t="s">
        <v>27</v>
      </c>
      <c r="B30" s="81" t="s">
        <v>318</v>
      </c>
      <c r="C30" s="81" t="s">
        <v>4</v>
      </c>
      <c r="D30" s="80" t="s">
        <v>5</v>
      </c>
      <c r="E30" s="81">
        <v>1185</v>
      </c>
      <c r="F30" s="92" t="s">
        <v>77</v>
      </c>
      <c r="G30" s="92">
        <v>45729</v>
      </c>
      <c r="H30" s="78" t="s">
        <v>78</v>
      </c>
      <c r="I30" s="78" t="s">
        <v>804</v>
      </c>
      <c r="J30" s="78"/>
      <c r="K30" s="81" t="s">
        <v>808</v>
      </c>
      <c r="L30" s="81" t="s">
        <v>806</v>
      </c>
      <c r="M30" s="81" t="s">
        <v>84</v>
      </c>
      <c r="P30" s="79"/>
      <c r="Q30" s="80">
        <f t="shared" si="0"/>
        <v>1185</v>
      </c>
      <c r="R30" s="78"/>
      <c r="S30" s="78"/>
    </row>
    <row r="31" spans="1:19" s="81" customFormat="1" ht="29" x14ac:dyDescent="0.35">
      <c r="A31" s="81" t="s">
        <v>27</v>
      </c>
      <c r="B31" s="81" t="s">
        <v>340</v>
      </c>
      <c r="C31" s="81" t="s">
        <v>4</v>
      </c>
      <c r="D31" s="80" t="s">
        <v>5</v>
      </c>
      <c r="E31" s="81">
        <v>948.44</v>
      </c>
      <c r="F31" s="92" t="s">
        <v>77</v>
      </c>
      <c r="G31" s="92">
        <v>45679</v>
      </c>
      <c r="H31" s="78" t="s">
        <v>412</v>
      </c>
      <c r="I31" s="78" t="s">
        <v>405</v>
      </c>
      <c r="J31" s="78"/>
      <c r="P31" s="79"/>
      <c r="Q31" s="80">
        <f t="shared" si="0"/>
        <v>948.44</v>
      </c>
      <c r="R31" s="78"/>
      <c r="S31" s="78"/>
    </row>
    <row r="32" spans="1:19" s="81" customFormat="1" ht="29" x14ac:dyDescent="0.35">
      <c r="A32" s="81" t="s">
        <v>27</v>
      </c>
      <c r="B32" s="81" t="s">
        <v>340</v>
      </c>
      <c r="C32" s="81" t="s">
        <v>4</v>
      </c>
      <c r="D32" s="80" t="s">
        <v>5</v>
      </c>
      <c r="E32" s="81">
        <v>948.44</v>
      </c>
      <c r="F32" s="92" t="s">
        <v>77</v>
      </c>
      <c r="G32" s="92">
        <v>45711</v>
      </c>
      <c r="H32" s="78" t="s">
        <v>798</v>
      </c>
      <c r="I32" s="78" t="s">
        <v>405</v>
      </c>
      <c r="J32" s="78"/>
      <c r="P32" s="79"/>
      <c r="Q32" s="80">
        <f t="shared" si="0"/>
        <v>948.44</v>
      </c>
      <c r="R32" s="78"/>
      <c r="S32" s="78"/>
    </row>
    <row r="33" spans="1:33" s="81" customFormat="1" ht="43.5" x14ac:dyDescent="0.35">
      <c r="A33" s="81" t="s">
        <v>27</v>
      </c>
      <c r="B33" s="81" t="s">
        <v>340</v>
      </c>
      <c r="C33" s="81" t="s">
        <v>4</v>
      </c>
      <c r="D33" s="80" t="s">
        <v>5</v>
      </c>
      <c r="E33" s="81">
        <v>948.44</v>
      </c>
      <c r="F33" s="92" t="s">
        <v>77</v>
      </c>
      <c r="G33" s="92">
        <v>45734</v>
      </c>
      <c r="H33" s="78" t="s">
        <v>812</v>
      </c>
      <c r="I33" s="78" t="s">
        <v>405</v>
      </c>
      <c r="J33" s="78"/>
      <c r="P33" s="79"/>
      <c r="Q33" s="80">
        <f t="shared" si="0"/>
        <v>948.44</v>
      </c>
      <c r="R33" s="78"/>
      <c r="S33" s="78"/>
    </row>
    <row r="34" spans="1:33" s="81" customFormat="1" ht="29" x14ac:dyDescent="0.35">
      <c r="A34" s="81" t="s">
        <v>27</v>
      </c>
      <c r="B34" s="81" t="s">
        <v>329</v>
      </c>
      <c r="C34" s="81" t="s">
        <v>4</v>
      </c>
      <c r="D34" s="80" t="s">
        <v>5</v>
      </c>
      <c r="E34" s="81">
        <v>915.3</v>
      </c>
      <c r="F34" s="92" t="s">
        <v>77</v>
      </c>
      <c r="G34" s="92">
        <v>45744</v>
      </c>
      <c r="H34" s="78" t="s">
        <v>79</v>
      </c>
      <c r="I34" s="78" t="s">
        <v>834</v>
      </c>
      <c r="J34" s="78" t="s">
        <v>835</v>
      </c>
      <c r="O34" s="81" t="s">
        <v>836</v>
      </c>
      <c r="P34" s="79"/>
      <c r="Q34" s="80">
        <f t="shared" si="0"/>
        <v>915.3</v>
      </c>
      <c r="R34" s="78"/>
      <c r="S34" s="78"/>
    </row>
    <row r="35" spans="1:33" s="81" customFormat="1" ht="43.5" x14ac:dyDescent="0.35">
      <c r="A35" s="81" t="s">
        <v>27</v>
      </c>
      <c r="B35" s="81" t="s">
        <v>329</v>
      </c>
      <c r="C35" s="81" t="s">
        <v>4</v>
      </c>
      <c r="D35" s="80" t="s">
        <v>5</v>
      </c>
      <c r="E35" s="81">
        <v>793.1</v>
      </c>
      <c r="F35" s="92" t="s">
        <v>77</v>
      </c>
      <c r="G35" s="92">
        <v>45734</v>
      </c>
      <c r="H35" s="78" t="s">
        <v>79</v>
      </c>
      <c r="I35" s="78" t="s">
        <v>404</v>
      </c>
      <c r="J35" s="78" t="s">
        <v>828</v>
      </c>
      <c r="O35" s="81" t="s">
        <v>815</v>
      </c>
      <c r="P35" s="79"/>
      <c r="Q35" s="80">
        <f t="shared" si="0"/>
        <v>793.1</v>
      </c>
      <c r="R35" s="78"/>
      <c r="S35" s="78"/>
    </row>
    <row r="36" spans="1:33" s="81" customFormat="1" x14ac:dyDescent="0.35">
      <c r="A36" s="81" t="s">
        <v>27</v>
      </c>
      <c r="B36" s="81" t="s">
        <v>332</v>
      </c>
      <c r="C36" s="81" t="s">
        <v>4</v>
      </c>
      <c r="D36" s="80" t="s">
        <v>5</v>
      </c>
      <c r="E36" s="81">
        <v>767</v>
      </c>
      <c r="F36" s="92" t="s">
        <v>77</v>
      </c>
      <c r="G36" s="92">
        <v>45701</v>
      </c>
      <c r="H36" s="78" t="s">
        <v>78</v>
      </c>
      <c r="I36" s="78" t="s">
        <v>788</v>
      </c>
      <c r="J36" s="78"/>
      <c r="K36" s="81" t="s">
        <v>789</v>
      </c>
      <c r="L36" s="81" t="s">
        <v>790</v>
      </c>
      <c r="M36" s="81" t="s">
        <v>86</v>
      </c>
      <c r="P36" s="79"/>
      <c r="Q36" s="80">
        <f t="shared" si="0"/>
        <v>767</v>
      </c>
      <c r="R36" s="78"/>
      <c r="S36" s="78"/>
    </row>
    <row r="37" spans="1:33" s="81" customFormat="1" ht="29" x14ac:dyDescent="0.35">
      <c r="A37" s="81" t="s">
        <v>27</v>
      </c>
      <c r="B37" s="81" t="s">
        <v>329</v>
      </c>
      <c r="C37" s="81" t="s">
        <v>4</v>
      </c>
      <c r="D37" s="80" t="s">
        <v>5</v>
      </c>
      <c r="E37" s="81">
        <v>630.54999999999995</v>
      </c>
      <c r="F37" s="92" t="s">
        <v>77</v>
      </c>
      <c r="G37" s="92">
        <v>45734</v>
      </c>
      <c r="H37" s="78" t="s">
        <v>79</v>
      </c>
      <c r="I37" s="78" t="s">
        <v>823</v>
      </c>
      <c r="J37" s="78" t="s">
        <v>824</v>
      </c>
      <c r="O37" s="81" t="s">
        <v>337</v>
      </c>
      <c r="P37" s="79"/>
      <c r="Q37" s="80">
        <f t="shared" si="0"/>
        <v>630.54999999999995</v>
      </c>
      <c r="R37" s="78"/>
      <c r="S37" s="78"/>
    </row>
    <row r="38" spans="1:33" s="81" customFormat="1" x14ac:dyDescent="0.35">
      <c r="A38" s="81" t="s">
        <v>27</v>
      </c>
      <c r="B38" s="81" t="s">
        <v>325</v>
      </c>
      <c r="C38" s="81" t="s">
        <v>4</v>
      </c>
      <c r="D38" s="80" t="s">
        <v>5</v>
      </c>
      <c r="E38" s="81">
        <v>606.78</v>
      </c>
      <c r="F38" s="92" t="s">
        <v>77</v>
      </c>
      <c r="G38" s="92">
        <v>45701</v>
      </c>
      <c r="H38" s="78" t="s">
        <v>78</v>
      </c>
      <c r="I38" s="78" t="s">
        <v>788</v>
      </c>
      <c r="J38" s="78"/>
      <c r="K38" s="81" t="s">
        <v>789</v>
      </c>
      <c r="L38" s="81" t="s">
        <v>790</v>
      </c>
      <c r="M38" s="81" t="s">
        <v>86</v>
      </c>
      <c r="P38" s="79"/>
      <c r="Q38" s="80">
        <f t="shared" si="0"/>
        <v>606.78</v>
      </c>
      <c r="R38" s="78"/>
      <c r="S38" s="78"/>
    </row>
    <row r="39" spans="1:33" s="81" customFormat="1" ht="43.5" x14ac:dyDescent="0.35">
      <c r="A39" s="88" t="s">
        <v>27</v>
      </c>
      <c r="B39" s="88" t="s">
        <v>380</v>
      </c>
      <c r="C39" s="88" t="s">
        <v>4</v>
      </c>
      <c r="D39" s="89" t="s">
        <v>5</v>
      </c>
      <c r="E39" s="88">
        <v>600</v>
      </c>
      <c r="F39" s="90" t="s">
        <v>77</v>
      </c>
      <c r="G39" s="90">
        <v>45735</v>
      </c>
      <c r="H39" s="91" t="s">
        <v>79</v>
      </c>
      <c r="I39" s="91" t="s">
        <v>93</v>
      </c>
      <c r="J39" s="91" t="s">
        <v>830</v>
      </c>
      <c r="K39" s="88"/>
      <c r="L39" s="88"/>
      <c r="M39" s="88"/>
      <c r="N39" s="88"/>
      <c r="O39" s="88" t="s">
        <v>831</v>
      </c>
      <c r="P39" s="79"/>
      <c r="Q39" s="80">
        <f t="shared" si="0"/>
        <v>600</v>
      </c>
      <c r="R39" s="78"/>
      <c r="S39" s="78"/>
    </row>
    <row r="40" spans="1:33" s="81" customFormat="1" x14ac:dyDescent="0.35">
      <c r="A40" s="88" t="s">
        <v>27</v>
      </c>
      <c r="B40" s="88" t="s">
        <v>315</v>
      </c>
      <c r="C40" s="88" t="s">
        <v>4</v>
      </c>
      <c r="D40" s="89" t="s">
        <v>5</v>
      </c>
      <c r="E40" s="88">
        <v>570</v>
      </c>
      <c r="F40" s="90" t="s">
        <v>77</v>
      </c>
      <c r="G40" s="90">
        <v>45729</v>
      </c>
      <c r="H40" s="91" t="s">
        <v>78</v>
      </c>
      <c r="I40" s="91" t="s">
        <v>804</v>
      </c>
      <c r="J40" s="91"/>
      <c r="K40" s="88" t="s">
        <v>807</v>
      </c>
      <c r="L40" s="88" t="s">
        <v>806</v>
      </c>
      <c r="M40" s="88" t="s">
        <v>84</v>
      </c>
      <c r="N40" s="88"/>
      <c r="O40" s="88"/>
      <c r="P40" s="79"/>
      <c r="Q40" s="80">
        <f t="shared" ref="Q40:Q60" si="1">ABS(E40)</f>
        <v>570</v>
      </c>
      <c r="R40" s="78"/>
      <c r="S40" s="78"/>
    </row>
    <row r="41" spans="1:33" s="81" customFormat="1" x14ac:dyDescent="0.35">
      <c r="A41" s="81" t="s">
        <v>27</v>
      </c>
      <c r="B41" s="81" t="s">
        <v>318</v>
      </c>
      <c r="C41" s="81" t="s">
        <v>4</v>
      </c>
      <c r="D41" s="80" t="s">
        <v>5</v>
      </c>
      <c r="E41" s="81">
        <v>550</v>
      </c>
      <c r="F41" s="92" t="s">
        <v>77</v>
      </c>
      <c r="G41" s="92">
        <v>45729</v>
      </c>
      <c r="H41" s="78" t="s">
        <v>78</v>
      </c>
      <c r="I41" s="78" t="s">
        <v>804</v>
      </c>
      <c r="J41" s="78"/>
      <c r="K41" s="81" t="s">
        <v>809</v>
      </c>
      <c r="L41" s="81" t="s">
        <v>806</v>
      </c>
      <c r="M41" s="81" t="s">
        <v>84</v>
      </c>
      <c r="P41" s="79"/>
      <c r="Q41" s="80">
        <f t="shared" si="1"/>
        <v>550</v>
      </c>
      <c r="R41" s="78"/>
      <c r="S41" s="78"/>
    </row>
    <row r="42" spans="1:33" s="81" customFormat="1" ht="29" x14ac:dyDescent="0.35">
      <c r="A42" s="81" t="s">
        <v>27</v>
      </c>
      <c r="B42" s="81" t="s">
        <v>324</v>
      </c>
      <c r="C42" s="81" t="s">
        <v>4</v>
      </c>
      <c r="D42" s="80" t="s">
        <v>5</v>
      </c>
      <c r="E42" s="81">
        <v>-454.55</v>
      </c>
      <c r="F42" s="92" t="s">
        <v>77</v>
      </c>
      <c r="G42" s="92">
        <v>45720</v>
      </c>
      <c r="H42" s="78" t="s">
        <v>799</v>
      </c>
      <c r="I42" s="78" t="s">
        <v>800</v>
      </c>
      <c r="J42" s="78"/>
      <c r="P42" s="79"/>
      <c r="Q42" s="80">
        <f t="shared" si="1"/>
        <v>454.55</v>
      </c>
      <c r="R42" s="78"/>
      <c r="S42" s="78"/>
    </row>
    <row r="43" spans="1:33" s="81" customFormat="1" ht="29" x14ac:dyDescent="0.35">
      <c r="A43" s="81" t="s">
        <v>27</v>
      </c>
      <c r="B43" s="81" t="s">
        <v>389</v>
      </c>
      <c r="C43" s="81" t="s">
        <v>4</v>
      </c>
      <c r="D43" s="80" t="s">
        <v>5</v>
      </c>
      <c r="E43" s="81">
        <v>418.18</v>
      </c>
      <c r="F43" s="92" t="s">
        <v>77</v>
      </c>
      <c r="G43" s="92">
        <v>45740</v>
      </c>
      <c r="H43" s="78" t="s">
        <v>79</v>
      </c>
      <c r="I43" s="78" t="s">
        <v>390</v>
      </c>
      <c r="J43" s="78" t="s">
        <v>832</v>
      </c>
      <c r="O43" s="81" t="s">
        <v>833</v>
      </c>
      <c r="P43" s="79"/>
      <c r="Q43" s="80">
        <f t="shared" si="1"/>
        <v>418.18</v>
      </c>
      <c r="R43" s="78"/>
      <c r="S43" s="78"/>
    </row>
    <row r="44" spans="1:33" s="81" customFormat="1" ht="29" x14ac:dyDescent="0.35">
      <c r="A44" s="88" t="s">
        <v>27</v>
      </c>
      <c r="B44" s="88" t="s">
        <v>329</v>
      </c>
      <c r="C44" s="88" t="s">
        <v>4</v>
      </c>
      <c r="D44" s="89" t="s">
        <v>5</v>
      </c>
      <c r="E44" s="88">
        <v>400</v>
      </c>
      <c r="F44" s="90" t="s">
        <v>77</v>
      </c>
      <c r="G44" s="90">
        <v>45734</v>
      </c>
      <c r="H44" s="91" t="s">
        <v>79</v>
      </c>
      <c r="I44" s="91" t="s">
        <v>381</v>
      </c>
      <c r="J44" s="91" t="s">
        <v>818</v>
      </c>
      <c r="K44" s="88"/>
      <c r="L44" s="88"/>
      <c r="M44" s="88"/>
      <c r="N44" s="88"/>
      <c r="O44" s="88" t="s">
        <v>819</v>
      </c>
      <c r="P44" s="79"/>
      <c r="Q44" s="80">
        <f t="shared" si="1"/>
        <v>400</v>
      </c>
      <c r="R44" s="78"/>
      <c r="S44" s="78"/>
    </row>
    <row r="45" spans="1:33" s="81" customFormat="1" ht="29" x14ac:dyDescent="0.35">
      <c r="A45" s="81" t="s">
        <v>27</v>
      </c>
      <c r="B45" s="81" t="s">
        <v>336</v>
      </c>
      <c r="C45" s="81" t="s">
        <v>4</v>
      </c>
      <c r="D45" s="80" t="s">
        <v>5</v>
      </c>
      <c r="E45" s="81">
        <v>397.99</v>
      </c>
      <c r="F45" s="92" t="s">
        <v>77</v>
      </c>
      <c r="G45" s="92">
        <v>45744</v>
      </c>
      <c r="H45" s="78" t="s">
        <v>79</v>
      </c>
      <c r="I45" s="78" t="s">
        <v>83</v>
      </c>
      <c r="J45" s="78" t="s">
        <v>80</v>
      </c>
      <c r="O45" s="81" t="s">
        <v>403</v>
      </c>
      <c r="P45" s="79"/>
      <c r="Q45" s="80">
        <f t="shared" si="1"/>
        <v>397.99</v>
      </c>
      <c r="R45" s="78"/>
      <c r="S45" s="78"/>
    </row>
    <row r="46" spans="1:33" s="81" customFormat="1" x14ac:dyDescent="0.35">
      <c r="A46" s="88" t="s">
        <v>27</v>
      </c>
      <c r="B46" s="88" t="s">
        <v>318</v>
      </c>
      <c r="C46" s="88" t="s">
        <v>4</v>
      </c>
      <c r="D46" s="89" t="s">
        <v>5</v>
      </c>
      <c r="E46" s="88">
        <v>395</v>
      </c>
      <c r="F46" s="90" t="s">
        <v>77</v>
      </c>
      <c r="G46" s="90">
        <v>45691</v>
      </c>
      <c r="H46" s="91" t="s">
        <v>78</v>
      </c>
      <c r="I46" s="91" t="s">
        <v>774</v>
      </c>
      <c r="J46" s="91"/>
      <c r="K46" s="88" t="s">
        <v>779</v>
      </c>
      <c r="L46" s="88" t="s">
        <v>776</v>
      </c>
      <c r="M46" s="88" t="s">
        <v>84</v>
      </c>
      <c r="N46" s="88"/>
      <c r="O46" s="88"/>
      <c r="P46" s="79"/>
      <c r="Q46" s="80">
        <f t="shared" si="1"/>
        <v>395</v>
      </c>
      <c r="R46" s="78"/>
      <c r="S46" s="78"/>
    </row>
    <row r="47" spans="1:33" s="81" customFormat="1" x14ac:dyDescent="0.35">
      <c r="A47" s="81" t="s">
        <v>27</v>
      </c>
      <c r="B47" s="81" t="s">
        <v>416</v>
      </c>
      <c r="C47" s="81" t="s">
        <v>4</v>
      </c>
      <c r="D47" s="80" t="s">
        <v>5</v>
      </c>
      <c r="E47" s="81">
        <v>348.69</v>
      </c>
      <c r="F47" s="92" t="s">
        <v>77</v>
      </c>
      <c r="G47" s="92">
        <v>45729</v>
      </c>
      <c r="H47" s="78" t="s">
        <v>78</v>
      </c>
      <c r="I47" s="78" t="s">
        <v>804</v>
      </c>
      <c r="J47" s="78"/>
      <c r="K47" s="81" t="s">
        <v>805</v>
      </c>
      <c r="L47" s="81" t="s">
        <v>806</v>
      </c>
      <c r="M47" s="81" t="s">
        <v>84</v>
      </c>
      <c r="P47" s="79"/>
      <c r="Q47" s="80">
        <f t="shared" si="1"/>
        <v>348.69</v>
      </c>
      <c r="R47" s="78"/>
      <c r="S47" s="78"/>
    </row>
    <row r="48" spans="1:33" s="81" customFormat="1" x14ac:dyDescent="0.35">
      <c r="A48" s="31" t="s">
        <v>27</v>
      </c>
      <c r="B48" s="31" t="s">
        <v>375</v>
      </c>
      <c r="C48" s="31" t="s">
        <v>4</v>
      </c>
      <c r="D48" s="51" t="s">
        <v>5</v>
      </c>
      <c r="E48" s="31">
        <v>342.31</v>
      </c>
      <c r="F48" s="27" t="s">
        <v>77</v>
      </c>
      <c r="G48" s="27">
        <v>45729</v>
      </c>
      <c r="H48" s="52" t="s">
        <v>78</v>
      </c>
      <c r="I48" s="52" t="s">
        <v>804</v>
      </c>
      <c r="J48" s="52"/>
      <c r="K48" s="31" t="s">
        <v>805</v>
      </c>
      <c r="L48" s="31" t="s">
        <v>806</v>
      </c>
      <c r="M48" s="31" t="s">
        <v>84</v>
      </c>
      <c r="N48" s="31"/>
      <c r="O48" s="31"/>
      <c r="P48" s="5"/>
      <c r="Q48" s="3">
        <f t="shared" si="1"/>
        <v>342.31</v>
      </c>
      <c r="R48" s="48"/>
      <c r="S48" s="48"/>
      <c r="T48"/>
      <c r="U48"/>
      <c r="V48"/>
      <c r="W48"/>
      <c r="X48"/>
      <c r="Y48"/>
      <c r="Z48"/>
      <c r="AA48"/>
      <c r="AB48"/>
      <c r="AC48"/>
      <c r="AD48"/>
      <c r="AE48"/>
      <c r="AF48"/>
      <c r="AG48"/>
    </row>
    <row r="49" spans="1:19" s="81" customFormat="1" ht="43.5" x14ac:dyDescent="0.35">
      <c r="A49" s="88" t="s">
        <v>27</v>
      </c>
      <c r="B49" s="88" t="s">
        <v>348</v>
      </c>
      <c r="C49" s="88" t="s">
        <v>4</v>
      </c>
      <c r="D49" s="89" t="s">
        <v>5</v>
      </c>
      <c r="E49" s="88">
        <v>218.18</v>
      </c>
      <c r="F49" s="90" t="s">
        <v>77</v>
      </c>
      <c r="G49" s="90">
        <v>45734</v>
      </c>
      <c r="H49" s="91" t="s">
        <v>79</v>
      </c>
      <c r="I49" s="91" t="s">
        <v>127</v>
      </c>
      <c r="J49" s="91" t="s">
        <v>829</v>
      </c>
      <c r="K49" s="88"/>
      <c r="L49" s="88"/>
      <c r="M49" s="88"/>
      <c r="N49" s="88"/>
      <c r="O49" s="88" t="s">
        <v>349</v>
      </c>
      <c r="P49" s="79"/>
      <c r="Q49" s="80">
        <f t="shared" si="1"/>
        <v>218.18</v>
      </c>
      <c r="R49" s="78"/>
      <c r="S49" s="78"/>
    </row>
    <row r="50" spans="1:19" s="81" customFormat="1" x14ac:dyDescent="0.35">
      <c r="A50" s="81" t="s">
        <v>0</v>
      </c>
      <c r="B50" s="81" t="s">
        <v>362</v>
      </c>
      <c r="C50" s="81" t="s">
        <v>4</v>
      </c>
      <c r="D50" s="80" t="s">
        <v>5</v>
      </c>
      <c r="E50" s="81">
        <v>187.08</v>
      </c>
      <c r="F50" s="92" t="s">
        <v>77</v>
      </c>
      <c r="G50" s="92">
        <v>45691</v>
      </c>
      <c r="H50" s="78" t="s">
        <v>78</v>
      </c>
      <c r="I50" s="78" t="s">
        <v>749</v>
      </c>
      <c r="J50" s="78"/>
      <c r="K50" s="81" t="s">
        <v>750</v>
      </c>
      <c r="L50" s="81" t="s">
        <v>751</v>
      </c>
      <c r="M50" s="81" t="s">
        <v>86</v>
      </c>
      <c r="P50" s="79"/>
      <c r="Q50" s="80">
        <f t="shared" si="1"/>
        <v>187.08</v>
      </c>
      <c r="R50" s="78"/>
      <c r="S50" s="78"/>
    </row>
    <row r="51" spans="1:19" s="81" customFormat="1" ht="29" x14ac:dyDescent="0.35">
      <c r="A51" s="81" t="s">
        <v>27</v>
      </c>
      <c r="B51" s="81" t="s">
        <v>336</v>
      </c>
      <c r="C51" s="81" t="s">
        <v>4</v>
      </c>
      <c r="D51" s="80" t="s">
        <v>5</v>
      </c>
      <c r="E51" s="81">
        <v>175.85</v>
      </c>
      <c r="F51" s="92" t="s">
        <v>77</v>
      </c>
      <c r="G51" s="92">
        <v>45747</v>
      </c>
      <c r="H51" s="78" t="s">
        <v>79</v>
      </c>
      <c r="I51" s="78" t="s">
        <v>406</v>
      </c>
      <c r="J51" s="78" t="s">
        <v>839</v>
      </c>
      <c r="O51" s="81" t="s">
        <v>403</v>
      </c>
      <c r="P51" s="79"/>
      <c r="Q51" s="80">
        <f t="shared" si="1"/>
        <v>175.85</v>
      </c>
      <c r="R51" s="78"/>
      <c r="S51" s="78"/>
    </row>
    <row r="52" spans="1:19" s="81" customFormat="1" ht="29" x14ac:dyDescent="0.35">
      <c r="A52" s="81" t="s">
        <v>27</v>
      </c>
      <c r="B52" s="81" t="s">
        <v>615</v>
      </c>
      <c r="C52" s="81" t="s">
        <v>4</v>
      </c>
      <c r="D52" s="80" t="s">
        <v>5</v>
      </c>
      <c r="E52" s="81">
        <v>140.68</v>
      </c>
      <c r="F52" s="92" t="s">
        <v>77</v>
      </c>
      <c r="G52" s="92">
        <v>45734</v>
      </c>
      <c r="H52" s="78" t="s">
        <v>79</v>
      </c>
      <c r="I52" s="78" t="s">
        <v>825</v>
      </c>
      <c r="J52" s="78" t="s">
        <v>826</v>
      </c>
      <c r="O52" s="81" t="s">
        <v>827</v>
      </c>
      <c r="P52" s="79"/>
      <c r="Q52" s="80">
        <f t="shared" si="1"/>
        <v>140.68</v>
      </c>
      <c r="R52" s="78"/>
      <c r="S52" s="78"/>
    </row>
    <row r="53" spans="1:19" s="81" customFormat="1" ht="29" x14ac:dyDescent="0.35">
      <c r="A53" s="88" t="s">
        <v>27</v>
      </c>
      <c r="B53" s="88" t="s">
        <v>336</v>
      </c>
      <c r="C53" s="88" t="s">
        <v>4</v>
      </c>
      <c r="D53" s="89" t="s">
        <v>5</v>
      </c>
      <c r="E53" s="88">
        <v>138.84</v>
      </c>
      <c r="F53" s="90" t="s">
        <v>77</v>
      </c>
      <c r="G53" s="90">
        <v>45700</v>
      </c>
      <c r="H53" s="91" t="s">
        <v>79</v>
      </c>
      <c r="I53" s="91" t="s">
        <v>364</v>
      </c>
      <c r="J53" s="91" t="s">
        <v>783</v>
      </c>
      <c r="K53" s="88"/>
      <c r="L53" s="88"/>
      <c r="M53" s="88"/>
      <c r="N53" s="88"/>
      <c r="O53" s="88" t="s">
        <v>403</v>
      </c>
      <c r="P53" s="79"/>
      <c r="Q53" s="80">
        <f t="shared" si="1"/>
        <v>138.84</v>
      </c>
      <c r="R53" s="78"/>
      <c r="S53" s="78"/>
    </row>
    <row r="54" spans="1:19" s="81" customFormat="1" ht="58" x14ac:dyDescent="0.35">
      <c r="A54" s="81" t="s">
        <v>27</v>
      </c>
      <c r="B54" s="81" t="s">
        <v>324</v>
      </c>
      <c r="C54" s="81" t="s">
        <v>4</v>
      </c>
      <c r="D54" s="80" t="s">
        <v>5</v>
      </c>
      <c r="E54" s="81">
        <v>-109.09</v>
      </c>
      <c r="F54" s="92" t="s">
        <v>77</v>
      </c>
      <c r="G54" s="92">
        <v>45741</v>
      </c>
      <c r="H54" s="78" t="s">
        <v>393</v>
      </c>
      <c r="I54" s="78" t="s">
        <v>393</v>
      </c>
      <c r="J54" s="78"/>
      <c r="P54" s="79"/>
      <c r="Q54" s="80">
        <f t="shared" si="1"/>
        <v>109.09</v>
      </c>
      <c r="R54" s="78"/>
      <c r="S54" s="78"/>
    </row>
    <row r="55" spans="1:19" s="81" customFormat="1" ht="29" x14ac:dyDescent="0.35">
      <c r="A55" s="81" t="s">
        <v>27</v>
      </c>
      <c r="B55" s="81" t="s">
        <v>336</v>
      </c>
      <c r="C55" s="81" t="s">
        <v>4</v>
      </c>
      <c r="D55" s="80" t="s">
        <v>5</v>
      </c>
      <c r="E55" s="81">
        <v>92.55</v>
      </c>
      <c r="F55" s="92" t="s">
        <v>77</v>
      </c>
      <c r="G55" s="92">
        <v>45664</v>
      </c>
      <c r="H55" s="78" t="s">
        <v>79</v>
      </c>
      <c r="I55" s="78" t="s">
        <v>364</v>
      </c>
      <c r="J55" s="78" t="s">
        <v>765</v>
      </c>
      <c r="O55" s="81" t="s">
        <v>403</v>
      </c>
      <c r="P55" s="79"/>
      <c r="Q55" s="80">
        <f t="shared" si="1"/>
        <v>92.55</v>
      </c>
      <c r="R55" s="78"/>
      <c r="S55" s="78"/>
    </row>
    <row r="56" spans="1:19" s="81" customFormat="1" ht="29" x14ac:dyDescent="0.35">
      <c r="A56" s="81" t="s">
        <v>27</v>
      </c>
      <c r="B56" s="81" t="s">
        <v>423</v>
      </c>
      <c r="C56" s="81" t="s">
        <v>4</v>
      </c>
      <c r="D56" s="80" t="s">
        <v>5</v>
      </c>
      <c r="E56" s="81">
        <v>72.73</v>
      </c>
      <c r="F56" s="92" t="s">
        <v>77</v>
      </c>
      <c r="G56" s="92">
        <v>45706</v>
      </c>
      <c r="H56" s="78" t="s">
        <v>79</v>
      </c>
      <c r="I56" s="78" t="s">
        <v>795</v>
      </c>
      <c r="J56" s="78" t="s">
        <v>796</v>
      </c>
      <c r="O56" s="81" t="s">
        <v>797</v>
      </c>
      <c r="P56" s="79"/>
      <c r="Q56" s="80">
        <f t="shared" si="1"/>
        <v>72.73</v>
      </c>
      <c r="R56" s="78"/>
      <c r="S56" s="78"/>
    </row>
    <row r="57" spans="1:19" s="81" customFormat="1" ht="29" x14ac:dyDescent="0.35">
      <c r="A57" s="81" t="s">
        <v>27</v>
      </c>
      <c r="B57" s="81" t="s">
        <v>329</v>
      </c>
      <c r="C57" s="81" t="s">
        <v>4</v>
      </c>
      <c r="D57" s="80" t="s">
        <v>5</v>
      </c>
      <c r="E57" s="81">
        <v>72.73</v>
      </c>
      <c r="F57" s="92" t="s">
        <v>77</v>
      </c>
      <c r="G57" s="92">
        <v>45734</v>
      </c>
      <c r="H57" s="78" t="s">
        <v>79</v>
      </c>
      <c r="I57" s="78" t="s">
        <v>381</v>
      </c>
      <c r="J57" s="78" t="s">
        <v>816</v>
      </c>
      <c r="O57" s="81" t="s">
        <v>817</v>
      </c>
      <c r="P57" s="79"/>
      <c r="Q57" s="80">
        <f t="shared" si="1"/>
        <v>72.73</v>
      </c>
      <c r="R57" s="78"/>
      <c r="S57" s="78"/>
    </row>
    <row r="58" spans="1:19" s="81" customFormat="1" ht="29" x14ac:dyDescent="0.35">
      <c r="A58" s="81" t="s">
        <v>27</v>
      </c>
      <c r="B58" s="81" t="s">
        <v>329</v>
      </c>
      <c r="C58" s="81" t="s">
        <v>4</v>
      </c>
      <c r="D58" s="80" t="s">
        <v>5</v>
      </c>
      <c r="E58" s="81">
        <v>72.73</v>
      </c>
      <c r="F58" s="92" t="s">
        <v>77</v>
      </c>
      <c r="G58" s="92">
        <v>45734</v>
      </c>
      <c r="H58" s="78" t="s">
        <v>79</v>
      </c>
      <c r="I58" s="78" t="s">
        <v>820</v>
      </c>
      <c r="J58" s="78" t="s">
        <v>821</v>
      </c>
      <c r="O58" s="81" t="s">
        <v>822</v>
      </c>
      <c r="P58" s="79"/>
      <c r="Q58" s="80">
        <f t="shared" si="1"/>
        <v>72.73</v>
      </c>
      <c r="R58" s="78"/>
      <c r="S58" s="78"/>
    </row>
    <row r="59" spans="1:19" s="81" customFormat="1" ht="29" x14ac:dyDescent="0.35">
      <c r="A59" s="81" t="s">
        <v>27</v>
      </c>
      <c r="B59" s="81" t="s">
        <v>336</v>
      </c>
      <c r="C59" s="81" t="s">
        <v>4</v>
      </c>
      <c r="D59" s="80" t="s">
        <v>5</v>
      </c>
      <c r="E59" s="81">
        <v>63.64</v>
      </c>
      <c r="F59" s="92" t="s">
        <v>77</v>
      </c>
      <c r="G59" s="92">
        <v>45700</v>
      </c>
      <c r="H59" s="78" t="s">
        <v>79</v>
      </c>
      <c r="I59" s="78" t="s">
        <v>364</v>
      </c>
      <c r="J59" s="78" t="s">
        <v>781</v>
      </c>
      <c r="O59" s="81" t="s">
        <v>782</v>
      </c>
      <c r="P59" s="79"/>
      <c r="Q59" s="80">
        <f t="shared" si="1"/>
        <v>63.64</v>
      </c>
      <c r="R59" s="78"/>
      <c r="S59" s="78"/>
    </row>
    <row r="60" spans="1:19" s="81" customFormat="1" ht="29" x14ac:dyDescent="0.35">
      <c r="A60" s="88" t="s">
        <v>27</v>
      </c>
      <c r="B60" s="88" t="s">
        <v>334</v>
      </c>
      <c r="C60" s="88" t="s">
        <v>4</v>
      </c>
      <c r="D60" s="89" t="s">
        <v>5</v>
      </c>
      <c r="E60" s="88">
        <v>24.48</v>
      </c>
      <c r="F60" s="90" t="s">
        <v>77</v>
      </c>
      <c r="G60" s="90">
        <v>45726</v>
      </c>
      <c r="H60" s="91" t="s">
        <v>79</v>
      </c>
      <c r="I60" s="91" t="s">
        <v>801</v>
      </c>
      <c r="J60" s="91" t="s">
        <v>802</v>
      </c>
      <c r="K60" s="88"/>
      <c r="L60" s="88"/>
      <c r="M60" s="88"/>
      <c r="N60" s="88"/>
      <c r="O60" s="88" t="s">
        <v>803</v>
      </c>
      <c r="P60" s="79"/>
      <c r="Q60" s="80">
        <f t="shared" si="1"/>
        <v>24.48</v>
      </c>
      <c r="R60" s="78"/>
      <c r="S60" s="78"/>
    </row>
  </sheetData>
  <autoFilter ref="A7:AG7" xr:uid="{030612A0-0207-4C0C-8CA7-D82E487A927A}">
    <sortState xmlns:xlrd2="http://schemas.microsoft.com/office/spreadsheetml/2017/richdata2" ref="A8:AG60">
      <sortCondition descending="1" ref="Q7"/>
    </sortState>
  </autoFilter>
  <sortState xmlns:xlrd2="http://schemas.microsoft.com/office/spreadsheetml/2017/richdata2" ref="A7:Q51">
    <sortCondition descending="1" ref="Q7:Q51"/>
  </sortState>
  <mergeCells count="1">
    <mergeCell ref="AD6:AE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993DE-CC4B-4D89-AB74-8D003AC66372}">
  <sheetPr>
    <tabColor rgb="FF92D050"/>
  </sheetPr>
  <dimension ref="A1:AF108"/>
  <sheetViews>
    <sheetView workbookViewId="0">
      <pane ySplit="7" topLeftCell="A15" activePane="bottomLeft" state="frozen"/>
      <selection pane="bottomLeft" activeCell="N8" sqref="N8:N24"/>
    </sheetView>
  </sheetViews>
  <sheetFormatPr defaultRowHeight="14.5" x14ac:dyDescent="0.35"/>
  <cols>
    <col min="3" max="3" width="11" customWidth="1"/>
    <col min="4" max="4" width="9.1796875" style="3" bestFit="1" customWidth="1"/>
    <col min="5" max="5" width="5.1796875" customWidth="1"/>
    <col min="6" max="6" width="10.26953125" customWidth="1"/>
    <col min="7" max="7" width="10.453125" bestFit="1" customWidth="1"/>
    <col min="8" max="10" width="17.453125" style="48" customWidth="1"/>
    <col min="11" max="11" width="30.54296875" style="49" bestFit="1" customWidth="1"/>
    <col min="13" max="13" width="22.81640625" style="48" customWidth="1"/>
    <col min="14" max="14" width="21.54296875" bestFit="1" customWidth="1"/>
    <col min="16" max="16" width="4" style="5" customWidth="1"/>
    <col min="17" max="17" width="10.1796875" style="3" bestFit="1" customWidth="1"/>
    <col min="18" max="18" width="5.26953125" style="48" customWidth="1"/>
    <col min="19" max="19" width="13.1796875" style="48" customWidth="1"/>
  </cols>
  <sheetData>
    <row r="1" spans="1:32" x14ac:dyDescent="0.35">
      <c r="A1" t="s">
        <v>59</v>
      </c>
      <c r="C1">
        <f>Summary!A10</f>
        <v>5140001030</v>
      </c>
      <c r="F1" s="19"/>
    </row>
    <row r="2" spans="1:32" x14ac:dyDescent="0.35">
      <c r="A2" t="s">
        <v>60</v>
      </c>
      <c r="C2" s="24" t="str">
        <f>Summary!B10</f>
        <v>Training travel and lodging ex</v>
      </c>
      <c r="F2" s="19"/>
      <c r="G2" s="153" t="s">
        <v>98</v>
      </c>
      <c r="H2" s="154"/>
      <c r="I2" s="154"/>
      <c r="J2" s="154"/>
      <c r="K2" s="159"/>
      <c r="L2" s="153"/>
      <c r="M2" s="154"/>
      <c r="N2" s="153"/>
      <c r="O2" s="153"/>
      <c r="P2" s="155"/>
      <c r="Q2" s="156"/>
      <c r="R2" s="154"/>
      <c r="S2" s="162" t="s">
        <v>102</v>
      </c>
      <c r="T2" s="153"/>
    </row>
    <row r="3" spans="1:32" x14ac:dyDescent="0.35">
      <c r="A3" t="s">
        <v>61</v>
      </c>
      <c r="C3" s="22">
        <v>60353.16</v>
      </c>
      <c r="F3" s="19"/>
      <c r="G3" t="s">
        <v>99</v>
      </c>
    </row>
    <row r="4" spans="1:32" x14ac:dyDescent="0.35">
      <c r="A4" t="s">
        <v>36</v>
      </c>
      <c r="C4" s="22">
        <f>SUM(E:E)</f>
        <v>60353.159999999996</v>
      </c>
      <c r="F4" s="19"/>
      <c r="G4" t="s">
        <v>100</v>
      </c>
      <c r="T4" s="24" t="s">
        <v>0</v>
      </c>
      <c r="U4" s="24"/>
      <c r="V4" s="3">
        <f>SUMIF($A$10:$A$23974,"AU001",V9:V23973)</f>
        <v>0</v>
      </c>
    </row>
    <row r="5" spans="1:32" ht="15" thickBot="1" x14ac:dyDescent="0.4">
      <c r="A5" t="s">
        <v>62</v>
      </c>
      <c r="C5" s="3">
        <f>C3-C4</f>
        <v>0</v>
      </c>
      <c r="F5" s="19"/>
      <c r="Q5" s="28"/>
      <c r="R5" s="50"/>
      <c r="T5" s="24" t="s">
        <v>27</v>
      </c>
      <c r="U5" s="24"/>
      <c r="V5" s="3">
        <f>SUMIF($A$10:$A$23975,"AU052",V9:V23974)</f>
        <v>0</v>
      </c>
    </row>
    <row r="6" spans="1:32" ht="15" thickBot="1" x14ac:dyDescent="0.4">
      <c r="F6" s="19"/>
      <c r="V6" s="158"/>
      <c r="AD6" s="207" t="s">
        <v>35</v>
      </c>
      <c r="AE6" s="208"/>
    </row>
    <row r="7" spans="1:32" ht="88" thickTop="1" thickBot="1" x14ac:dyDescent="0.4">
      <c r="A7" s="95" t="s">
        <v>63</v>
      </c>
      <c r="B7" s="95" t="s">
        <v>313</v>
      </c>
      <c r="C7" s="95" t="s">
        <v>64</v>
      </c>
      <c r="D7" s="95" t="s">
        <v>65</v>
      </c>
      <c r="E7" s="95" t="s">
        <v>66</v>
      </c>
      <c r="F7" s="95" t="s">
        <v>67</v>
      </c>
      <c r="G7" s="95" t="s">
        <v>68</v>
      </c>
      <c r="H7" s="95" t="s">
        <v>69</v>
      </c>
      <c r="I7" s="95" t="s">
        <v>70</v>
      </c>
      <c r="J7" s="95" t="s">
        <v>71</v>
      </c>
      <c r="K7" s="160" t="s">
        <v>72</v>
      </c>
      <c r="L7" s="95" t="s">
        <v>73</v>
      </c>
      <c r="M7" s="32" t="s">
        <v>74</v>
      </c>
      <c r="N7" s="95" t="s">
        <v>75</v>
      </c>
      <c r="O7" s="95" t="s">
        <v>304</v>
      </c>
      <c r="Q7" s="29" t="s">
        <v>95</v>
      </c>
      <c r="R7" s="25" t="s">
        <v>76</v>
      </c>
      <c r="S7" s="8" t="s">
        <v>37</v>
      </c>
      <c r="T7" s="7" t="s">
        <v>38</v>
      </c>
      <c r="U7" s="7" t="s">
        <v>417</v>
      </c>
      <c r="V7" s="157" t="s">
        <v>39</v>
      </c>
      <c r="W7" s="9" t="s">
        <v>40</v>
      </c>
      <c r="X7" s="10" t="s">
        <v>41</v>
      </c>
      <c r="Y7" s="11" t="s">
        <v>42</v>
      </c>
      <c r="Z7" s="12" t="s">
        <v>43</v>
      </c>
      <c r="AA7" s="13" t="s">
        <v>44</v>
      </c>
      <c r="AB7" s="13" t="s">
        <v>45</v>
      </c>
      <c r="AC7" s="13" t="s">
        <v>46</v>
      </c>
      <c r="AD7" s="14" t="s">
        <v>47</v>
      </c>
      <c r="AE7" s="14" t="s">
        <v>48</v>
      </c>
      <c r="AF7" s="15" t="s">
        <v>49</v>
      </c>
    </row>
    <row r="8" spans="1:32" x14ac:dyDescent="0.35">
      <c r="A8" t="s">
        <v>0</v>
      </c>
      <c r="B8" t="s">
        <v>327</v>
      </c>
      <c r="C8" t="s">
        <v>28</v>
      </c>
      <c r="D8" t="s">
        <v>29</v>
      </c>
      <c r="E8">
        <v>50879.85</v>
      </c>
      <c r="F8" t="s">
        <v>77</v>
      </c>
      <c r="G8" s="19">
        <v>45663</v>
      </c>
      <c r="H8" t="s">
        <v>78</v>
      </c>
      <c r="I8" t="s">
        <v>841</v>
      </c>
      <c r="J8"/>
      <c r="K8" s="49" t="s">
        <v>842</v>
      </c>
      <c r="L8" t="s">
        <v>843</v>
      </c>
      <c r="M8" s="48" t="s">
        <v>844</v>
      </c>
      <c r="Q8" s="3">
        <f t="shared" ref="Q8:Q20" si="0">ABS(E8)</f>
        <v>50879.85</v>
      </c>
    </row>
    <row r="9" spans="1:32" x14ac:dyDescent="0.35">
      <c r="A9" t="s">
        <v>27</v>
      </c>
      <c r="B9" t="s">
        <v>374</v>
      </c>
      <c r="C9" t="s">
        <v>28</v>
      </c>
      <c r="D9" t="s">
        <v>29</v>
      </c>
      <c r="E9">
        <v>1823.51</v>
      </c>
      <c r="F9" t="s">
        <v>77</v>
      </c>
      <c r="G9" s="19">
        <v>45670</v>
      </c>
      <c r="H9" t="s">
        <v>78</v>
      </c>
      <c r="I9" t="s">
        <v>853</v>
      </c>
      <c r="J9"/>
      <c r="K9" s="49" t="s">
        <v>854</v>
      </c>
      <c r="L9" t="s">
        <v>855</v>
      </c>
      <c r="M9" s="48" t="s">
        <v>856</v>
      </c>
      <c r="Q9" s="3">
        <f t="shared" si="0"/>
        <v>1823.51</v>
      </c>
    </row>
    <row r="10" spans="1:32" ht="29" x14ac:dyDescent="0.35">
      <c r="A10" t="s">
        <v>0</v>
      </c>
      <c r="B10" t="s">
        <v>329</v>
      </c>
      <c r="C10" t="s">
        <v>28</v>
      </c>
      <c r="D10" t="s">
        <v>29</v>
      </c>
      <c r="E10">
        <v>1371.24</v>
      </c>
      <c r="F10" t="s">
        <v>77</v>
      </c>
      <c r="G10" s="19">
        <v>45664</v>
      </c>
      <c r="H10" t="s">
        <v>78</v>
      </c>
      <c r="I10" t="s">
        <v>845</v>
      </c>
      <c r="J10"/>
      <c r="K10" s="49" t="s">
        <v>846</v>
      </c>
      <c r="L10" t="s">
        <v>847</v>
      </c>
      <c r="M10" s="48" t="s">
        <v>848</v>
      </c>
      <c r="Q10" s="3">
        <f t="shared" si="0"/>
        <v>1371.24</v>
      </c>
    </row>
    <row r="11" spans="1:32" ht="29" x14ac:dyDescent="0.35">
      <c r="A11" t="s">
        <v>0</v>
      </c>
      <c r="B11" t="s">
        <v>332</v>
      </c>
      <c r="C11" t="s">
        <v>28</v>
      </c>
      <c r="D11" t="s">
        <v>29</v>
      </c>
      <c r="E11">
        <v>1371.24</v>
      </c>
      <c r="F11" t="s">
        <v>77</v>
      </c>
      <c r="G11" s="19">
        <v>45664</v>
      </c>
      <c r="H11" t="s">
        <v>78</v>
      </c>
      <c r="I11" t="s">
        <v>845</v>
      </c>
      <c r="J11"/>
      <c r="K11" s="49" t="s">
        <v>846</v>
      </c>
      <c r="L11" t="s">
        <v>847</v>
      </c>
      <c r="M11" s="48" t="s">
        <v>848</v>
      </c>
      <c r="Q11" s="3">
        <f t="shared" si="0"/>
        <v>1371.24</v>
      </c>
    </row>
    <row r="12" spans="1:32" ht="29" x14ac:dyDescent="0.35">
      <c r="A12" t="s">
        <v>0</v>
      </c>
      <c r="B12" t="s">
        <v>325</v>
      </c>
      <c r="C12" t="s">
        <v>28</v>
      </c>
      <c r="D12" t="s">
        <v>29</v>
      </c>
      <c r="E12">
        <v>1369.6</v>
      </c>
      <c r="F12" t="s">
        <v>77</v>
      </c>
      <c r="G12" s="19">
        <v>45664</v>
      </c>
      <c r="H12" t="s">
        <v>78</v>
      </c>
      <c r="I12" t="s">
        <v>845</v>
      </c>
      <c r="J12"/>
      <c r="K12" s="49" t="s">
        <v>846</v>
      </c>
      <c r="L12" t="s">
        <v>847</v>
      </c>
      <c r="M12" s="48" t="s">
        <v>848</v>
      </c>
      <c r="Q12" s="3">
        <f t="shared" si="0"/>
        <v>1369.6</v>
      </c>
    </row>
    <row r="13" spans="1:32" ht="29" x14ac:dyDescent="0.35">
      <c r="A13" t="s">
        <v>0</v>
      </c>
      <c r="B13" t="s">
        <v>356</v>
      </c>
      <c r="C13" t="s">
        <v>28</v>
      </c>
      <c r="D13" t="s">
        <v>29</v>
      </c>
      <c r="E13">
        <v>1298.53</v>
      </c>
      <c r="F13" t="s">
        <v>77</v>
      </c>
      <c r="G13" s="19">
        <v>45664</v>
      </c>
      <c r="H13" t="s">
        <v>78</v>
      </c>
      <c r="I13" t="s">
        <v>845</v>
      </c>
      <c r="J13"/>
      <c r="K13" s="49" t="s">
        <v>846</v>
      </c>
      <c r="L13" t="s">
        <v>847</v>
      </c>
      <c r="M13" s="48" t="s">
        <v>848</v>
      </c>
      <c r="Q13" s="3">
        <f t="shared" si="0"/>
        <v>1298.53</v>
      </c>
    </row>
    <row r="14" spans="1:32" ht="29" x14ac:dyDescent="0.35">
      <c r="A14" t="s">
        <v>27</v>
      </c>
      <c r="B14" t="s">
        <v>358</v>
      </c>
      <c r="C14" t="s">
        <v>28</v>
      </c>
      <c r="D14" t="s">
        <v>29</v>
      </c>
      <c r="E14">
        <v>829</v>
      </c>
      <c r="F14" t="s">
        <v>77</v>
      </c>
      <c r="G14" s="19">
        <v>45720</v>
      </c>
      <c r="H14" t="s">
        <v>78</v>
      </c>
      <c r="I14" t="s">
        <v>859</v>
      </c>
      <c r="J14"/>
      <c r="K14" s="49" t="s">
        <v>860</v>
      </c>
      <c r="L14" t="s">
        <v>861</v>
      </c>
      <c r="M14" s="48" t="s">
        <v>429</v>
      </c>
      <c r="Q14" s="3">
        <f t="shared" si="0"/>
        <v>829</v>
      </c>
    </row>
    <row r="15" spans="1:32" ht="29" x14ac:dyDescent="0.35">
      <c r="A15" t="s">
        <v>0</v>
      </c>
      <c r="B15" t="s">
        <v>346</v>
      </c>
      <c r="C15" t="s">
        <v>28</v>
      </c>
      <c r="D15" t="s">
        <v>29</v>
      </c>
      <c r="E15">
        <v>463.01</v>
      </c>
      <c r="F15" t="s">
        <v>77</v>
      </c>
      <c r="G15" s="19">
        <v>45727</v>
      </c>
      <c r="H15" t="s">
        <v>78</v>
      </c>
      <c r="I15" t="s">
        <v>849</v>
      </c>
      <c r="J15"/>
      <c r="K15" s="49" t="s">
        <v>850</v>
      </c>
      <c r="L15" t="s">
        <v>851</v>
      </c>
      <c r="M15" s="48" t="s">
        <v>852</v>
      </c>
      <c r="Q15" s="3">
        <f t="shared" si="0"/>
        <v>463.01</v>
      </c>
    </row>
    <row r="16" spans="1:32" x14ac:dyDescent="0.35">
      <c r="A16" t="s">
        <v>27</v>
      </c>
      <c r="B16" t="s">
        <v>315</v>
      </c>
      <c r="C16" t="s">
        <v>28</v>
      </c>
      <c r="D16" t="s">
        <v>29</v>
      </c>
      <c r="E16">
        <v>442.33</v>
      </c>
      <c r="F16" t="s">
        <v>77</v>
      </c>
      <c r="G16" s="19">
        <v>45720</v>
      </c>
      <c r="H16" t="s">
        <v>78</v>
      </c>
      <c r="I16" t="s">
        <v>862</v>
      </c>
      <c r="J16"/>
      <c r="K16" s="49" t="s">
        <v>863</v>
      </c>
      <c r="L16" t="s">
        <v>864</v>
      </c>
      <c r="N16" s="48"/>
      <c r="Q16" s="3">
        <f t="shared" si="0"/>
        <v>442.33</v>
      </c>
    </row>
    <row r="17" spans="1:17" x14ac:dyDescent="0.35">
      <c r="A17" t="s">
        <v>27</v>
      </c>
      <c r="B17" t="s">
        <v>374</v>
      </c>
      <c r="C17" t="s">
        <v>28</v>
      </c>
      <c r="D17" t="s">
        <v>29</v>
      </c>
      <c r="E17">
        <v>325.52999999999997</v>
      </c>
      <c r="F17" t="s">
        <v>77</v>
      </c>
      <c r="G17" s="19">
        <v>45670</v>
      </c>
      <c r="H17" t="s">
        <v>78</v>
      </c>
      <c r="I17" t="s">
        <v>853</v>
      </c>
      <c r="J17"/>
      <c r="K17" s="49" t="s">
        <v>644</v>
      </c>
      <c r="L17" t="s">
        <v>855</v>
      </c>
      <c r="N17" s="48"/>
      <c r="Q17" s="3">
        <f t="shared" si="0"/>
        <v>325.52999999999997</v>
      </c>
    </row>
    <row r="18" spans="1:17" x14ac:dyDescent="0.35">
      <c r="A18" t="s">
        <v>27</v>
      </c>
      <c r="B18" t="s">
        <v>317</v>
      </c>
      <c r="C18" t="s">
        <v>28</v>
      </c>
      <c r="D18" t="s">
        <v>29</v>
      </c>
      <c r="E18">
        <v>133.63999999999999</v>
      </c>
      <c r="F18" t="s">
        <v>77</v>
      </c>
      <c r="G18" s="19">
        <v>45735</v>
      </c>
      <c r="H18" t="s">
        <v>78</v>
      </c>
      <c r="I18" t="s">
        <v>868</v>
      </c>
      <c r="J18"/>
      <c r="K18" s="49" t="s">
        <v>869</v>
      </c>
      <c r="L18" t="s">
        <v>870</v>
      </c>
      <c r="N18" s="48"/>
      <c r="Q18" s="3">
        <f t="shared" si="0"/>
        <v>133.63999999999999</v>
      </c>
    </row>
    <row r="19" spans="1:17" x14ac:dyDescent="0.35">
      <c r="A19" t="s">
        <v>27</v>
      </c>
      <c r="B19" t="s">
        <v>428</v>
      </c>
      <c r="C19" t="s">
        <v>28</v>
      </c>
      <c r="D19" t="s">
        <v>29</v>
      </c>
      <c r="E19">
        <v>38.18</v>
      </c>
      <c r="F19" t="s">
        <v>77</v>
      </c>
      <c r="G19" s="19">
        <v>45727</v>
      </c>
      <c r="H19" t="s">
        <v>79</v>
      </c>
      <c r="I19" t="s">
        <v>865</v>
      </c>
      <c r="J19" t="s">
        <v>866</v>
      </c>
      <c r="M19" s="48" t="s">
        <v>867</v>
      </c>
      <c r="Q19" s="3">
        <f t="shared" si="0"/>
        <v>38.18</v>
      </c>
    </row>
    <row r="20" spans="1:17" ht="43.5" x14ac:dyDescent="0.35">
      <c r="A20" t="s">
        <v>27</v>
      </c>
      <c r="B20" t="s">
        <v>373</v>
      </c>
      <c r="C20" t="s">
        <v>28</v>
      </c>
      <c r="D20" t="s">
        <v>29</v>
      </c>
      <c r="E20">
        <v>7.5</v>
      </c>
      <c r="F20" t="s">
        <v>77</v>
      </c>
      <c r="G20" s="19">
        <v>45673</v>
      </c>
      <c r="H20" t="s">
        <v>79</v>
      </c>
      <c r="I20" t="s">
        <v>425</v>
      </c>
      <c r="J20" t="s">
        <v>857</v>
      </c>
      <c r="M20" s="48" t="s">
        <v>858</v>
      </c>
      <c r="Q20" s="3">
        <f t="shared" si="0"/>
        <v>7.5</v>
      </c>
    </row>
    <row r="21" spans="1:17" x14ac:dyDescent="0.35">
      <c r="G21" s="19"/>
    </row>
    <row r="22" spans="1:17" x14ac:dyDescent="0.35">
      <c r="G22" s="19"/>
    </row>
    <row r="23" spans="1:17" x14ac:dyDescent="0.35">
      <c r="G23" s="19"/>
    </row>
    <row r="24" spans="1:17" x14ac:dyDescent="0.35">
      <c r="G24" s="19"/>
    </row>
    <row r="25" spans="1:17" x14ac:dyDescent="0.35">
      <c r="A25" s="31"/>
      <c r="B25" s="31"/>
      <c r="C25" s="31"/>
      <c r="D25" s="51"/>
      <c r="E25" s="31"/>
      <c r="F25" s="27"/>
      <c r="G25" s="27"/>
      <c r="H25" s="52"/>
      <c r="I25" s="52"/>
      <c r="J25" s="52"/>
      <c r="K25" s="161"/>
      <c r="L25" s="31"/>
      <c r="M25" s="52"/>
      <c r="N25" s="31"/>
      <c r="O25" s="31"/>
    </row>
    <row r="26" spans="1:17" x14ac:dyDescent="0.35">
      <c r="G26" s="19"/>
    </row>
    <row r="27" spans="1:17" x14ac:dyDescent="0.35">
      <c r="G27" s="19"/>
    </row>
    <row r="28" spans="1:17" x14ac:dyDescent="0.35">
      <c r="G28" s="19"/>
    </row>
    <row r="29" spans="1:17" x14ac:dyDescent="0.35">
      <c r="G29" s="19"/>
    </row>
    <row r="30" spans="1:17" x14ac:dyDescent="0.35">
      <c r="G30" s="19"/>
    </row>
    <row r="31" spans="1:17" x14ac:dyDescent="0.35">
      <c r="G31" s="19"/>
    </row>
    <row r="32" spans="1:17" x14ac:dyDescent="0.35">
      <c r="G32" s="19"/>
    </row>
    <row r="33" spans="1:15" x14ac:dyDescent="0.35">
      <c r="G33" s="19"/>
    </row>
    <row r="34" spans="1:15" x14ac:dyDescent="0.35">
      <c r="G34" s="19"/>
    </row>
    <row r="35" spans="1:15" x14ac:dyDescent="0.35">
      <c r="G35" s="19"/>
    </row>
    <row r="36" spans="1:15" x14ac:dyDescent="0.35">
      <c r="G36" s="19"/>
    </row>
    <row r="37" spans="1:15" x14ac:dyDescent="0.35">
      <c r="G37" s="19"/>
    </row>
    <row r="38" spans="1:15" x14ac:dyDescent="0.35">
      <c r="G38" s="19"/>
    </row>
    <row r="39" spans="1:15" x14ac:dyDescent="0.35">
      <c r="G39" s="19"/>
    </row>
    <row r="40" spans="1:15" x14ac:dyDescent="0.35">
      <c r="G40" s="19"/>
    </row>
    <row r="41" spans="1:15" x14ac:dyDescent="0.35">
      <c r="G41" s="19"/>
    </row>
    <row r="42" spans="1:15" x14ac:dyDescent="0.35">
      <c r="G42" s="19"/>
    </row>
    <row r="43" spans="1:15" x14ac:dyDescent="0.35">
      <c r="G43" s="19"/>
    </row>
    <row r="44" spans="1:15" x14ac:dyDescent="0.35">
      <c r="G44" s="19"/>
    </row>
    <row r="45" spans="1:15" x14ac:dyDescent="0.35">
      <c r="G45" s="19"/>
    </row>
    <row r="46" spans="1:15" x14ac:dyDescent="0.35">
      <c r="A46" s="31"/>
      <c r="B46" s="31"/>
      <c r="C46" s="31"/>
      <c r="D46" s="51"/>
      <c r="E46" s="31"/>
      <c r="F46" s="27"/>
      <c r="G46" s="27"/>
      <c r="H46" s="52"/>
      <c r="I46" s="52"/>
      <c r="J46" s="52"/>
      <c r="K46" s="161"/>
      <c r="L46" s="31"/>
      <c r="M46" s="52"/>
      <c r="N46" s="31"/>
      <c r="O46" s="31"/>
    </row>
    <row r="47" spans="1:15" x14ac:dyDescent="0.35">
      <c r="G47" s="19"/>
    </row>
    <row r="48" spans="1:15" x14ac:dyDescent="0.35">
      <c r="G48" s="19"/>
    </row>
    <row r="49" spans="7:7" x14ac:dyDescent="0.35">
      <c r="G49" s="19"/>
    </row>
    <row r="50" spans="7:7" x14ac:dyDescent="0.35">
      <c r="G50" s="19"/>
    </row>
    <row r="51" spans="7:7" x14ac:dyDescent="0.35">
      <c r="G51" s="19"/>
    </row>
    <row r="52" spans="7:7" x14ac:dyDescent="0.35">
      <c r="G52" s="19"/>
    </row>
    <row r="53" spans="7:7" x14ac:dyDescent="0.35">
      <c r="G53" s="19"/>
    </row>
    <row r="54" spans="7:7" x14ac:dyDescent="0.35">
      <c r="G54" s="19"/>
    </row>
    <row r="55" spans="7:7" x14ac:dyDescent="0.35">
      <c r="G55" s="19"/>
    </row>
    <row r="56" spans="7:7" x14ac:dyDescent="0.35">
      <c r="G56" s="19"/>
    </row>
    <row r="57" spans="7:7" x14ac:dyDescent="0.35">
      <c r="G57" s="19"/>
    </row>
    <row r="58" spans="7:7" x14ac:dyDescent="0.35">
      <c r="G58" s="19"/>
    </row>
    <row r="59" spans="7:7" x14ac:dyDescent="0.35">
      <c r="G59" s="19"/>
    </row>
    <row r="60" spans="7:7" x14ac:dyDescent="0.35">
      <c r="G60" s="19"/>
    </row>
    <row r="61" spans="7:7" x14ac:dyDescent="0.35">
      <c r="G61" s="19"/>
    </row>
    <row r="62" spans="7:7" x14ac:dyDescent="0.35">
      <c r="G62" s="19"/>
    </row>
    <row r="63" spans="7:7" x14ac:dyDescent="0.35">
      <c r="G63" s="19"/>
    </row>
    <row r="64" spans="7:7" x14ac:dyDescent="0.35">
      <c r="G64" s="19"/>
    </row>
    <row r="65" spans="7:7" x14ac:dyDescent="0.35">
      <c r="G65" s="19"/>
    </row>
    <row r="66" spans="7:7" x14ac:dyDescent="0.35">
      <c r="G66" s="19"/>
    </row>
    <row r="67" spans="7:7" x14ac:dyDescent="0.35">
      <c r="G67" s="19"/>
    </row>
    <row r="68" spans="7:7" x14ac:dyDescent="0.35">
      <c r="G68" s="19"/>
    </row>
    <row r="69" spans="7:7" x14ac:dyDescent="0.35">
      <c r="G69" s="19"/>
    </row>
    <row r="70" spans="7:7" x14ac:dyDescent="0.35">
      <c r="G70" s="19"/>
    </row>
    <row r="71" spans="7:7" x14ac:dyDescent="0.35">
      <c r="G71" s="19"/>
    </row>
    <row r="72" spans="7:7" x14ac:dyDescent="0.35">
      <c r="G72" s="19"/>
    </row>
    <row r="73" spans="7:7" x14ac:dyDescent="0.35">
      <c r="G73" s="19"/>
    </row>
    <row r="74" spans="7:7" x14ac:dyDescent="0.35">
      <c r="G74" s="19"/>
    </row>
    <row r="75" spans="7:7" x14ac:dyDescent="0.35">
      <c r="G75" s="19"/>
    </row>
    <row r="76" spans="7:7" x14ac:dyDescent="0.35">
      <c r="G76" s="19"/>
    </row>
    <row r="77" spans="7:7" x14ac:dyDescent="0.35">
      <c r="G77" s="19"/>
    </row>
    <row r="78" spans="7:7" x14ac:dyDescent="0.35">
      <c r="G78" s="19"/>
    </row>
    <row r="79" spans="7:7" x14ac:dyDescent="0.35">
      <c r="G79" s="19"/>
    </row>
    <row r="80" spans="7:7" x14ac:dyDescent="0.35">
      <c r="G80" s="19"/>
    </row>
    <row r="81" spans="7:7" x14ac:dyDescent="0.35">
      <c r="G81" s="19"/>
    </row>
    <row r="82" spans="7:7" x14ac:dyDescent="0.35">
      <c r="G82" s="19"/>
    </row>
    <row r="83" spans="7:7" x14ac:dyDescent="0.35">
      <c r="G83" s="19"/>
    </row>
    <row r="84" spans="7:7" x14ac:dyDescent="0.35">
      <c r="G84" s="19"/>
    </row>
    <row r="85" spans="7:7" x14ac:dyDescent="0.35">
      <c r="G85" s="19"/>
    </row>
    <row r="86" spans="7:7" x14ac:dyDescent="0.35">
      <c r="G86" s="19"/>
    </row>
    <row r="87" spans="7:7" x14ac:dyDescent="0.35">
      <c r="G87" s="19"/>
    </row>
    <row r="88" spans="7:7" x14ac:dyDescent="0.35">
      <c r="G88" s="19"/>
    </row>
    <row r="89" spans="7:7" x14ac:dyDescent="0.35">
      <c r="G89" s="19"/>
    </row>
    <row r="90" spans="7:7" x14ac:dyDescent="0.35">
      <c r="G90" s="19"/>
    </row>
    <row r="91" spans="7:7" x14ac:dyDescent="0.35">
      <c r="G91" s="19"/>
    </row>
    <row r="92" spans="7:7" x14ac:dyDescent="0.35">
      <c r="G92" s="19"/>
    </row>
    <row r="93" spans="7:7" x14ac:dyDescent="0.35">
      <c r="G93" s="19"/>
    </row>
    <row r="94" spans="7:7" x14ac:dyDescent="0.35">
      <c r="G94" s="19"/>
    </row>
    <row r="95" spans="7:7" x14ac:dyDescent="0.35">
      <c r="G95" s="19"/>
    </row>
    <row r="96" spans="7:7" x14ac:dyDescent="0.35">
      <c r="G96" s="19"/>
    </row>
    <row r="97" spans="1:15" x14ac:dyDescent="0.35">
      <c r="G97" s="19"/>
    </row>
    <row r="98" spans="1:15" x14ac:dyDescent="0.35">
      <c r="A98" s="31"/>
      <c r="B98" s="31"/>
      <c r="C98" s="31"/>
      <c r="D98" s="51"/>
      <c r="E98" s="31"/>
      <c r="F98" s="27"/>
      <c r="G98" s="27"/>
      <c r="H98" s="52"/>
      <c r="I98" s="52"/>
      <c r="J98" s="52"/>
      <c r="K98" s="161"/>
      <c r="L98" s="31"/>
      <c r="M98" s="52"/>
      <c r="N98" s="31"/>
      <c r="O98" s="31"/>
    </row>
    <row r="99" spans="1:15" x14ac:dyDescent="0.35">
      <c r="G99" s="19"/>
    </row>
    <row r="100" spans="1:15" x14ac:dyDescent="0.35">
      <c r="G100" s="19"/>
    </row>
    <row r="101" spans="1:15" x14ac:dyDescent="0.35">
      <c r="G101" s="19"/>
    </row>
    <row r="102" spans="1:15" x14ac:dyDescent="0.35">
      <c r="G102" s="19"/>
    </row>
    <row r="103" spans="1:15" x14ac:dyDescent="0.35">
      <c r="G103" s="19"/>
    </row>
    <row r="104" spans="1:15" x14ac:dyDescent="0.35">
      <c r="G104" s="19"/>
    </row>
    <row r="105" spans="1:15" x14ac:dyDescent="0.35">
      <c r="G105" s="19"/>
    </row>
    <row r="106" spans="1:15" x14ac:dyDescent="0.35">
      <c r="G106" s="19"/>
    </row>
    <row r="107" spans="1:15" x14ac:dyDescent="0.35">
      <c r="G107" s="19"/>
    </row>
    <row r="108" spans="1:15" x14ac:dyDescent="0.35">
      <c r="G108" s="19"/>
    </row>
  </sheetData>
  <autoFilter ref="A7:AF7" xr:uid="{C2C993DE-CC4B-4D89-AB74-8D003AC66372}">
    <sortState xmlns:xlrd2="http://schemas.microsoft.com/office/spreadsheetml/2017/richdata2" ref="A8:AF20">
      <sortCondition descending="1" ref="Q7"/>
    </sortState>
  </autoFilter>
  <mergeCells count="1">
    <mergeCell ref="AD6:AE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C21F0-0324-4086-AF0C-38A836393CB2}">
  <sheetPr>
    <tabColor rgb="FF92D050"/>
  </sheetPr>
  <dimension ref="A1:AE185"/>
  <sheetViews>
    <sheetView topLeftCell="B1" workbookViewId="0">
      <pane ySplit="7" topLeftCell="A178" activePane="bottomLeft" state="frozen"/>
      <selection pane="bottomLeft" activeCell="N8" sqref="N8:N181"/>
    </sheetView>
  </sheetViews>
  <sheetFormatPr defaultRowHeight="65.150000000000006" customHeight="1" x14ac:dyDescent="0.35"/>
  <cols>
    <col min="1" max="1" width="5.81640625" customWidth="1"/>
    <col min="2" max="2" width="5.7265625" customWidth="1"/>
    <col min="3" max="3" width="11.1796875" customWidth="1"/>
    <col min="4" max="4" width="3.453125" style="3" customWidth="1"/>
    <col min="5" max="5" width="3.453125" customWidth="1"/>
    <col min="6" max="6" width="3.453125" style="19" customWidth="1"/>
    <col min="7" max="7" width="3.453125" style="55" customWidth="1"/>
    <col min="8" max="11" width="19.54296875" style="48" customWidth="1"/>
    <col min="13" max="13" width="23.453125" style="48" customWidth="1"/>
    <col min="14" max="14" width="16.81640625" bestFit="1" customWidth="1"/>
    <col min="16" max="16" width="2.26953125" style="5" customWidth="1"/>
    <col min="17" max="17" width="11.54296875" style="3" bestFit="1" customWidth="1"/>
    <col min="18" max="18" width="6.54296875" style="48" customWidth="1"/>
    <col min="19" max="19" width="15" style="48" customWidth="1"/>
    <col min="31" max="31" width="11" customWidth="1"/>
  </cols>
  <sheetData>
    <row r="1" spans="1:31" ht="14.5" x14ac:dyDescent="0.35">
      <c r="A1" t="s">
        <v>59</v>
      </c>
      <c r="C1" s="54">
        <f>Summary!A11</f>
        <v>5160001000</v>
      </c>
    </row>
    <row r="2" spans="1:31" ht="14.5" x14ac:dyDescent="0.35">
      <c r="A2" t="s">
        <v>60</v>
      </c>
      <c r="C2" s="54" t="str">
        <f>Summary!B11</f>
        <v>Publicity/advertising</v>
      </c>
      <c r="H2" s="163" t="s">
        <v>98</v>
      </c>
      <c r="R2" s="162" t="s">
        <v>102</v>
      </c>
    </row>
    <row r="3" spans="1:31" ht="14.5" x14ac:dyDescent="0.35">
      <c r="A3" t="s">
        <v>61</v>
      </c>
      <c r="C3" s="22">
        <v>211952.46999999991</v>
      </c>
      <c r="H3" s="93" t="s">
        <v>139</v>
      </c>
      <c r="AB3" t="s">
        <v>0</v>
      </c>
      <c r="AC3" s="3">
        <f>SUMIF($A$9:$A$175,"AU001",AC8:AC175)</f>
        <v>0</v>
      </c>
    </row>
    <row r="4" spans="1:31" ht="14.5" x14ac:dyDescent="0.35">
      <c r="A4" t="s">
        <v>36</v>
      </c>
      <c r="C4" s="22">
        <f>SUM(E:E)</f>
        <v>211952.47000000006</v>
      </c>
      <c r="H4" s="93" t="s">
        <v>475</v>
      </c>
      <c r="T4" s="24" t="s">
        <v>0</v>
      </c>
      <c r="U4" s="3">
        <f>SUMIF($A$9:$A$175,"AU001",U8:U175)</f>
        <v>0</v>
      </c>
      <c r="AB4" t="s">
        <v>27</v>
      </c>
      <c r="AC4" s="3">
        <f>SUMIF($A$9:$A$175,"AU052",AC9:AC175)</f>
        <v>0</v>
      </c>
    </row>
    <row r="5" spans="1:31" ht="15" thickBot="1" x14ac:dyDescent="0.4">
      <c r="A5" t="s">
        <v>62</v>
      </c>
      <c r="C5" s="3">
        <f>C3-C4</f>
        <v>0</v>
      </c>
      <c r="Q5" s="28"/>
      <c r="R5" s="50"/>
      <c r="T5" s="24" t="s">
        <v>27</v>
      </c>
      <c r="U5" s="3">
        <f>SUMIF($A$9:$A$175,"AU052",U8:U175)</f>
        <v>0</v>
      </c>
    </row>
    <row r="6" spans="1:31" ht="15" thickBot="1" x14ac:dyDescent="0.4">
      <c r="AC6" s="207" t="s">
        <v>35</v>
      </c>
      <c r="AD6" s="208"/>
    </row>
    <row r="7" spans="1:31" s="46" customFormat="1" ht="65.150000000000006" customHeight="1" thickBot="1" x14ac:dyDescent="0.4">
      <c r="A7" s="164" t="s">
        <v>63</v>
      </c>
      <c r="B7" s="165" t="s">
        <v>313</v>
      </c>
      <c r="C7" s="165" t="s">
        <v>64</v>
      </c>
      <c r="D7" s="166" t="s">
        <v>65</v>
      </c>
      <c r="E7" s="165" t="s">
        <v>66</v>
      </c>
      <c r="F7" s="167" t="s">
        <v>67</v>
      </c>
      <c r="G7" s="167" t="s">
        <v>68</v>
      </c>
      <c r="H7" s="165" t="s">
        <v>69</v>
      </c>
      <c r="I7" s="165" t="s">
        <v>70</v>
      </c>
      <c r="J7" s="165" t="s">
        <v>71</v>
      </c>
      <c r="K7" s="165" t="s">
        <v>72</v>
      </c>
      <c r="L7" s="165" t="s">
        <v>73</v>
      </c>
      <c r="M7" s="165" t="s">
        <v>74</v>
      </c>
      <c r="N7" s="165" t="s">
        <v>75</v>
      </c>
      <c r="O7" s="168" t="s">
        <v>304</v>
      </c>
      <c r="P7" s="36"/>
      <c r="Q7" s="47" t="s">
        <v>95</v>
      </c>
      <c r="R7" s="37" t="s">
        <v>76</v>
      </c>
      <c r="S7" s="38" t="s">
        <v>37</v>
      </c>
      <c r="T7" s="38" t="s">
        <v>38</v>
      </c>
      <c r="U7" s="38" t="s">
        <v>39</v>
      </c>
      <c r="V7" s="39" t="s">
        <v>40</v>
      </c>
      <c r="W7" s="40" t="s">
        <v>41</v>
      </c>
      <c r="X7" s="41" t="s">
        <v>42</v>
      </c>
      <c r="Y7" s="42" t="s">
        <v>43</v>
      </c>
      <c r="Z7" s="43" t="s">
        <v>44</v>
      </c>
      <c r="AA7" s="43" t="s">
        <v>45</v>
      </c>
      <c r="AB7" s="43" t="s">
        <v>46</v>
      </c>
      <c r="AC7" s="44" t="s">
        <v>47</v>
      </c>
      <c r="AD7" s="44" t="s">
        <v>48</v>
      </c>
      <c r="AE7" s="45" t="s">
        <v>49</v>
      </c>
    </row>
    <row r="8" spans="1:31" ht="37" customHeight="1" x14ac:dyDescent="0.35">
      <c r="A8" t="s">
        <v>0</v>
      </c>
      <c r="B8" t="s">
        <v>431</v>
      </c>
      <c r="C8">
        <v>5160001000</v>
      </c>
      <c r="D8" s="3" t="s">
        <v>6</v>
      </c>
      <c r="E8">
        <v>-242000</v>
      </c>
      <c r="F8" s="19" t="s">
        <v>77</v>
      </c>
      <c r="G8" s="55" t="s">
        <v>871</v>
      </c>
      <c r="H8" s="48" t="s">
        <v>413</v>
      </c>
      <c r="I8" s="48" t="s">
        <v>433</v>
      </c>
      <c r="Q8" s="3">
        <f t="shared" ref="Q8:Q71" si="0">ABS(E8)</f>
        <v>242000</v>
      </c>
    </row>
    <row r="9" spans="1:31" ht="37" customHeight="1" x14ac:dyDescent="0.35">
      <c r="A9" t="s">
        <v>0</v>
      </c>
      <c r="B9" t="s">
        <v>434</v>
      </c>
      <c r="C9">
        <v>5160001000</v>
      </c>
      <c r="D9" s="3" t="s">
        <v>6</v>
      </c>
      <c r="E9">
        <v>-107045.4</v>
      </c>
      <c r="F9" s="19" t="s">
        <v>77</v>
      </c>
      <c r="G9" s="55" t="s">
        <v>871</v>
      </c>
      <c r="H9" s="48" t="s">
        <v>413</v>
      </c>
      <c r="I9" s="48" t="s">
        <v>435</v>
      </c>
      <c r="Q9" s="3">
        <f t="shared" si="0"/>
        <v>107045.4</v>
      </c>
    </row>
    <row r="10" spans="1:31" ht="37" customHeight="1" x14ac:dyDescent="0.35">
      <c r="A10" t="s">
        <v>0</v>
      </c>
      <c r="B10" t="s">
        <v>434</v>
      </c>
      <c r="C10">
        <v>5160001000</v>
      </c>
      <c r="D10" s="3" t="s">
        <v>6</v>
      </c>
      <c r="E10">
        <v>107045.4</v>
      </c>
      <c r="F10" s="19" t="s">
        <v>77</v>
      </c>
      <c r="G10" s="55" t="s">
        <v>991</v>
      </c>
      <c r="H10" s="48" t="s">
        <v>772</v>
      </c>
      <c r="I10" s="48" t="s">
        <v>992</v>
      </c>
      <c r="Q10" s="3">
        <f t="shared" si="0"/>
        <v>107045.4</v>
      </c>
    </row>
    <row r="11" spans="1:31" ht="37" customHeight="1" x14ac:dyDescent="0.35">
      <c r="A11" t="s">
        <v>0</v>
      </c>
      <c r="B11" t="s">
        <v>434</v>
      </c>
      <c r="C11">
        <v>5160001000</v>
      </c>
      <c r="D11" s="3" t="s">
        <v>6</v>
      </c>
      <c r="E11">
        <v>-107045.4</v>
      </c>
      <c r="F11" s="19" t="s">
        <v>77</v>
      </c>
      <c r="G11" s="55" t="s">
        <v>1012</v>
      </c>
      <c r="H11" s="48" t="s">
        <v>772</v>
      </c>
      <c r="I11" s="48" t="s">
        <v>992</v>
      </c>
      <c r="Q11" s="3">
        <f t="shared" si="0"/>
        <v>107045.4</v>
      </c>
    </row>
    <row r="12" spans="1:31" ht="37" customHeight="1" x14ac:dyDescent="0.35">
      <c r="A12" t="s">
        <v>0</v>
      </c>
      <c r="B12" t="s">
        <v>434</v>
      </c>
      <c r="C12">
        <v>5160001000</v>
      </c>
      <c r="D12" s="3" t="s">
        <v>6</v>
      </c>
      <c r="E12">
        <v>106819.63</v>
      </c>
      <c r="F12" s="19" t="s">
        <v>77</v>
      </c>
      <c r="G12" s="55" t="s">
        <v>1158</v>
      </c>
      <c r="H12" s="48" t="s">
        <v>78</v>
      </c>
      <c r="I12" s="48" t="s">
        <v>1163</v>
      </c>
      <c r="K12" s="48" t="s">
        <v>1164</v>
      </c>
      <c r="L12" t="s">
        <v>1165</v>
      </c>
      <c r="M12" s="48" t="s">
        <v>432</v>
      </c>
      <c r="Q12" s="3">
        <f t="shared" si="0"/>
        <v>106819.63</v>
      </c>
    </row>
    <row r="13" spans="1:31" ht="37" customHeight="1" x14ac:dyDescent="0.35">
      <c r="A13" t="s">
        <v>0</v>
      </c>
      <c r="B13" t="s">
        <v>431</v>
      </c>
      <c r="C13">
        <v>5160001000</v>
      </c>
      <c r="D13" s="3" t="s">
        <v>6</v>
      </c>
      <c r="E13">
        <v>92477.9</v>
      </c>
      <c r="F13" s="19" t="s">
        <v>77</v>
      </c>
      <c r="G13" s="55" t="s">
        <v>991</v>
      </c>
      <c r="H13" s="48" t="s">
        <v>772</v>
      </c>
      <c r="I13" s="48" t="s">
        <v>996</v>
      </c>
      <c r="Q13" s="3">
        <f t="shared" si="0"/>
        <v>92477.9</v>
      </c>
    </row>
    <row r="14" spans="1:31" ht="37" customHeight="1" x14ac:dyDescent="0.35">
      <c r="A14" t="s">
        <v>0</v>
      </c>
      <c r="B14" t="s">
        <v>431</v>
      </c>
      <c r="C14">
        <v>5160001000</v>
      </c>
      <c r="D14" s="3" t="s">
        <v>6</v>
      </c>
      <c r="E14">
        <v>-92477.9</v>
      </c>
      <c r="F14" s="19" t="s">
        <v>77</v>
      </c>
      <c r="G14" s="55" t="s">
        <v>1012</v>
      </c>
      <c r="H14" s="48" t="s">
        <v>772</v>
      </c>
      <c r="I14" s="48" t="s">
        <v>996</v>
      </c>
      <c r="Q14" s="3">
        <f t="shared" si="0"/>
        <v>92477.9</v>
      </c>
    </row>
    <row r="15" spans="1:31" ht="37" customHeight="1" x14ac:dyDescent="0.35">
      <c r="A15" t="s">
        <v>0</v>
      </c>
      <c r="B15" t="s">
        <v>431</v>
      </c>
      <c r="C15">
        <v>5160001000</v>
      </c>
      <c r="D15" s="3" t="s">
        <v>6</v>
      </c>
      <c r="E15">
        <v>92472.04</v>
      </c>
      <c r="F15" s="19" t="s">
        <v>77</v>
      </c>
      <c r="G15" s="55" t="s">
        <v>1158</v>
      </c>
      <c r="H15" s="48" t="s">
        <v>78</v>
      </c>
      <c r="I15" s="48" t="s">
        <v>1166</v>
      </c>
      <c r="K15" s="48" t="s">
        <v>1169</v>
      </c>
      <c r="L15" t="s">
        <v>1168</v>
      </c>
      <c r="M15" s="48" t="s">
        <v>432</v>
      </c>
      <c r="Q15" s="3">
        <f t="shared" si="0"/>
        <v>92472.04</v>
      </c>
    </row>
    <row r="16" spans="1:31" ht="37" customHeight="1" x14ac:dyDescent="0.35">
      <c r="A16" t="s">
        <v>0</v>
      </c>
      <c r="B16" t="s">
        <v>431</v>
      </c>
      <c r="C16">
        <v>5160001000</v>
      </c>
      <c r="D16" s="3" t="s">
        <v>6</v>
      </c>
      <c r="E16">
        <v>90772.74</v>
      </c>
      <c r="F16" s="19" t="s">
        <v>77</v>
      </c>
      <c r="G16" s="55" t="s">
        <v>991</v>
      </c>
      <c r="H16" s="48" t="s">
        <v>772</v>
      </c>
      <c r="I16" s="48" t="s">
        <v>994</v>
      </c>
      <c r="Q16" s="3">
        <f t="shared" si="0"/>
        <v>90772.74</v>
      </c>
    </row>
    <row r="17" spans="1:17" ht="37" customHeight="1" x14ac:dyDescent="0.35">
      <c r="A17" t="s">
        <v>0</v>
      </c>
      <c r="B17" t="s">
        <v>431</v>
      </c>
      <c r="C17">
        <v>5160001000</v>
      </c>
      <c r="D17" s="3" t="s">
        <v>6</v>
      </c>
      <c r="E17">
        <v>-90772.74</v>
      </c>
      <c r="F17" s="19" t="s">
        <v>77</v>
      </c>
      <c r="G17" s="55" t="s">
        <v>1012</v>
      </c>
      <c r="H17" s="48" t="s">
        <v>772</v>
      </c>
      <c r="I17" s="48" t="s">
        <v>994</v>
      </c>
      <c r="Q17" s="3">
        <f t="shared" si="0"/>
        <v>90772.74</v>
      </c>
    </row>
    <row r="18" spans="1:17" ht="37" customHeight="1" x14ac:dyDescent="0.35">
      <c r="A18" t="s">
        <v>0</v>
      </c>
      <c r="B18" t="s">
        <v>431</v>
      </c>
      <c r="C18">
        <v>5160001000</v>
      </c>
      <c r="D18" s="3" t="s">
        <v>6</v>
      </c>
      <c r="E18">
        <v>90766.96</v>
      </c>
      <c r="F18" s="19" t="s">
        <v>77</v>
      </c>
      <c r="G18" s="55" t="s">
        <v>1158</v>
      </c>
      <c r="H18" s="48" t="s">
        <v>78</v>
      </c>
      <c r="I18" s="48" t="s">
        <v>1170</v>
      </c>
      <c r="K18" s="48" t="s">
        <v>1171</v>
      </c>
      <c r="L18" t="s">
        <v>1172</v>
      </c>
      <c r="M18" s="48" t="s">
        <v>432</v>
      </c>
      <c r="Q18" s="3">
        <f t="shared" si="0"/>
        <v>90766.96</v>
      </c>
    </row>
    <row r="19" spans="1:17" ht="37" customHeight="1" x14ac:dyDescent="0.35">
      <c r="A19" t="s">
        <v>0</v>
      </c>
      <c r="B19" t="s">
        <v>434</v>
      </c>
      <c r="C19">
        <v>5160001000</v>
      </c>
      <c r="D19" s="3" t="s">
        <v>6</v>
      </c>
      <c r="E19">
        <v>66748.92</v>
      </c>
      <c r="F19" s="19" t="s">
        <v>77</v>
      </c>
      <c r="G19" s="55" t="s">
        <v>1208</v>
      </c>
      <c r="H19" s="48" t="s">
        <v>78</v>
      </c>
      <c r="I19" s="48" t="s">
        <v>1215</v>
      </c>
      <c r="K19" s="48" t="s">
        <v>1216</v>
      </c>
      <c r="L19" t="s">
        <v>1217</v>
      </c>
      <c r="M19" s="48" t="s">
        <v>1149</v>
      </c>
      <c r="Q19" s="3">
        <f t="shared" si="0"/>
        <v>66748.92</v>
      </c>
    </row>
    <row r="20" spans="1:17" ht="37" customHeight="1" x14ac:dyDescent="0.35">
      <c r="A20" t="s">
        <v>0</v>
      </c>
      <c r="B20" t="s">
        <v>362</v>
      </c>
      <c r="C20">
        <v>5160001000</v>
      </c>
      <c r="D20" s="3" t="s">
        <v>6</v>
      </c>
      <c r="E20">
        <v>-65000</v>
      </c>
      <c r="F20" s="19" t="s">
        <v>77</v>
      </c>
      <c r="G20" s="55" t="s">
        <v>871</v>
      </c>
      <c r="H20" s="48" t="s">
        <v>413</v>
      </c>
      <c r="I20" s="48" t="s">
        <v>436</v>
      </c>
      <c r="Q20" s="3">
        <f t="shared" si="0"/>
        <v>65000</v>
      </c>
    </row>
    <row r="21" spans="1:17" ht="37" customHeight="1" x14ac:dyDescent="0.35">
      <c r="A21" t="s">
        <v>0</v>
      </c>
      <c r="B21" t="s">
        <v>362</v>
      </c>
      <c r="C21">
        <v>5160001000</v>
      </c>
      <c r="D21" s="3" t="s">
        <v>6</v>
      </c>
      <c r="E21">
        <v>65000</v>
      </c>
      <c r="F21" s="19" t="s">
        <v>77</v>
      </c>
      <c r="G21" s="55" t="s">
        <v>991</v>
      </c>
      <c r="H21" s="48" t="s">
        <v>772</v>
      </c>
      <c r="I21" s="48" t="s">
        <v>436</v>
      </c>
      <c r="Q21" s="3">
        <f t="shared" si="0"/>
        <v>65000</v>
      </c>
    </row>
    <row r="22" spans="1:17" ht="37" customHeight="1" x14ac:dyDescent="0.35">
      <c r="A22" t="s">
        <v>0</v>
      </c>
      <c r="B22" t="s">
        <v>362</v>
      </c>
      <c r="C22">
        <v>5160001000</v>
      </c>
      <c r="D22" s="3" t="s">
        <v>6</v>
      </c>
      <c r="E22">
        <v>-65000</v>
      </c>
      <c r="F22" s="19" t="s">
        <v>77</v>
      </c>
      <c r="G22" s="55" t="s">
        <v>1012</v>
      </c>
      <c r="H22" s="48" t="s">
        <v>772</v>
      </c>
      <c r="I22" s="48" t="s">
        <v>436</v>
      </c>
      <c r="Q22" s="3">
        <f t="shared" si="0"/>
        <v>65000</v>
      </c>
    </row>
    <row r="23" spans="1:17" ht="37" customHeight="1" x14ac:dyDescent="0.35">
      <c r="A23" t="s">
        <v>0</v>
      </c>
      <c r="B23" t="s">
        <v>362</v>
      </c>
      <c r="C23">
        <v>5160001000</v>
      </c>
      <c r="D23" s="3" t="s">
        <v>6</v>
      </c>
      <c r="E23">
        <v>63705.66</v>
      </c>
      <c r="F23" s="19" t="s">
        <v>77</v>
      </c>
      <c r="G23" s="55" t="s">
        <v>1114</v>
      </c>
      <c r="H23" s="48" t="s">
        <v>78</v>
      </c>
      <c r="I23" s="48" t="s">
        <v>1146</v>
      </c>
      <c r="K23" s="48" t="s">
        <v>1147</v>
      </c>
      <c r="L23" t="s">
        <v>1148</v>
      </c>
      <c r="M23" s="48" t="s">
        <v>1149</v>
      </c>
      <c r="Q23" s="3">
        <f t="shared" si="0"/>
        <v>63705.66</v>
      </c>
    </row>
    <row r="24" spans="1:17" ht="37" customHeight="1" x14ac:dyDescent="0.35">
      <c r="A24" t="s">
        <v>0</v>
      </c>
      <c r="B24" t="s">
        <v>434</v>
      </c>
      <c r="C24">
        <v>5160001000</v>
      </c>
      <c r="D24" s="3" t="s">
        <v>6</v>
      </c>
      <c r="E24">
        <v>-61340.4</v>
      </c>
      <c r="F24" s="19" t="s">
        <v>77</v>
      </c>
      <c r="G24" s="55" t="s">
        <v>871</v>
      </c>
      <c r="H24" s="48" t="s">
        <v>413</v>
      </c>
      <c r="I24" s="48" t="s">
        <v>437</v>
      </c>
      <c r="Q24" s="3">
        <f t="shared" si="0"/>
        <v>61340.4</v>
      </c>
    </row>
    <row r="25" spans="1:17" ht="37" customHeight="1" x14ac:dyDescent="0.35">
      <c r="A25" t="s">
        <v>0</v>
      </c>
      <c r="B25" t="s">
        <v>434</v>
      </c>
      <c r="C25">
        <v>5160001000</v>
      </c>
      <c r="D25" s="3" t="s">
        <v>6</v>
      </c>
      <c r="E25">
        <v>61211.03</v>
      </c>
      <c r="F25" s="19" t="s">
        <v>77</v>
      </c>
      <c r="G25" s="55" t="s">
        <v>872</v>
      </c>
      <c r="H25" s="48" t="s">
        <v>78</v>
      </c>
      <c r="I25" s="48" t="s">
        <v>887</v>
      </c>
      <c r="K25" s="48" t="s">
        <v>888</v>
      </c>
      <c r="L25" t="s">
        <v>889</v>
      </c>
      <c r="M25" s="48" t="s">
        <v>432</v>
      </c>
      <c r="Q25" s="3">
        <f t="shared" si="0"/>
        <v>61211.03</v>
      </c>
    </row>
    <row r="26" spans="1:17" ht="37" customHeight="1" x14ac:dyDescent="0.35">
      <c r="A26" t="s">
        <v>0</v>
      </c>
      <c r="B26" t="s">
        <v>434</v>
      </c>
      <c r="C26">
        <v>5160001000</v>
      </c>
      <c r="D26" s="3" t="s">
        <v>6</v>
      </c>
      <c r="E26">
        <v>-34777.19</v>
      </c>
      <c r="F26" s="19" t="s">
        <v>77</v>
      </c>
      <c r="G26" s="55" t="s">
        <v>871</v>
      </c>
      <c r="H26" s="48" t="s">
        <v>413</v>
      </c>
      <c r="I26" s="48" t="s">
        <v>413</v>
      </c>
      <c r="Q26" s="3">
        <f t="shared" si="0"/>
        <v>34777.19</v>
      </c>
    </row>
    <row r="27" spans="1:17" ht="37" customHeight="1" x14ac:dyDescent="0.35">
      <c r="A27" t="s">
        <v>0</v>
      </c>
      <c r="B27" t="s">
        <v>434</v>
      </c>
      <c r="C27">
        <v>5160001000</v>
      </c>
      <c r="D27" s="3" t="s">
        <v>6</v>
      </c>
      <c r="E27">
        <v>34703.839999999997</v>
      </c>
      <c r="F27" s="19" t="s">
        <v>77</v>
      </c>
      <c r="G27" s="55" t="s">
        <v>872</v>
      </c>
      <c r="H27" s="48" t="s">
        <v>78</v>
      </c>
      <c r="I27" s="48" t="s">
        <v>893</v>
      </c>
      <c r="K27" s="48" t="s">
        <v>894</v>
      </c>
      <c r="L27" t="s">
        <v>895</v>
      </c>
      <c r="M27" s="48" t="s">
        <v>106</v>
      </c>
      <c r="Q27" s="3">
        <f t="shared" si="0"/>
        <v>34703.839999999997</v>
      </c>
    </row>
    <row r="28" spans="1:17" ht="37" customHeight="1" x14ac:dyDescent="0.35">
      <c r="A28" t="s">
        <v>0</v>
      </c>
      <c r="B28" t="s">
        <v>434</v>
      </c>
      <c r="C28">
        <v>5160001000</v>
      </c>
      <c r="D28" s="3" t="s">
        <v>6</v>
      </c>
      <c r="E28">
        <v>34650</v>
      </c>
      <c r="F28" s="19" t="s">
        <v>77</v>
      </c>
      <c r="G28" s="55" t="s">
        <v>991</v>
      </c>
      <c r="H28" s="48" t="s">
        <v>772</v>
      </c>
      <c r="I28" s="48" t="s">
        <v>576</v>
      </c>
      <c r="Q28" s="3">
        <f t="shared" si="0"/>
        <v>34650</v>
      </c>
    </row>
    <row r="29" spans="1:17" ht="37" customHeight="1" x14ac:dyDescent="0.35">
      <c r="A29" t="s">
        <v>0</v>
      </c>
      <c r="B29" t="s">
        <v>434</v>
      </c>
      <c r="C29">
        <v>5160001000</v>
      </c>
      <c r="D29" s="3" t="s">
        <v>6</v>
      </c>
      <c r="E29">
        <v>-34650</v>
      </c>
      <c r="F29" s="19" t="s">
        <v>77</v>
      </c>
      <c r="G29" s="55" t="s">
        <v>1012</v>
      </c>
      <c r="H29" s="48" t="s">
        <v>772</v>
      </c>
      <c r="I29" s="48" t="s">
        <v>576</v>
      </c>
      <c r="Q29" s="3">
        <f t="shared" si="0"/>
        <v>34650</v>
      </c>
    </row>
    <row r="30" spans="1:17" ht="37" customHeight="1" x14ac:dyDescent="0.35">
      <c r="A30" t="s">
        <v>0</v>
      </c>
      <c r="B30" t="s">
        <v>438</v>
      </c>
      <c r="C30">
        <v>5160001000</v>
      </c>
      <c r="D30" s="3" t="s">
        <v>6</v>
      </c>
      <c r="E30">
        <v>32997.9</v>
      </c>
      <c r="F30" s="19" t="s">
        <v>77</v>
      </c>
      <c r="G30" s="55" t="s">
        <v>1012</v>
      </c>
      <c r="H30" s="48" t="s">
        <v>78</v>
      </c>
      <c r="I30" s="48" t="s">
        <v>1013</v>
      </c>
      <c r="K30" s="48" t="s">
        <v>1014</v>
      </c>
      <c r="L30">
        <v>4001932</v>
      </c>
      <c r="M30" s="48" t="s">
        <v>1015</v>
      </c>
      <c r="Q30" s="3">
        <f t="shared" si="0"/>
        <v>32997.9</v>
      </c>
    </row>
    <row r="31" spans="1:17" ht="37" customHeight="1" x14ac:dyDescent="0.35">
      <c r="A31" t="s">
        <v>0</v>
      </c>
      <c r="B31" t="s">
        <v>431</v>
      </c>
      <c r="C31">
        <v>5160001000</v>
      </c>
      <c r="D31" s="3" t="s">
        <v>6</v>
      </c>
      <c r="E31">
        <v>-30051</v>
      </c>
      <c r="F31" s="19" t="s">
        <v>77</v>
      </c>
      <c r="G31" s="55" t="s">
        <v>871</v>
      </c>
      <c r="H31" s="48" t="s">
        <v>413</v>
      </c>
      <c r="I31" s="48" t="s">
        <v>441</v>
      </c>
      <c r="Q31" s="3">
        <f t="shared" si="0"/>
        <v>30051</v>
      </c>
    </row>
    <row r="32" spans="1:17" ht="37" customHeight="1" x14ac:dyDescent="0.35">
      <c r="A32" t="s">
        <v>0</v>
      </c>
      <c r="B32" t="s">
        <v>431</v>
      </c>
      <c r="C32">
        <v>5160001000</v>
      </c>
      <c r="D32" s="3" t="s">
        <v>6</v>
      </c>
      <c r="E32">
        <v>30048.799999999999</v>
      </c>
      <c r="F32" s="19" t="s">
        <v>77</v>
      </c>
      <c r="G32" s="55" t="s">
        <v>991</v>
      </c>
      <c r="H32" s="48" t="s">
        <v>772</v>
      </c>
      <c r="I32" s="48" t="s">
        <v>993</v>
      </c>
      <c r="Q32" s="3">
        <f t="shared" si="0"/>
        <v>30048.799999999999</v>
      </c>
    </row>
    <row r="33" spans="1:17" ht="37" customHeight="1" x14ac:dyDescent="0.35">
      <c r="A33" t="s">
        <v>0</v>
      </c>
      <c r="B33" t="s">
        <v>431</v>
      </c>
      <c r="C33">
        <v>5160001000</v>
      </c>
      <c r="D33" s="3" t="s">
        <v>6</v>
      </c>
      <c r="E33">
        <v>-30048.799999999999</v>
      </c>
      <c r="F33" s="19" t="s">
        <v>77</v>
      </c>
      <c r="G33" s="55" t="s">
        <v>1012</v>
      </c>
      <c r="H33" s="48" t="s">
        <v>772</v>
      </c>
      <c r="I33" s="48" t="s">
        <v>993</v>
      </c>
      <c r="Q33" s="3">
        <f t="shared" si="0"/>
        <v>30048.799999999999</v>
      </c>
    </row>
    <row r="34" spans="1:17" ht="37" customHeight="1" x14ac:dyDescent="0.35">
      <c r="A34" t="s">
        <v>0</v>
      </c>
      <c r="B34" t="s">
        <v>431</v>
      </c>
      <c r="C34">
        <v>5160001000</v>
      </c>
      <c r="D34" s="3" t="s">
        <v>6</v>
      </c>
      <c r="E34">
        <v>30046.89</v>
      </c>
      <c r="F34" s="19" t="s">
        <v>77</v>
      </c>
      <c r="G34" s="55" t="s">
        <v>1114</v>
      </c>
      <c r="H34" s="48" t="s">
        <v>78</v>
      </c>
      <c r="I34" s="48" t="s">
        <v>1140</v>
      </c>
      <c r="K34" s="48" t="s">
        <v>1141</v>
      </c>
      <c r="L34" t="s">
        <v>1142</v>
      </c>
      <c r="M34" s="48" t="s">
        <v>432</v>
      </c>
      <c r="Q34" s="3">
        <f t="shared" si="0"/>
        <v>30046.89</v>
      </c>
    </row>
    <row r="35" spans="1:17" ht="37" customHeight="1" x14ac:dyDescent="0.35">
      <c r="A35" t="s">
        <v>27</v>
      </c>
      <c r="B35" t="s">
        <v>350</v>
      </c>
      <c r="C35">
        <v>5160001000</v>
      </c>
      <c r="D35" s="3" t="s">
        <v>6</v>
      </c>
      <c r="E35">
        <v>29899.45</v>
      </c>
      <c r="F35" s="19" t="s">
        <v>77</v>
      </c>
      <c r="G35" s="55" t="s">
        <v>1208</v>
      </c>
      <c r="H35" s="48" t="s">
        <v>78</v>
      </c>
      <c r="I35" s="48" t="s">
        <v>1530</v>
      </c>
      <c r="K35" s="48" t="s">
        <v>440</v>
      </c>
      <c r="L35" t="s">
        <v>1531</v>
      </c>
      <c r="M35" s="48" t="s">
        <v>439</v>
      </c>
      <c r="Q35" s="3">
        <f t="shared" si="0"/>
        <v>29899.45</v>
      </c>
    </row>
    <row r="36" spans="1:17" ht="37" customHeight="1" x14ac:dyDescent="0.35">
      <c r="A36" t="s">
        <v>0</v>
      </c>
      <c r="B36" t="s">
        <v>434</v>
      </c>
      <c r="C36">
        <v>5160001000</v>
      </c>
      <c r="D36" s="3" t="s">
        <v>6</v>
      </c>
      <c r="E36">
        <v>-29636.06</v>
      </c>
      <c r="F36" s="19" t="s">
        <v>77</v>
      </c>
      <c r="G36" s="55" t="s">
        <v>871</v>
      </c>
      <c r="H36" s="48" t="s">
        <v>413</v>
      </c>
      <c r="I36" s="48" t="s">
        <v>442</v>
      </c>
      <c r="Q36" s="3">
        <f t="shared" si="0"/>
        <v>29636.06</v>
      </c>
    </row>
    <row r="37" spans="1:17" ht="37" customHeight="1" x14ac:dyDescent="0.35">
      <c r="A37" t="s">
        <v>0</v>
      </c>
      <c r="B37" t="s">
        <v>434</v>
      </c>
      <c r="C37">
        <v>5160001000</v>
      </c>
      <c r="D37" s="3" t="s">
        <v>6</v>
      </c>
      <c r="E37">
        <v>29573.55</v>
      </c>
      <c r="F37" s="19" t="s">
        <v>77</v>
      </c>
      <c r="G37" s="55" t="s">
        <v>872</v>
      </c>
      <c r="H37" s="48" t="s">
        <v>78</v>
      </c>
      <c r="I37" s="48" t="s">
        <v>899</v>
      </c>
      <c r="K37" s="48" t="s">
        <v>900</v>
      </c>
      <c r="L37" t="s">
        <v>901</v>
      </c>
      <c r="M37" s="48" t="s">
        <v>106</v>
      </c>
      <c r="Q37" s="3">
        <f t="shared" si="0"/>
        <v>29573.55</v>
      </c>
    </row>
    <row r="38" spans="1:17" ht="37" customHeight="1" x14ac:dyDescent="0.35">
      <c r="A38" t="s">
        <v>0</v>
      </c>
      <c r="B38" t="s">
        <v>434</v>
      </c>
      <c r="C38">
        <v>5160001000</v>
      </c>
      <c r="D38" s="3" t="s">
        <v>6</v>
      </c>
      <c r="E38">
        <v>-27500</v>
      </c>
      <c r="F38" s="19" t="s">
        <v>77</v>
      </c>
      <c r="G38" s="55" t="s">
        <v>871</v>
      </c>
      <c r="H38" s="48" t="s">
        <v>413</v>
      </c>
      <c r="I38" s="48" t="s">
        <v>443</v>
      </c>
      <c r="Q38" s="3">
        <f t="shared" si="0"/>
        <v>27500</v>
      </c>
    </row>
    <row r="39" spans="1:17" ht="37" customHeight="1" x14ac:dyDescent="0.35">
      <c r="A39" t="s">
        <v>0</v>
      </c>
      <c r="B39" t="s">
        <v>434</v>
      </c>
      <c r="C39">
        <v>5160001000</v>
      </c>
      <c r="D39" s="3" t="s">
        <v>6</v>
      </c>
      <c r="E39">
        <v>27500</v>
      </c>
      <c r="F39" s="19" t="s">
        <v>77</v>
      </c>
      <c r="G39" s="55" t="s">
        <v>991</v>
      </c>
      <c r="H39" s="48" t="s">
        <v>772</v>
      </c>
      <c r="I39" s="48" t="s">
        <v>443</v>
      </c>
      <c r="Q39" s="3">
        <f t="shared" si="0"/>
        <v>27500</v>
      </c>
    </row>
    <row r="40" spans="1:17" ht="37" customHeight="1" x14ac:dyDescent="0.35">
      <c r="A40" t="s">
        <v>0</v>
      </c>
      <c r="B40" t="s">
        <v>434</v>
      </c>
      <c r="C40">
        <v>5160001000</v>
      </c>
      <c r="D40" s="3" t="s">
        <v>6</v>
      </c>
      <c r="E40">
        <v>-27500</v>
      </c>
      <c r="F40" s="19" t="s">
        <v>77</v>
      </c>
      <c r="G40" s="55" t="s">
        <v>1012</v>
      </c>
      <c r="H40" s="48" t="s">
        <v>772</v>
      </c>
      <c r="I40" s="48" t="s">
        <v>443</v>
      </c>
      <c r="Q40" s="3">
        <f t="shared" si="0"/>
        <v>27500</v>
      </c>
    </row>
    <row r="41" spans="1:17" ht="37" customHeight="1" x14ac:dyDescent="0.35">
      <c r="A41" t="s">
        <v>0</v>
      </c>
      <c r="B41" t="s">
        <v>434</v>
      </c>
      <c r="C41">
        <v>5160001000</v>
      </c>
      <c r="D41" s="3" t="s">
        <v>6</v>
      </c>
      <c r="E41">
        <v>-25930.77</v>
      </c>
      <c r="F41" s="19" t="s">
        <v>77</v>
      </c>
      <c r="G41" s="55" t="s">
        <v>871</v>
      </c>
      <c r="H41" s="48" t="s">
        <v>413</v>
      </c>
      <c r="I41" s="48" t="s">
        <v>445</v>
      </c>
      <c r="Q41" s="3">
        <f t="shared" si="0"/>
        <v>25930.77</v>
      </c>
    </row>
    <row r="42" spans="1:17" ht="37" customHeight="1" x14ac:dyDescent="0.35">
      <c r="A42" t="s">
        <v>0</v>
      </c>
      <c r="B42" t="s">
        <v>434</v>
      </c>
      <c r="C42">
        <v>5160001000</v>
      </c>
      <c r="D42" s="3" t="s">
        <v>6</v>
      </c>
      <c r="E42">
        <v>-25926.48</v>
      </c>
      <c r="F42" s="19" t="s">
        <v>77</v>
      </c>
      <c r="G42" s="55" t="s">
        <v>871</v>
      </c>
      <c r="H42" s="48" t="s">
        <v>413</v>
      </c>
      <c r="I42" s="48" t="s">
        <v>446</v>
      </c>
      <c r="Q42" s="3">
        <f t="shared" si="0"/>
        <v>25926.48</v>
      </c>
    </row>
    <row r="43" spans="1:17" ht="37" customHeight="1" x14ac:dyDescent="0.35">
      <c r="A43" t="s">
        <v>0</v>
      </c>
      <c r="B43" t="s">
        <v>434</v>
      </c>
      <c r="C43">
        <v>5160001000</v>
      </c>
      <c r="D43" s="3" t="s">
        <v>6</v>
      </c>
      <c r="E43">
        <v>25876.080000000002</v>
      </c>
      <c r="F43" s="19" t="s">
        <v>77</v>
      </c>
      <c r="G43" s="55" t="s">
        <v>872</v>
      </c>
      <c r="H43" s="48" t="s">
        <v>78</v>
      </c>
      <c r="I43" s="48" t="s">
        <v>902</v>
      </c>
      <c r="K43" s="48" t="s">
        <v>903</v>
      </c>
      <c r="L43" t="s">
        <v>904</v>
      </c>
      <c r="M43" s="48" t="s">
        <v>106</v>
      </c>
      <c r="Q43" s="3">
        <f t="shared" si="0"/>
        <v>25876.080000000002</v>
      </c>
    </row>
    <row r="44" spans="1:17" ht="37" customHeight="1" x14ac:dyDescent="0.35">
      <c r="A44" t="s">
        <v>0</v>
      </c>
      <c r="B44" t="s">
        <v>434</v>
      </c>
      <c r="C44">
        <v>5160001000</v>
      </c>
      <c r="D44" s="3" t="s">
        <v>6</v>
      </c>
      <c r="E44">
        <v>25871.8</v>
      </c>
      <c r="F44" s="19" t="s">
        <v>77</v>
      </c>
      <c r="G44" s="55" t="s">
        <v>872</v>
      </c>
      <c r="H44" s="48" t="s">
        <v>78</v>
      </c>
      <c r="I44" s="48" t="s">
        <v>896</v>
      </c>
      <c r="K44" s="48" t="s">
        <v>897</v>
      </c>
      <c r="L44" t="s">
        <v>898</v>
      </c>
      <c r="M44" s="48" t="s">
        <v>106</v>
      </c>
      <c r="Q44" s="3">
        <f t="shared" si="0"/>
        <v>25871.8</v>
      </c>
    </row>
    <row r="45" spans="1:17" ht="37" customHeight="1" x14ac:dyDescent="0.35">
      <c r="A45" t="s">
        <v>0</v>
      </c>
      <c r="B45" t="s">
        <v>431</v>
      </c>
      <c r="C45">
        <v>5160001000</v>
      </c>
      <c r="D45" s="3" t="s">
        <v>6</v>
      </c>
      <c r="E45">
        <v>24637.95</v>
      </c>
      <c r="F45" s="19" t="s">
        <v>77</v>
      </c>
      <c r="G45" s="55" t="s">
        <v>991</v>
      </c>
      <c r="H45" s="48" t="s">
        <v>772</v>
      </c>
      <c r="I45" s="48" t="s">
        <v>997</v>
      </c>
      <c r="Q45" s="3">
        <f t="shared" si="0"/>
        <v>24637.95</v>
      </c>
    </row>
    <row r="46" spans="1:17" ht="37" customHeight="1" x14ac:dyDescent="0.35">
      <c r="A46" t="s">
        <v>0</v>
      </c>
      <c r="B46" t="s">
        <v>431</v>
      </c>
      <c r="C46">
        <v>5160001000</v>
      </c>
      <c r="D46" s="3" t="s">
        <v>6</v>
      </c>
      <c r="E46">
        <v>-24637.95</v>
      </c>
      <c r="F46" s="19" t="s">
        <v>77</v>
      </c>
      <c r="G46" s="55" t="s">
        <v>1012</v>
      </c>
      <c r="H46" s="48" t="s">
        <v>772</v>
      </c>
      <c r="I46" s="48" t="s">
        <v>997</v>
      </c>
      <c r="Q46" s="3">
        <f t="shared" si="0"/>
        <v>24637.95</v>
      </c>
    </row>
    <row r="47" spans="1:17" ht="37" customHeight="1" x14ac:dyDescent="0.35">
      <c r="A47" t="s">
        <v>0</v>
      </c>
      <c r="B47" t="s">
        <v>434</v>
      </c>
      <c r="C47">
        <v>5160001000</v>
      </c>
      <c r="D47" s="3" t="s">
        <v>6</v>
      </c>
      <c r="E47">
        <v>-24062.5</v>
      </c>
      <c r="F47" s="19" t="s">
        <v>77</v>
      </c>
      <c r="G47" s="55" t="s">
        <v>871</v>
      </c>
      <c r="H47" s="48" t="s">
        <v>413</v>
      </c>
      <c r="I47" s="48" t="s">
        <v>447</v>
      </c>
      <c r="Q47" s="3">
        <f t="shared" si="0"/>
        <v>24062.5</v>
      </c>
    </row>
    <row r="48" spans="1:17" ht="37" customHeight="1" x14ac:dyDescent="0.35">
      <c r="A48" t="s">
        <v>0</v>
      </c>
      <c r="B48" t="s">
        <v>431</v>
      </c>
      <c r="C48">
        <v>5160001000</v>
      </c>
      <c r="D48" s="3" t="s">
        <v>6</v>
      </c>
      <c r="E48">
        <v>-24062.5</v>
      </c>
      <c r="F48" s="19" t="s">
        <v>77</v>
      </c>
      <c r="G48" s="55" t="s">
        <v>871</v>
      </c>
      <c r="H48" s="48" t="s">
        <v>413</v>
      </c>
      <c r="I48" s="48" t="s">
        <v>448</v>
      </c>
      <c r="Q48" s="3">
        <f t="shared" si="0"/>
        <v>24062.5</v>
      </c>
    </row>
    <row r="49" spans="1:17" ht="37" customHeight="1" x14ac:dyDescent="0.35">
      <c r="A49" t="s">
        <v>0</v>
      </c>
      <c r="B49" t="s">
        <v>431</v>
      </c>
      <c r="C49">
        <v>5160001000</v>
      </c>
      <c r="D49" s="3" t="s">
        <v>6</v>
      </c>
      <c r="E49">
        <v>24062.5</v>
      </c>
      <c r="F49" s="19" t="s">
        <v>77</v>
      </c>
      <c r="G49" s="55" t="s">
        <v>991</v>
      </c>
      <c r="H49" s="48" t="s">
        <v>772</v>
      </c>
      <c r="I49" s="48" t="s">
        <v>448</v>
      </c>
      <c r="Q49" s="3">
        <f t="shared" si="0"/>
        <v>24062.5</v>
      </c>
    </row>
    <row r="50" spans="1:17" ht="37" customHeight="1" x14ac:dyDescent="0.35">
      <c r="A50" t="s">
        <v>0</v>
      </c>
      <c r="B50" t="s">
        <v>431</v>
      </c>
      <c r="C50">
        <v>5160001000</v>
      </c>
      <c r="D50" s="3" t="s">
        <v>6</v>
      </c>
      <c r="E50">
        <v>-24062.5</v>
      </c>
      <c r="F50" s="19" t="s">
        <v>77</v>
      </c>
      <c r="G50" s="55" t="s">
        <v>1012</v>
      </c>
      <c r="H50" s="48" t="s">
        <v>772</v>
      </c>
      <c r="I50" s="48" t="s">
        <v>448</v>
      </c>
      <c r="Q50" s="3">
        <f t="shared" si="0"/>
        <v>24062.5</v>
      </c>
    </row>
    <row r="51" spans="1:17" ht="37" customHeight="1" x14ac:dyDescent="0.35">
      <c r="A51" t="s">
        <v>0</v>
      </c>
      <c r="B51" t="s">
        <v>431</v>
      </c>
      <c r="C51">
        <v>5160001000</v>
      </c>
      <c r="D51" s="3" t="s">
        <v>6</v>
      </c>
      <c r="E51">
        <v>24060.97</v>
      </c>
      <c r="F51" s="19" t="s">
        <v>77</v>
      </c>
      <c r="G51" s="55" t="s">
        <v>1041</v>
      </c>
      <c r="H51" s="48" t="s">
        <v>78</v>
      </c>
      <c r="I51" s="48" t="s">
        <v>1059</v>
      </c>
      <c r="K51" s="48" t="s">
        <v>1060</v>
      </c>
      <c r="L51" t="s">
        <v>1061</v>
      </c>
      <c r="M51" s="48" t="s">
        <v>449</v>
      </c>
      <c r="Q51" s="3">
        <f t="shared" si="0"/>
        <v>24060.97</v>
      </c>
    </row>
    <row r="52" spans="1:17" ht="37" customHeight="1" x14ac:dyDescent="0.35">
      <c r="A52" t="s">
        <v>0</v>
      </c>
      <c r="B52" t="s">
        <v>431</v>
      </c>
      <c r="C52">
        <v>5160001000</v>
      </c>
      <c r="D52" s="3" t="s">
        <v>6</v>
      </c>
      <c r="E52">
        <v>24060.97</v>
      </c>
      <c r="F52" s="19" t="s">
        <v>77</v>
      </c>
      <c r="G52" s="55" t="s">
        <v>1221</v>
      </c>
      <c r="H52" s="48" t="s">
        <v>78</v>
      </c>
      <c r="I52" s="48" t="s">
        <v>1239</v>
      </c>
      <c r="K52" s="48" t="s">
        <v>448</v>
      </c>
      <c r="L52" t="s">
        <v>1070</v>
      </c>
      <c r="M52" s="48" t="s">
        <v>449</v>
      </c>
      <c r="Q52" s="3">
        <f t="shared" si="0"/>
        <v>24060.97</v>
      </c>
    </row>
    <row r="53" spans="1:17" ht="37" customHeight="1" x14ac:dyDescent="0.35">
      <c r="A53" t="s">
        <v>0</v>
      </c>
      <c r="B53" t="s">
        <v>431</v>
      </c>
      <c r="C53">
        <v>5160001000</v>
      </c>
      <c r="D53" s="3" t="s">
        <v>6</v>
      </c>
      <c r="E53">
        <v>24060.97</v>
      </c>
      <c r="F53" s="19" t="s">
        <v>77</v>
      </c>
      <c r="G53" s="55" t="s">
        <v>1221</v>
      </c>
      <c r="H53" s="48" t="s">
        <v>78</v>
      </c>
      <c r="I53" s="48" t="s">
        <v>1243</v>
      </c>
      <c r="K53" s="48" t="s">
        <v>1244</v>
      </c>
      <c r="L53" t="s">
        <v>1245</v>
      </c>
      <c r="M53" s="48" t="s">
        <v>449</v>
      </c>
      <c r="Q53" s="3">
        <f t="shared" si="0"/>
        <v>24060.97</v>
      </c>
    </row>
    <row r="54" spans="1:17" ht="37" customHeight="1" x14ac:dyDescent="0.35">
      <c r="A54" t="s">
        <v>0</v>
      </c>
      <c r="B54" t="s">
        <v>434</v>
      </c>
      <c r="C54">
        <v>5160001000</v>
      </c>
      <c r="D54" s="3" t="s">
        <v>6</v>
      </c>
      <c r="E54">
        <v>24011.75</v>
      </c>
      <c r="F54" s="19" t="s">
        <v>77</v>
      </c>
      <c r="G54" s="55" t="s">
        <v>930</v>
      </c>
      <c r="H54" s="48" t="s">
        <v>78</v>
      </c>
      <c r="I54" s="48" t="s">
        <v>934</v>
      </c>
      <c r="K54" s="48" t="s">
        <v>935</v>
      </c>
      <c r="L54" t="s">
        <v>936</v>
      </c>
      <c r="M54" s="48" t="s">
        <v>449</v>
      </c>
      <c r="Q54" s="3">
        <f t="shared" si="0"/>
        <v>24011.75</v>
      </c>
    </row>
    <row r="55" spans="1:17" ht="37" customHeight="1" x14ac:dyDescent="0.35">
      <c r="A55" t="s">
        <v>0</v>
      </c>
      <c r="B55" t="s">
        <v>434</v>
      </c>
      <c r="C55">
        <v>5160001000</v>
      </c>
      <c r="D55" s="3" t="s">
        <v>6</v>
      </c>
      <c r="E55">
        <v>24011.75</v>
      </c>
      <c r="F55" s="19" t="s">
        <v>77</v>
      </c>
      <c r="G55" s="55" t="s">
        <v>1264</v>
      </c>
      <c r="H55" s="48" t="s">
        <v>78</v>
      </c>
      <c r="I55" s="48" t="s">
        <v>1290</v>
      </c>
      <c r="K55" s="48" t="s">
        <v>1291</v>
      </c>
      <c r="L55" t="s">
        <v>1292</v>
      </c>
      <c r="M55" s="48" t="s">
        <v>449</v>
      </c>
      <c r="Q55" s="3">
        <f t="shared" si="0"/>
        <v>24011.75</v>
      </c>
    </row>
    <row r="56" spans="1:17" ht="37" customHeight="1" x14ac:dyDescent="0.35">
      <c r="A56" t="s">
        <v>0</v>
      </c>
      <c r="B56" t="s">
        <v>431</v>
      </c>
      <c r="C56">
        <v>5160001000</v>
      </c>
      <c r="D56" s="3" t="s">
        <v>6</v>
      </c>
      <c r="E56">
        <v>21723.03</v>
      </c>
      <c r="F56" s="19" t="s">
        <v>77</v>
      </c>
      <c r="G56" s="55" t="s">
        <v>1158</v>
      </c>
      <c r="H56" s="48" t="s">
        <v>78</v>
      </c>
      <c r="I56" s="48" t="s">
        <v>1159</v>
      </c>
      <c r="K56" s="48" t="s">
        <v>1162</v>
      </c>
      <c r="L56" t="s">
        <v>1161</v>
      </c>
      <c r="M56" s="48" t="s">
        <v>432</v>
      </c>
      <c r="Q56" s="3">
        <f t="shared" si="0"/>
        <v>21723.03</v>
      </c>
    </row>
    <row r="57" spans="1:17" ht="37" customHeight="1" x14ac:dyDescent="0.35">
      <c r="A57" t="s">
        <v>27</v>
      </c>
      <c r="B57" t="s">
        <v>1496</v>
      </c>
      <c r="C57">
        <v>5160001000</v>
      </c>
      <c r="D57" s="3" t="s">
        <v>6</v>
      </c>
      <c r="E57">
        <v>19550.68</v>
      </c>
      <c r="F57" s="19" t="s">
        <v>77</v>
      </c>
      <c r="G57" s="55" t="s">
        <v>1090</v>
      </c>
      <c r="H57" s="48" t="s">
        <v>78</v>
      </c>
      <c r="I57" s="48" t="s">
        <v>1497</v>
      </c>
      <c r="K57" s="48" t="s">
        <v>1498</v>
      </c>
      <c r="L57">
        <v>79885</v>
      </c>
      <c r="M57" s="48" t="s">
        <v>1499</v>
      </c>
      <c r="Q57" s="3">
        <f t="shared" si="0"/>
        <v>19550.68</v>
      </c>
    </row>
    <row r="58" spans="1:17" ht="37" customHeight="1" x14ac:dyDescent="0.35">
      <c r="A58" t="s">
        <v>27</v>
      </c>
      <c r="B58" t="s">
        <v>1496</v>
      </c>
      <c r="C58">
        <v>5160001000</v>
      </c>
      <c r="D58" s="3" t="s">
        <v>6</v>
      </c>
      <c r="E58">
        <v>-19550.68</v>
      </c>
      <c r="F58" s="19" t="s">
        <v>77</v>
      </c>
      <c r="G58" s="55" t="s">
        <v>1175</v>
      </c>
      <c r="H58" s="48" t="s">
        <v>78</v>
      </c>
      <c r="I58" s="48" t="s">
        <v>1497</v>
      </c>
      <c r="K58" s="48" t="s">
        <v>1498</v>
      </c>
      <c r="L58">
        <v>79885</v>
      </c>
      <c r="M58" s="48" t="s">
        <v>1499</v>
      </c>
      <c r="Q58" s="3">
        <f t="shared" si="0"/>
        <v>19550.68</v>
      </c>
    </row>
    <row r="59" spans="1:17" ht="37" customHeight="1" x14ac:dyDescent="0.35">
      <c r="A59" t="s">
        <v>0</v>
      </c>
      <c r="B59" t="s">
        <v>434</v>
      </c>
      <c r="C59">
        <v>5160001000</v>
      </c>
      <c r="D59" s="3" t="s">
        <v>6</v>
      </c>
      <c r="E59">
        <v>-18700</v>
      </c>
      <c r="F59" s="19" t="s">
        <v>77</v>
      </c>
      <c r="G59" s="55" t="s">
        <v>871</v>
      </c>
      <c r="H59" s="48" t="s">
        <v>413</v>
      </c>
      <c r="I59" s="48" t="s">
        <v>451</v>
      </c>
      <c r="Q59" s="3">
        <f t="shared" si="0"/>
        <v>18700</v>
      </c>
    </row>
    <row r="60" spans="1:17" ht="37" customHeight="1" x14ac:dyDescent="0.35">
      <c r="A60" t="s">
        <v>0</v>
      </c>
      <c r="B60" t="s">
        <v>431</v>
      </c>
      <c r="C60">
        <v>5160001000</v>
      </c>
      <c r="D60" s="3" t="s">
        <v>6</v>
      </c>
      <c r="E60">
        <v>17158.91</v>
      </c>
      <c r="F60" s="19" t="s">
        <v>77</v>
      </c>
      <c r="G60" s="55" t="s">
        <v>1041</v>
      </c>
      <c r="H60" s="48" t="s">
        <v>78</v>
      </c>
      <c r="I60" s="48" t="s">
        <v>1062</v>
      </c>
      <c r="K60" s="48" t="s">
        <v>1063</v>
      </c>
      <c r="L60" t="s">
        <v>1064</v>
      </c>
      <c r="M60" s="48" t="s">
        <v>121</v>
      </c>
      <c r="Q60" s="3">
        <f t="shared" si="0"/>
        <v>17158.91</v>
      </c>
    </row>
    <row r="61" spans="1:17" ht="37" customHeight="1" x14ac:dyDescent="0.35">
      <c r="A61" t="s">
        <v>0</v>
      </c>
      <c r="B61" t="s">
        <v>434</v>
      </c>
      <c r="C61">
        <v>5160001000</v>
      </c>
      <c r="D61" s="3" t="s">
        <v>6</v>
      </c>
      <c r="E61">
        <v>-15812.5</v>
      </c>
      <c r="F61" s="19" t="s">
        <v>77</v>
      </c>
      <c r="G61" s="55" t="s">
        <v>871</v>
      </c>
      <c r="H61" s="48" t="s">
        <v>413</v>
      </c>
      <c r="I61" s="48" t="s">
        <v>452</v>
      </c>
      <c r="Q61" s="3">
        <f t="shared" si="0"/>
        <v>15812.5</v>
      </c>
    </row>
    <row r="62" spans="1:17" ht="37" customHeight="1" x14ac:dyDescent="0.35">
      <c r="A62" t="s">
        <v>0</v>
      </c>
      <c r="B62" t="s">
        <v>431</v>
      </c>
      <c r="C62">
        <v>5160001000</v>
      </c>
      <c r="D62" s="3" t="s">
        <v>6</v>
      </c>
      <c r="E62">
        <v>-15812.5</v>
      </c>
      <c r="F62" s="19" t="s">
        <v>77</v>
      </c>
      <c r="G62" s="55" t="s">
        <v>871</v>
      </c>
      <c r="H62" s="48" t="s">
        <v>413</v>
      </c>
      <c r="I62" s="48" t="s">
        <v>453</v>
      </c>
      <c r="Q62" s="3">
        <f t="shared" si="0"/>
        <v>15812.5</v>
      </c>
    </row>
    <row r="63" spans="1:17" ht="37" customHeight="1" x14ac:dyDescent="0.35">
      <c r="A63" t="s">
        <v>0</v>
      </c>
      <c r="B63" t="s">
        <v>431</v>
      </c>
      <c r="C63">
        <v>5160001000</v>
      </c>
      <c r="D63" s="3" t="s">
        <v>6</v>
      </c>
      <c r="E63">
        <v>15811.49</v>
      </c>
      <c r="F63" s="19" t="s">
        <v>77</v>
      </c>
      <c r="G63" s="55" t="s">
        <v>930</v>
      </c>
      <c r="H63" s="48" t="s">
        <v>78</v>
      </c>
      <c r="I63" s="48" t="s">
        <v>931</v>
      </c>
      <c r="K63" s="48" t="s">
        <v>932</v>
      </c>
      <c r="L63" t="s">
        <v>933</v>
      </c>
      <c r="M63" s="48" t="s">
        <v>449</v>
      </c>
      <c r="Q63" s="3">
        <f t="shared" si="0"/>
        <v>15811.49</v>
      </c>
    </row>
    <row r="64" spans="1:17" ht="37" customHeight="1" x14ac:dyDescent="0.35">
      <c r="A64" t="s">
        <v>0</v>
      </c>
      <c r="B64" t="s">
        <v>431</v>
      </c>
      <c r="C64">
        <v>5160001000</v>
      </c>
      <c r="D64" s="3" t="s">
        <v>6</v>
      </c>
      <c r="E64">
        <v>15811.49</v>
      </c>
      <c r="F64" s="19" t="s">
        <v>77</v>
      </c>
      <c r="G64" s="55" t="s">
        <v>930</v>
      </c>
      <c r="H64" s="48" t="s">
        <v>78</v>
      </c>
      <c r="I64" s="48" t="s">
        <v>937</v>
      </c>
      <c r="K64" s="48" t="s">
        <v>938</v>
      </c>
      <c r="L64" t="s">
        <v>939</v>
      </c>
      <c r="M64" s="48" t="s">
        <v>449</v>
      </c>
      <c r="Q64" s="3">
        <f t="shared" si="0"/>
        <v>15811.49</v>
      </c>
    </row>
    <row r="65" spans="1:17" ht="37" customHeight="1" x14ac:dyDescent="0.35">
      <c r="A65" t="s">
        <v>0</v>
      </c>
      <c r="B65" t="s">
        <v>431</v>
      </c>
      <c r="C65">
        <v>5160001000</v>
      </c>
      <c r="D65" s="3" t="s">
        <v>6</v>
      </c>
      <c r="E65">
        <v>15811.49</v>
      </c>
      <c r="F65" s="19" t="s">
        <v>77</v>
      </c>
      <c r="G65" s="55" t="s">
        <v>1221</v>
      </c>
      <c r="H65" s="48" t="s">
        <v>78</v>
      </c>
      <c r="I65" s="48" t="s">
        <v>1236</v>
      </c>
      <c r="K65" s="48" t="s">
        <v>1237</v>
      </c>
      <c r="L65" t="s">
        <v>1238</v>
      </c>
      <c r="M65" s="48" t="s">
        <v>449</v>
      </c>
      <c r="Q65" s="3">
        <f t="shared" si="0"/>
        <v>15811.49</v>
      </c>
    </row>
    <row r="66" spans="1:17" ht="37" customHeight="1" x14ac:dyDescent="0.35">
      <c r="A66" t="s">
        <v>0</v>
      </c>
      <c r="B66" t="s">
        <v>434</v>
      </c>
      <c r="C66">
        <v>5160001000</v>
      </c>
      <c r="D66" s="3" t="s">
        <v>6</v>
      </c>
      <c r="E66">
        <v>15779.15</v>
      </c>
      <c r="F66" s="19" t="s">
        <v>77</v>
      </c>
      <c r="G66" s="55" t="s">
        <v>1221</v>
      </c>
      <c r="H66" s="48" t="s">
        <v>78</v>
      </c>
      <c r="I66" s="48" t="s">
        <v>1240</v>
      </c>
      <c r="K66" s="48" t="s">
        <v>1241</v>
      </c>
      <c r="L66" t="s">
        <v>1242</v>
      </c>
      <c r="M66" s="48" t="s">
        <v>449</v>
      </c>
      <c r="Q66" s="3">
        <f t="shared" si="0"/>
        <v>15779.15</v>
      </c>
    </row>
    <row r="67" spans="1:17" ht="37" customHeight="1" x14ac:dyDescent="0.35">
      <c r="A67" t="s">
        <v>0</v>
      </c>
      <c r="B67" t="s">
        <v>434</v>
      </c>
      <c r="C67">
        <v>5160001000</v>
      </c>
      <c r="D67" s="3" t="s">
        <v>6</v>
      </c>
      <c r="E67">
        <v>15779.15</v>
      </c>
      <c r="F67" s="19" t="s">
        <v>77</v>
      </c>
      <c r="G67" s="55" t="s">
        <v>1264</v>
      </c>
      <c r="H67" s="48" t="s">
        <v>78</v>
      </c>
      <c r="I67" s="48" t="s">
        <v>1293</v>
      </c>
      <c r="K67" s="48" t="s">
        <v>1294</v>
      </c>
      <c r="L67" t="s">
        <v>1295</v>
      </c>
      <c r="M67" s="48" t="s">
        <v>449</v>
      </c>
      <c r="Q67" s="3">
        <f t="shared" si="0"/>
        <v>15779.15</v>
      </c>
    </row>
    <row r="68" spans="1:17" ht="37" customHeight="1" x14ac:dyDescent="0.35">
      <c r="A68" t="s">
        <v>0</v>
      </c>
      <c r="B68" t="s">
        <v>431</v>
      </c>
      <c r="C68">
        <v>5160001000</v>
      </c>
      <c r="D68" s="3" t="s">
        <v>6</v>
      </c>
      <c r="E68">
        <v>14916</v>
      </c>
      <c r="F68" s="19" t="s">
        <v>77</v>
      </c>
      <c r="G68" s="55" t="s">
        <v>991</v>
      </c>
      <c r="H68" s="48" t="s">
        <v>772</v>
      </c>
      <c r="I68" s="48" t="s">
        <v>995</v>
      </c>
      <c r="Q68" s="3">
        <f t="shared" si="0"/>
        <v>14916</v>
      </c>
    </row>
    <row r="69" spans="1:17" ht="37" customHeight="1" x14ac:dyDescent="0.35">
      <c r="A69" t="s">
        <v>0</v>
      </c>
      <c r="B69" t="s">
        <v>431</v>
      </c>
      <c r="C69">
        <v>5160001000</v>
      </c>
      <c r="D69" s="3" t="s">
        <v>6</v>
      </c>
      <c r="E69">
        <v>-14916</v>
      </c>
      <c r="F69" s="19" t="s">
        <v>77</v>
      </c>
      <c r="G69" s="55" t="s">
        <v>1012</v>
      </c>
      <c r="H69" s="48" t="s">
        <v>772</v>
      </c>
      <c r="I69" s="48" t="s">
        <v>995</v>
      </c>
      <c r="Q69" s="3">
        <f t="shared" si="0"/>
        <v>14916</v>
      </c>
    </row>
    <row r="70" spans="1:17" ht="37" customHeight="1" x14ac:dyDescent="0.35">
      <c r="A70" t="s">
        <v>0</v>
      </c>
      <c r="B70" t="s">
        <v>431</v>
      </c>
      <c r="C70">
        <v>5160001000</v>
      </c>
      <c r="D70" s="3" t="s">
        <v>6</v>
      </c>
      <c r="E70">
        <v>14915.05</v>
      </c>
      <c r="F70" s="19" t="s">
        <v>77</v>
      </c>
      <c r="G70" s="55" t="s">
        <v>1114</v>
      </c>
      <c r="H70" s="48" t="s">
        <v>78</v>
      </c>
      <c r="I70" s="48" t="s">
        <v>1143</v>
      </c>
      <c r="K70" s="48" t="s">
        <v>1144</v>
      </c>
      <c r="L70" t="s">
        <v>1145</v>
      </c>
      <c r="M70" s="48" t="s">
        <v>432</v>
      </c>
      <c r="Q70" s="3">
        <f t="shared" si="0"/>
        <v>14915.05</v>
      </c>
    </row>
    <row r="71" spans="1:17" ht="37" customHeight="1" x14ac:dyDescent="0.35">
      <c r="A71" t="s">
        <v>27</v>
      </c>
      <c r="B71" t="s">
        <v>434</v>
      </c>
      <c r="C71">
        <v>5160001000</v>
      </c>
      <c r="D71" s="3" t="s">
        <v>6</v>
      </c>
      <c r="E71">
        <v>-13200</v>
      </c>
      <c r="F71" s="19" t="s">
        <v>77</v>
      </c>
      <c r="G71" s="55" t="s">
        <v>871</v>
      </c>
      <c r="H71" s="48" t="s">
        <v>413</v>
      </c>
      <c r="I71" s="48" t="s">
        <v>454</v>
      </c>
      <c r="Q71" s="3">
        <f t="shared" si="0"/>
        <v>13200</v>
      </c>
    </row>
    <row r="72" spans="1:17" ht="37" customHeight="1" x14ac:dyDescent="0.35">
      <c r="A72" t="s">
        <v>27</v>
      </c>
      <c r="B72" t="s">
        <v>434</v>
      </c>
      <c r="C72">
        <v>5160001000</v>
      </c>
      <c r="D72" s="3" t="s">
        <v>6</v>
      </c>
      <c r="E72">
        <v>13200</v>
      </c>
      <c r="F72" s="19" t="s">
        <v>77</v>
      </c>
      <c r="G72" s="55" t="s">
        <v>991</v>
      </c>
      <c r="H72" s="48" t="s">
        <v>772</v>
      </c>
      <c r="I72" s="48" t="s">
        <v>454</v>
      </c>
      <c r="Q72" s="3">
        <f t="shared" ref="Q72:Q106" si="1">ABS(E72)</f>
        <v>13200</v>
      </c>
    </row>
    <row r="73" spans="1:17" ht="37" customHeight="1" x14ac:dyDescent="0.35">
      <c r="A73" t="s">
        <v>27</v>
      </c>
      <c r="B73" t="s">
        <v>434</v>
      </c>
      <c r="C73">
        <v>5160001000</v>
      </c>
      <c r="D73" s="3" t="s">
        <v>6</v>
      </c>
      <c r="E73">
        <v>-13200</v>
      </c>
      <c r="F73" s="19" t="s">
        <v>77</v>
      </c>
      <c r="G73" s="55" t="s">
        <v>1012</v>
      </c>
      <c r="H73" s="48" t="s">
        <v>772</v>
      </c>
      <c r="I73" s="48" t="s">
        <v>454</v>
      </c>
      <c r="Q73" s="3">
        <f t="shared" si="1"/>
        <v>13200</v>
      </c>
    </row>
    <row r="74" spans="1:17" ht="37" customHeight="1" x14ac:dyDescent="0.35">
      <c r="A74" t="s">
        <v>0</v>
      </c>
      <c r="B74" t="s">
        <v>431</v>
      </c>
      <c r="C74">
        <v>5160001000</v>
      </c>
      <c r="D74" s="3" t="s">
        <v>6</v>
      </c>
      <c r="E74">
        <v>10999.3</v>
      </c>
      <c r="F74" s="19" t="s">
        <v>77</v>
      </c>
      <c r="G74" s="55" t="s">
        <v>983</v>
      </c>
      <c r="H74" s="48" t="s">
        <v>78</v>
      </c>
      <c r="I74" s="48" t="s">
        <v>984</v>
      </c>
      <c r="K74" s="48" t="s">
        <v>985</v>
      </c>
      <c r="L74" t="s">
        <v>986</v>
      </c>
      <c r="M74" s="48" t="s">
        <v>444</v>
      </c>
      <c r="Q74" s="3">
        <f t="shared" si="1"/>
        <v>10999.3</v>
      </c>
    </row>
    <row r="75" spans="1:17" ht="37" customHeight="1" x14ac:dyDescent="0.35">
      <c r="A75" t="s">
        <v>0</v>
      </c>
      <c r="B75" t="s">
        <v>434</v>
      </c>
      <c r="C75">
        <v>5160001000</v>
      </c>
      <c r="D75" s="3" t="s">
        <v>6</v>
      </c>
      <c r="E75">
        <v>10925.35</v>
      </c>
      <c r="F75" s="19" t="s">
        <v>77</v>
      </c>
      <c r="G75" s="55" t="s">
        <v>1375</v>
      </c>
      <c r="H75" s="48" t="s">
        <v>812</v>
      </c>
      <c r="I75" s="48" t="s">
        <v>1376</v>
      </c>
      <c r="Q75" s="3">
        <f t="shared" si="1"/>
        <v>10925.35</v>
      </c>
    </row>
    <row r="76" spans="1:17" ht="37" customHeight="1" x14ac:dyDescent="0.35">
      <c r="A76" t="s">
        <v>0</v>
      </c>
      <c r="B76" t="s">
        <v>434</v>
      </c>
      <c r="C76">
        <v>5160001000</v>
      </c>
      <c r="D76" s="3" t="s">
        <v>6</v>
      </c>
      <c r="E76">
        <v>10427.959999999999</v>
      </c>
      <c r="F76" s="19" t="s">
        <v>77</v>
      </c>
      <c r="G76" s="55" t="s">
        <v>1305</v>
      </c>
      <c r="H76" s="48" t="s">
        <v>78</v>
      </c>
      <c r="I76" s="48" t="s">
        <v>1318</v>
      </c>
      <c r="K76" s="48" t="s">
        <v>1319</v>
      </c>
      <c r="L76" t="s">
        <v>1320</v>
      </c>
      <c r="M76" s="48" t="s">
        <v>1321</v>
      </c>
      <c r="Q76" s="3">
        <f t="shared" si="1"/>
        <v>10427.959999999999</v>
      </c>
    </row>
    <row r="77" spans="1:17" ht="37" customHeight="1" x14ac:dyDescent="0.35">
      <c r="A77" t="s">
        <v>0</v>
      </c>
      <c r="B77" t="s">
        <v>434</v>
      </c>
      <c r="C77">
        <v>5160001000</v>
      </c>
      <c r="D77" s="3" t="s">
        <v>6</v>
      </c>
      <c r="E77">
        <v>-9350</v>
      </c>
      <c r="F77" s="19" t="s">
        <v>77</v>
      </c>
      <c r="G77" s="55" t="s">
        <v>871</v>
      </c>
      <c r="H77" s="48" t="s">
        <v>413</v>
      </c>
      <c r="I77" s="48" t="s">
        <v>456</v>
      </c>
      <c r="Q77" s="3">
        <f t="shared" si="1"/>
        <v>9350</v>
      </c>
    </row>
    <row r="78" spans="1:17" ht="37" customHeight="1" x14ac:dyDescent="0.35">
      <c r="A78" t="s">
        <v>0</v>
      </c>
      <c r="B78" t="s">
        <v>434</v>
      </c>
      <c r="C78">
        <v>5160001000</v>
      </c>
      <c r="D78" s="3" t="s">
        <v>6</v>
      </c>
      <c r="E78">
        <v>-9350</v>
      </c>
      <c r="F78" s="19" t="s">
        <v>77</v>
      </c>
      <c r="G78" s="55" t="s">
        <v>871</v>
      </c>
      <c r="H78" s="48" t="s">
        <v>413</v>
      </c>
      <c r="I78" s="48" t="s">
        <v>457</v>
      </c>
      <c r="Q78" s="3">
        <f t="shared" si="1"/>
        <v>9350</v>
      </c>
    </row>
    <row r="79" spans="1:17" ht="37" customHeight="1" x14ac:dyDescent="0.35">
      <c r="A79" t="s">
        <v>0</v>
      </c>
      <c r="B79" t="s">
        <v>434</v>
      </c>
      <c r="C79">
        <v>5160001000</v>
      </c>
      <c r="D79" s="3" t="s">
        <v>6</v>
      </c>
      <c r="E79">
        <v>-9350</v>
      </c>
      <c r="F79" s="19" t="s">
        <v>77</v>
      </c>
      <c r="G79" s="55" t="s">
        <v>871</v>
      </c>
      <c r="H79" s="48" t="s">
        <v>413</v>
      </c>
      <c r="I79" s="48" t="s">
        <v>458</v>
      </c>
      <c r="Q79" s="3">
        <f t="shared" si="1"/>
        <v>9350</v>
      </c>
    </row>
    <row r="80" spans="1:17" ht="37" customHeight="1" x14ac:dyDescent="0.35">
      <c r="A80" t="s">
        <v>0</v>
      </c>
      <c r="B80" t="s">
        <v>434</v>
      </c>
      <c r="C80">
        <v>5160001000</v>
      </c>
      <c r="D80" s="3" t="s">
        <v>6</v>
      </c>
      <c r="E80">
        <v>-8800</v>
      </c>
      <c r="F80" s="19" t="s">
        <v>77</v>
      </c>
      <c r="G80" s="55" t="s">
        <v>871</v>
      </c>
      <c r="H80" s="48" t="s">
        <v>413</v>
      </c>
      <c r="I80" s="48" t="s">
        <v>459</v>
      </c>
      <c r="Q80" s="3">
        <f t="shared" si="1"/>
        <v>8800</v>
      </c>
    </row>
    <row r="81" spans="1:19" ht="37" customHeight="1" x14ac:dyDescent="0.35">
      <c r="A81" t="s">
        <v>0</v>
      </c>
      <c r="B81" t="s">
        <v>431</v>
      </c>
      <c r="C81">
        <v>5160001000</v>
      </c>
      <c r="D81" s="3" t="s">
        <v>6</v>
      </c>
      <c r="E81">
        <v>8799.44</v>
      </c>
      <c r="F81" s="19" t="s">
        <v>77</v>
      </c>
      <c r="G81" s="55" t="s">
        <v>1221</v>
      </c>
      <c r="H81" s="48" t="s">
        <v>78</v>
      </c>
      <c r="I81" s="48" t="s">
        <v>1255</v>
      </c>
      <c r="K81" s="48" t="s">
        <v>1256</v>
      </c>
      <c r="L81" t="s">
        <v>1257</v>
      </c>
      <c r="M81" s="48" t="s">
        <v>455</v>
      </c>
      <c r="Q81" s="3">
        <f t="shared" si="1"/>
        <v>8799.44</v>
      </c>
    </row>
    <row r="82" spans="1:19" ht="37" customHeight="1" x14ac:dyDescent="0.35">
      <c r="A82" t="s">
        <v>0</v>
      </c>
      <c r="B82" t="s">
        <v>434</v>
      </c>
      <c r="C82">
        <v>5160001000</v>
      </c>
      <c r="D82" s="3" t="s">
        <v>6</v>
      </c>
      <c r="E82">
        <v>8026</v>
      </c>
      <c r="F82" s="19" t="s">
        <v>77</v>
      </c>
      <c r="G82" s="55" t="s">
        <v>991</v>
      </c>
      <c r="H82" s="48" t="s">
        <v>772</v>
      </c>
      <c r="I82" s="48" t="s">
        <v>772</v>
      </c>
      <c r="Q82" s="3">
        <f t="shared" si="1"/>
        <v>8026</v>
      </c>
    </row>
    <row r="83" spans="1:19" ht="37" customHeight="1" x14ac:dyDescent="0.35">
      <c r="A83" t="s">
        <v>0</v>
      </c>
      <c r="B83" t="s">
        <v>434</v>
      </c>
      <c r="C83">
        <v>5160001000</v>
      </c>
      <c r="D83" s="3" t="s">
        <v>6</v>
      </c>
      <c r="E83">
        <v>-8026</v>
      </c>
      <c r="F83" s="19" t="s">
        <v>77</v>
      </c>
      <c r="G83" s="55" t="s">
        <v>1012</v>
      </c>
      <c r="H83" s="48" t="s">
        <v>772</v>
      </c>
      <c r="I83" s="48" t="s">
        <v>772</v>
      </c>
      <c r="Q83" s="3">
        <f t="shared" si="1"/>
        <v>8026</v>
      </c>
    </row>
    <row r="84" spans="1:19" ht="37" customHeight="1" x14ac:dyDescent="0.35">
      <c r="A84" t="s">
        <v>0</v>
      </c>
      <c r="B84" t="s">
        <v>434</v>
      </c>
      <c r="C84">
        <v>5160001000</v>
      </c>
      <c r="D84" s="3" t="s">
        <v>6</v>
      </c>
      <c r="E84">
        <v>8009.06</v>
      </c>
      <c r="F84" s="19" t="s">
        <v>77</v>
      </c>
      <c r="G84" s="55" t="s">
        <v>1158</v>
      </c>
      <c r="H84" s="48" t="s">
        <v>78</v>
      </c>
      <c r="I84" s="48" t="s">
        <v>1166</v>
      </c>
      <c r="K84" s="48" t="s">
        <v>1167</v>
      </c>
      <c r="L84" t="s">
        <v>1168</v>
      </c>
      <c r="M84" s="48" t="s">
        <v>432</v>
      </c>
      <c r="Q84" s="3">
        <f t="shared" si="1"/>
        <v>8009.06</v>
      </c>
    </row>
    <row r="85" spans="1:19" ht="37" customHeight="1" x14ac:dyDescent="0.35">
      <c r="A85" t="s">
        <v>27</v>
      </c>
      <c r="B85" t="s">
        <v>1496</v>
      </c>
      <c r="C85">
        <v>5160001000</v>
      </c>
      <c r="D85" s="3" t="s">
        <v>6</v>
      </c>
      <c r="E85">
        <v>-6516.88</v>
      </c>
      <c r="F85" s="19" t="s">
        <v>77</v>
      </c>
      <c r="G85" s="55" t="s">
        <v>1198</v>
      </c>
      <c r="H85" s="48" t="s">
        <v>1497</v>
      </c>
      <c r="I85" s="48" t="s">
        <v>1497</v>
      </c>
      <c r="Q85" s="3">
        <f t="shared" si="1"/>
        <v>6516.88</v>
      </c>
    </row>
    <row r="86" spans="1:19" ht="37" customHeight="1" x14ac:dyDescent="0.35">
      <c r="A86" t="s">
        <v>27</v>
      </c>
      <c r="B86" t="s">
        <v>1496</v>
      </c>
      <c r="C86">
        <v>5160001000</v>
      </c>
      <c r="D86" s="3" t="s">
        <v>6</v>
      </c>
      <c r="E86">
        <v>6516.88</v>
      </c>
      <c r="F86" s="19" t="s">
        <v>77</v>
      </c>
      <c r="G86" s="55" t="s">
        <v>1198</v>
      </c>
      <c r="H86" s="48" t="s">
        <v>798</v>
      </c>
      <c r="I86" s="48" t="s">
        <v>1497</v>
      </c>
      <c r="Q86" s="3">
        <f t="shared" si="1"/>
        <v>6516.88</v>
      </c>
    </row>
    <row r="87" spans="1:19" ht="37" customHeight="1" x14ac:dyDescent="0.35">
      <c r="A87" t="s">
        <v>0</v>
      </c>
      <c r="B87" t="s">
        <v>431</v>
      </c>
      <c r="C87">
        <v>5160001000</v>
      </c>
      <c r="D87" s="3" t="s">
        <v>6</v>
      </c>
      <c r="E87">
        <v>-5500</v>
      </c>
      <c r="F87" s="19" t="s">
        <v>77</v>
      </c>
      <c r="G87" s="55" t="s">
        <v>871</v>
      </c>
      <c r="H87" s="48" t="s">
        <v>413</v>
      </c>
      <c r="I87" s="48" t="s">
        <v>460</v>
      </c>
      <c r="Q87" s="3">
        <f t="shared" si="1"/>
        <v>5500</v>
      </c>
      <c r="S87" s="48" t="s">
        <v>1653</v>
      </c>
    </row>
    <row r="88" spans="1:19" ht="37" customHeight="1" x14ac:dyDescent="0.35">
      <c r="A88" t="s">
        <v>0</v>
      </c>
      <c r="B88" t="s">
        <v>431</v>
      </c>
      <c r="C88">
        <v>5160001000</v>
      </c>
      <c r="D88" s="3" t="s">
        <v>6</v>
      </c>
      <c r="E88">
        <v>5500</v>
      </c>
      <c r="F88" s="19" t="s">
        <v>77</v>
      </c>
      <c r="G88" s="55" t="s">
        <v>1012</v>
      </c>
      <c r="H88" s="48" t="s">
        <v>78</v>
      </c>
      <c r="I88" s="48" t="s">
        <v>1016</v>
      </c>
      <c r="K88" s="48" t="s">
        <v>1017</v>
      </c>
      <c r="L88">
        <v>1000</v>
      </c>
      <c r="M88" s="48" t="s">
        <v>1018</v>
      </c>
      <c r="Q88" s="3">
        <f t="shared" si="1"/>
        <v>5500</v>
      </c>
    </row>
    <row r="89" spans="1:19" ht="37" customHeight="1" x14ac:dyDescent="0.35">
      <c r="A89" t="s">
        <v>27</v>
      </c>
      <c r="B89" t="s">
        <v>431</v>
      </c>
      <c r="C89">
        <v>5160001000</v>
      </c>
      <c r="D89" s="3" t="s">
        <v>6</v>
      </c>
      <c r="E89">
        <v>5000.01</v>
      </c>
      <c r="F89" s="19" t="s">
        <v>77</v>
      </c>
      <c r="G89" s="55" t="s">
        <v>981</v>
      </c>
      <c r="H89" s="48" t="s">
        <v>412</v>
      </c>
      <c r="I89" s="48" t="s">
        <v>461</v>
      </c>
      <c r="Q89" s="3">
        <f t="shared" si="1"/>
        <v>5000.01</v>
      </c>
    </row>
    <row r="90" spans="1:19" ht="37" customHeight="1" x14ac:dyDescent="0.35">
      <c r="A90" t="s">
        <v>27</v>
      </c>
      <c r="B90" t="s">
        <v>431</v>
      </c>
      <c r="C90">
        <v>5160001000</v>
      </c>
      <c r="D90" s="3" t="s">
        <v>6</v>
      </c>
      <c r="E90">
        <v>-5000.01</v>
      </c>
      <c r="F90" s="19" t="s">
        <v>77</v>
      </c>
      <c r="G90" s="55" t="s">
        <v>1012</v>
      </c>
      <c r="H90" s="48" t="s">
        <v>412</v>
      </c>
      <c r="I90" s="48" t="s">
        <v>461</v>
      </c>
      <c r="Q90" s="3">
        <f t="shared" si="1"/>
        <v>5000.01</v>
      </c>
    </row>
    <row r="91" spans="1:19" ht="37" customHeight="1" x14ac:dyDescent="0.35">
      <c r="A91" t="s">
        <v>0</v>
      </c>
      <c r="B91" t="s">
        <v>434</v>
      </c>
      <c r="C91">
        <v>5160001000</v>
      </c>
      <c r="D91" s="3" t="s">
        <v>6</v>
      </c>
      <c r="E91">
        <v>3892.3</v>
      </c>
      <c r="F91" s="19" t="s">
        <v>77</v>
      </c>
      <c r="G91" s="55" t="s">
        <v>1333</v>
      </c>
      <c r="H91" s="48" t="s">
        <v>78</v>
      </c>
      <c r="I91" s="48" t="s">
        <v>1349</v>
      </c>
      <c r="K91" s="48" t="s">
        <v>1350</v>
      </c>
      <c r="L91">
        <v>33880</v>
      </c>
      <c r="M91" s="48" t="s">
        <v>494</v>
      </c>
      <c r="Q91" s="3">
        <f t="shared" si="1"/>
        <v>3892.3</v>
      </c>
    </row>
    <row r="92" spans="1:19" ht="37" customHeight="1" x14ac:dyDescent="0.35">
      <c r="A92" t="s">
        <v>27</v>
      </c>
      <c r="B92" t="s">
        <v>431</v>
      </c>
      <c r="C92">
        <v>5160001000</v>
      </c>
      <c r="D92" s="3" t="s">
        <v>6</v>
      </c>
      <c r="E92">
        <v>-3333.34</v>
      </c>
      <c r="F92" s="19" t="s">
        <v>77</v>
      </c>
      <c r="G92" s="55" t="s">
        <v>871</v>
      </c>
      <c r="H92" s="48" t="s">
        <v>412</v>
      </c>
      <c r="I92" s="48" t="s">
        <v>461</v>
      </c>
      <c r="Q92" s="3">
        <f t="shared" si="1"/>
        <v>3333.34</v>
      </c>
    </row>
    <row r="93" spans="1:19" ht="37" customHeight="1" x14ac:dyDescent="0.35">
      <c r="A93" t="s">
        <v>0</v>
      </c>
      <c r="B93" t="s">
        <v>434</v>
      </c>
      <c r="C93">
        <v>5160001000</v>
      </c>
      <c r="D93" s="3" t="s">
        <v>6</v>
      </c>
      <c r="E93">
        <v>2907.4</v>
      </c>
      <c r="F93" s="19" t="s">
        <v>77</v>
      </c>
      <c r="G93" s="55" t="s">
        <v>1158</v>
      </c>
      <c r="H93" s="48" t="s">
        <v>78</v>
      </c>
      <c r="I93" s="48" t="s">
        <v>1159</v>
      </c>
      <c r="K93" s="48" t="s">
        <v>1160</v>
      </c>
      <c r="L93" t="s">
        <v>1161</v>
      </c>
      <c r="M93" s="48" t="s">
        <v>432</v>
      </c>
      <c r="Q93" s="3">
        <f t="shared" si="1"/>
        <v>2907.4</v>
      </c>
    </row>
    <row r="94" spans="1:19" ht="37" customHeight="1" x14ac:dyDescent="0.35">
      <c r="A94" t="s">
        <v>0</v>
      </c>
      <c r="B94" t="s">
        <v>350</v>
      </c>
      <c r="C94">
        <v>5160001000</v>
      </c>
      <c r="D94" s="3" t="s">
        <v>6</v>
      </c>
      <c r="E94">
        <v>1919.35</v>
      </c>
      <c r="F94" s="19" t="s">
        <v>77</v>
      </c>
      <c r="G94" s="55" t="s">
        <v>1208</v>
      </c>
      <c r="H94" s="48" t="s">
        <v>78</v>
      </c>
      <c r="I94" s="48" t="s">
        <v>1218</v>
      </c>
      <c r="K94" s="48" t="s">
        <v>1219</v>
      </c>
      <c r="L94" t="s">
        <v>1220</v>
      </c>
      <c r="M94" s="48" t="s">
        <v>565</v>
      </c>
      <c r="Q94" s="3">
        <f t="shared" si="1"/>
        <v>1919.35</v>
      </c>
    </row>
    <row r="95" spans="1:19" ht="37" customHeight="1" x14ac:dyDescent="0.35">
      <c r="A95" t="s">
        <v>0</v>
      </c>
      <c r="B95" t="s">
        <v>431</v>
      </c>
      <c r="C95">
        <v>5160001000</v>
      </c>
      <c r="D95" s="3" t="s">
        <v>6</v>
      </c>
      <c r="E95">
        <v>1819.64</v>
      </c>
      <c r="F95" s="19" t="s">
        <v>77</v>
      </c>
      <c r="G95" s="55" t="s">
        <v>1264</v>
      </c>
      <c r="H95" s="48" t="s">
        <v>78</v>
      </c>
      <c r="I95" s="48" t="s">
        <v>1279</v>
      </c>
      <c r="K95" s="48" t="s">
        <v>111</v>
      </c>
      <c r="L95">
        <v>621969</v>
      </c>
      <c r="M95" s="48" t="s">
        <v>108</v>
      </c>
      <c r="Q95" s="3">
        <f t="shared" si="1"/>
        <v>1819.64</v>
      </c>
    </row>
    <row r="96" spans="1:19" ht="37" customHeight="1" x14ac:dyDescent="0.35">
      <c r="A96" t="s">
        <v>0</v>
      </c>
      <c r="B96" t="s">
        <v>431</v>
      </c>
      <c r="C96">
        <v>5160001000</v>
      </c>
      <c r="D96" s="3" t="s">
        <v>6</v>
      </c>
      <c r="E96">
        <v>1804.56</v>
      </c>
      <c r="F96" s="19" t="s">
        <v>77</v>
      </c>
      <c r="G96" s="55" t="s">
        <v>1041</v>
      </c>
      <c r="H96" s="48" t="s">
        <v>78</v>
      </c>
      <c r="I96" s="48" t="s">
        <v>1047</v>
      </c>
      <c r="K96" s="48" t="s">
        <v>111</v>
      </c>
      <c r="L96">
        <v>618839</v>
      </c>
      <c r="M96" s="48" t="s">
        <v>108</v>
      </c>
      <c r="Q96" s="3">
        <f t="shared" si="1"/>
        <v>1804.56</v>
      </c>
    </row>
    <row r="97" spans="1:17" ht="37" customHeight="1" x14ac:dyDescent="0.35">
      <c r="A97" t="s">
        <v>0</v>
      </c>
      <c r="B97" t="s">
        <v>434</v>
      </c>
      <c r="C97">
        <v>5160001000</v>
      </c>
      <c r="D97" s="3" t="s">
        <v>6</v>
      </c>
      <c r="E97">
        <v>1421.91</v>
      </c>
      <c r="F97" s="19" t="s">
        <v>77</v>
      </c>
      <c r="G97" s="55" t="s">
        <v>1305</v>
      </c>
      <c r="H97" s="48" t="s">
        <v>78</v>
      </c>
      <c r="I97" s="48" t="s">
        <v>1313</v>
      </c>
      <c r="K97" s="48" t="s">
        <v>1314</v>
      </c>
      <c r="L97">
        <v>89877</v>
      </c>
      <c r="M97" s="48" t="s">
        <v>462</v>
      </c>
      <c r="Q97" s="3">
        <f t="shared" si="1"/>
        <v>1421.91</v>
      </c>
    </row>
    <row r="98" spans="1:17" ht="37" customHeight="1" x14ac:dyDescent="0.35">
      <c r="A98" t="s">
        <v>0</v>
      </c>
      <c r="B98" t="s">
        <v>431</v>
      </c>
      <c r="C98">
        <v>5160001000</v>
      </c>
      <c r="D98" s="3" t="s">
        <v>6</v>
      </c>
      <c r="E98">
        <v>1224.43</v>
      </c>
      <c r="F98" s="19" t="s">
        <v>77</v>
      </c>
      <c r="G98" s="55" t="s">
        <v>1264</v>
      </c>
      <c r="H98" s="48" t="s">
        <v>78</v>
      </c>
      <c r="I98" s="48" t="s">
        <v>1265</v>
      </c>
      <c r="K98" s="48" t="s">
        <v>463</v>
      </c>
      <c r="L98">
        <v>216</v>
      </c>
      <c r="M98" s="48" t="s">
        <v>118</v>
      </c>
      <c r="Q98" s="3">
        <f t="shared" si="1"/>
        <v>1224.43</v>
      </c>
    </row>
    <row r="99" spans="1:17" ht="37" customHeight="1" x14ac:dyDescent="0.35">
      <c r="A99" t="s">
        <v>0</v>
      </c>
      <c r="B99" t="s">
        <v>431</v>
      </c>
      <c r="C99">
        <v>5160001000</v>
      </c>
      <c r="D99" s="3" t="s">
        <v>6</v>
      </c>
      <c r="E99">
        <v>1219.79</v>
      </c>
      <c r="F99" s="19" t="s">
        <v>77</v>
      </c>
      <c r="G99" s="55" t="s">
        <v>907</v>
      </c>
      <c r="H99" s="48" t="s">
        <v>78</v>
      </c>
      <c r="I99" s="48" t="s">
        <v>910</v>
      </c>
      <c r="K99" s="48" t="s">
        <v>911</v>
      </c>
      <c r="L99">
        <v>205</v>
      </c>
      <c r="M99" s="48" t="s">
        <v>118</v>
      </c>
      <c r="Q99" s="3">
        <f t="shared" si="1"/>
        <v>1219.79</v>
      </c>
    </row>
    <row r="100" spans="1:17" ht="37" customHeight="1" x14ac:dyDescent="0.35">
      <c r="A100" t="s">
        <v>0</v>
      </c>
      <c r="B100" t="s">
        <v>431</v>
      </c>
      <c r="C100">
        <v>5160001000</v>
      </c>
      <c r="D100" s="3" t="s">
        <v>6</v>
      </c>
      <c r="E100">
        <v>1216.8800000000001</v>
      </c>
      <c r="F100" s="19" t="s">
        <v>77</v>
      </c>
      <c r="G100" s="55" t="s">
        <v>1041</v>
      </c>
      <c r="H100" s="48" t="s">
        <v>78</v>
      </c>
      <c r="I100" s="48" t="s">
        <v>1042</v>
      </c>
      <c r="K100" s="48" t="s">
        <v>463</v>
      </c>
      <c r="L100">
        <v>211</v>
      </c>
      <c r="M100" s="48" t="s">
        <v>118</v>
      </c>
      <c r="Q100" s="3">
        <f t="shared" si="1"/>
        <v>1216.8800000000001</v>
      </c>
    </row>
    <row r="101" spans="1:17" ht="37" customHeight="1" x14ac:dyDescent="0.35">
      <c r="A101" t="s">
        <v>27</v>
      </c>
      <c r="B101" t="s">
        <v>434</v>
      </c>
      <c r="C101">
        <v>5160001000</v>
      </c>
      <c r="D101" s="3" t="s">
        <v>6</v>
      </c>
      <c r="E101">
        <v>-1100</v>
      </c>
      <c r="F101" s="19" t="s">
        <v>77</v>
      </c>
      <c r="G101" s="55" t="s">
        <v>871</v>
      </c>
      <c r="H101" s="48" t="s">
        <v>413</v>
      </c>
      <c r="I101" s="48" t="s">
        <v>464</v>
      </c>
      <c r="Q101" s="3">
        <f t="shared" si="1"/>
        <v>1100</v>
      </c>
    </row>
    <row r="102" spans="1:17" ht="37" customHeight="1" x14ac:dyDescent="0.35">
      <c r="A102" t="s">
        <v>27</v>
      </c>
      <c r="B102" t="s">
        <v>434</v>
      </c>
      <c r="C102">
        <v>5160001000</v>
      </c>
      <c r="D102" s="3" t="s">
        <v>6</v>
      </c>
      <c r="E102">
        <v>1100</v>
      </c>
      <c r="F102" s="19" t="s">
        <v>77</v>
      </c>
      <c r="G102" s="55" t="s">
        <v>991</v>
      </c>
      <c r="H102" s="48" t="s">
        <v>772</v>
      </c>
      <c r="I102" s="48" t="s">
        <v>464</v>
      </c>
      <c r="Q102" s="3">
        <f t="shared" si="1"/>
        <v>1100</v>
      </c>
    </row>
    <row r="103" spans="1:17" ht="37" customHeight="1" x14ac:dyDescent="0.35">
      <c r="A103" t="s">
        <v>27</v>
      </c>
      <c r="B103" t="s">
        <v>434</v>
      </c>
      <c r="C103">
        <v>5160001000</v>
      </c>
      <c r="D103" s="3" t="s">
        <v>6</v>
      </c>
      <c r="E103">
        <v>-1100</v>
      </c>
      <c r="F103" s="19" t="s">
        <v>77</v>
      </c>
      <c r="G103" s="55" t="s">
        <v>1012</v>
      </c>
      <c r="H103" s="48" t="s">
        <v>772</v>
      </c>
      <c r="I103" s="48" t="s">
        <v>464</v>
      </c>
      <c r="Q103" s="3">
        <f t="shared" si="1"/>
        <v>1100</v>
      </c>
    </row>
    <row r="104" spans="1:17" ht="37" customHeight="1" x14ac:dyDescent="0.35">
      <c r="A104" t="s">
        <v>27</v>
      </c>
      <c r="B104" t="s">
        <v>612</v>
      </c>
      <c r="C104">
        <v>5160001000</v>
      </c>
      <c r="D104" s="3" t="s">
        <v>6</v>
      </c>
      <c r="E104">
        <v>990</v>
      </c>
      <c r="F104" s="19" t="s">
        <v>77</v>
      </c>
      <c r="G104" s="55" t="s">
        <v>1264</v>
      </c>
      <c r="H104" s="48" t="s">
        <v>78</v>
      </c>
      <c r="I104" s="48" t="s">
        <v>1540</v>
      </c>
      <c r="K104" s="48" t="s">
        <v>1541</v>
      </c>
      <c r="L104" t="s">
        <v>1542</v>
      </c>
      <c r="M104" s="48" t="s">
        <v>88</v>
      </c>
      <c r="Q104" s="3">
        <f t="shared" si="1"/>
        <v>990</v>
      </c>
    </row>
    <row r="105" spans="1:17" ht="37" customHeight="1" x14ac:dyDescent="0.35">
      <c r="A105" t="s">
        <v>0</v>
      </c>
      <c r="B105" t="s">
        <v>434</v>
      </c>
      <c r="C105">
        <v>5160001000</v>
      </c>
      <c r="D105" s="3" t="s">
        <v>6</v>
      </c>
      <c r="E105">
        <v>610.89</v>
      </c>
      <c r="F105" s="19" t="s">
        <v>77</v>
      </c>
      <c r="G105" s="55" t="s">
        <v>1305</v>
      </c>
      <c r="H105" s="48" t="s">
        <v>78</v>
      </c>
      <c r="I105" s="48" t="s">
        <v>1311</v>
      </c>
      <c r="K105" s="48" t="s">
        <v>1312</v>
      </c>
      <c r="L105">
        <v>89876</v>
      </c>
      <c r="M105" s="48" t="s">
        <v>462</v>
      </c>
      <c r="Q105" s="3">
        <f t="shared" si="1"/>
        <v>610.89</v>
      </c>
    </row>
    <row r="106" spans="1:17" ht="37" customHeight="1" x14ac:dyDescent="0.35">
      <c r="A106" t="s">
        <v>0</v>
      </c>
      <c r="B106" t="s">
        <v>438</v>
      </c>
      <c r="C106">
        <v>5160001000</v>
      </c>
      <c r="D106" s="3" t="s">
        <v>6</v>
      </c>
      <c r="E106">
        <v>500</v>
      </c>
      <c r="F106" s="19" t="s">
        <v>77</v>
      </c>
      <c r="G106" s="55" t="s">
        <v>989</v>
      </c>
      <c r="H106" s="48" t="s">
        <v>103</v>
      </c>
      <c r="I106" s="48" t="s">
        <v>990</v>
      </c>
      <c r="Q106" s="3">
        <f t="shared" si="1"/>
        <v>500</v>
      </c>
    </row>
    <row r="107" spans="1:17" ht="37" customHeight="1" x14ac:dyDescent="0.35">
      <c r="A107" t="s">
        <v>27</v>
      </c>
      <c r="B107" t="s">
        <v>434</v>
      </c>
      <c r="C107">
        <v>5160001000</v>
      </c>
      <c r="D107" s="3" t="s">
        <v>6</v>
      </c>
      <c r="E107">
        <v>-440</v>
      </c>
      <c r="F107" s="19" t="s">
        <v>77</v>
      </c>
      <c r="G107" s="55" t="s">
        <v>871</v>
      </c>
      <c r="H107" s="48" t="s">
        <v>413</v>
      </c>
      <c r="I107" s="48" t="s">
        <v>467</v>
      </c>
      <c r="Q107" s="3">
        <f>ABS(E107)</f>
        <v>440</v>
      </c>
    </row>
    <row r="108" spans="1:17" ht="37" customHeight="1" x14ac:dyDescent="0.35">
      <c r="A108" t="s">
        <v>27</v>
      </c>
      <c r="B108" t="s">
        <v>434</v>
      </c>
      <c r="C108">
        <v>5160001000</v>
      </c>
      <c r="D108" s="3" t="s">
        <v>6</v>
      </c>
      <c r="E108">
        <v>440</v>
      </c>
      <c r="F108" s="19" t="s">
        <v>77</v>
      </c>
      <c r="G108" s="55" t="s">
        <v>991</v>
      </c>
      <c r="H108" s="48" t="s">
        <v>772</v>
      </c>
      <c r="I108" s="48" t="s">
        <v>467</v>
      </c>
      <c r="Q108" s="3">
        <f t="shared" ref="Q108:Q171" si="2">ABS(E108)</f>
        <v>440</v>
      </c>
    </row>
    <row r="109" spans="1:17" ht="37" customHeight="1" x14ac:dyDescent="0.35">
      <c r="A109" t="s">
        <v>27</v>
      </c>
      <c r="B109" t="s">
        <v>434</v>
      </c>
      <c r="C109">
        <v>5160001000</v>
      </c>
      <c r="D109" s="3" t="s">
        <v>6</v>
      </c>
      <c r="E109">
        <v>-440</v>
      </c>
      <c r="F109" s="19" t="s">
        <v>77</v>
      </c>
      <c r="G109" s="55" t="s">
        <v>1012</v>
      </c>
      <c r="H109" s="48" t="s">
        <v>772</v>
      </c>
      <c r="I109" s="48" t="s">
        <v>467</v>
      </c>
      <c r="Q109" s="3">
        <f t="shared" si="2"/>
        <v>440</v>
      </c>
    </row>
    <row r="110" spans="1:17" ht="37" customHeight="1" x14ac:dyDescent="0.35">
      <c r="A110" t="s">
        <v>0</v>
      </c>
      <c r="B110" t="s">
        <v>434</v>
      </c>
      <c r="C110">
        <v>5160001000</v>
      </c>
      <c r="D110" s="3" t="s">
        <v>6</v>
      </c>
      <c r="E110">
        <v>439.07</v>
      </c>
      <c r="F110" s="19" t="s">
        <v>77</v>
      </c>
      <c r="G110" s="55" t="s">
        <v>1186</v>
      </c>
      <c r="H110" s="48" t="s">
        <v>78</v>
      </c>
      <c r="I110" s="48" t="s">
        <v>1187</v>
      </c>
      <c r="K110" s="48" t="s">
        <v>1188</v>
      </c>
      <c r="L110" t="s">
        <v>450</v>
      </c>
      <c r="M110" s="48" t="s">
        <v>1189</v>
      </c>
      <c r="Q110" s="3">
        <f t="shared" si="2"/>
        <v>439.07</v>
      </c>
    </row>
    <row r="111" spans="1:17" ht="37" customHeight="1" x14ac:dyDescent="0.35">
      <c r="A111" t="s">
        <v>27</v>
      </c>
      <c r="B111" t="s">
        <v>434</v>
      </c>
      <c r="C111">
        <v>5160001000</v>
      </c>
      <c r="D111" s="3" t="s">
        <v>6</v>
      </c>
      <c r="E111">
        <v>-400</v>
      </c>
      <c r="F111" s="19" t="s">
        <v>77</v>
      </c>
      <c r="G111" s="55" t="s">
        <v>871</v>
      </c>
      <c r="H111" s="48" t="s">
        <v>413</v>
      </c>
      <c r="I111" s="48" t="s">
        <v>468</v>
      </c>
      <c r="Q111" s="3">
        <f t="shared" si="2"/>
        <v>400</v>
      </c>
    </row>
    <row r="112" spans="1:17" ht="37" customHeight="1" x14ac:dyDescent="0.35">
      <c r="A112" t="s">
        <v>27</v>
      </c>
      <c r="B112" t="s">
        <v>434</v>
      </c>
      <c r="C112">
        <v>5160001000</v>
      </c>
      <c r="D112" s="3" t="s">
        <v>6</v>
      </c>
      <c r="E112">
        <v>400</v>
      </c>
      <c r="F112" s="19" t="s">
        <v>77</v>
      </c>
      <c r="G112" s="55" t="s">
        <v>991</v>
      </c>
      <c r="H112" s="48" t="s">
        <v>772</v>
      </c>
      <c r="I112" s="48" t="s">
        <v>468</v>
      </c>
      <c r="Q112" s="3">
        <f t="shared" si="2"/>
        <v>400</v>
      </c>
    </row>
    <row r="113" spans="1:17" ht="37" customHeight="1" x14ac:dyDescent="0.35">
      <c r="A113" t="s">
        <v>27</v>
      </c>
      <c r="B113" t="s">
        <v>434</v>
      </c>
      <c r="C113">
        <v>5160001000</v>
      </c>
      <c r="D113" s="3" t="s">
        <v>6</v>
      </c>
      <c r="E113">
        <v>-400</v>
      </c>
      <c r="F113" s="19" t="s">
        <v>77</v>
      </c>
      <c r="G113" s="55" t="s">
        <v>1012</v>
      </c>
      <c r="H113" s="48" t="s">
        <v>772</v>
      </c>
      <c r="I113" s="48" t="s">
        <v>468</v>
      </c>
      <c r="Q113" s="3">
        <f t="shared" si="2"/>
        <v>400</v>
      </c>
    </row>
    <row r="114" spans="1:17" ht="37" customHeight="1" x14ac:dyDescent="0.35">
      <c r="A114" t="s">
        <v>0</v>
      </c>
      <c r="B114" t="s">
        <v>431</v>
      </c>
      <c r="C114">
        <v>5160001000</v>
      </c>
      <c r="D114" s="3" t="s">
        <v>6</v>
      </c>
      <c r="E114">
        <v>266.35000000000002</v>
      </c>
      <c r="F114" s="19" t="s">
        <v>77</v>
      </c>
      <c r="G114" s="55" t="s">
        <v>907</v>
      </c>
      <c r="H114" s="48" t="s">
        <v>78</v>
      </c>
      <c r="I114" s="48" t="s">
        <v>912</v>
      </c>
      <c r="K114" s="48" t="s">
        <v>111</v>
      </c>
      <c r="L114">
        <v>615592</v>
      </c>
      <c r="M114" s="48" t="s">
        <v>108</v>
      </c>
      <c r="Q114" s="3">
        <f t="shared" si="2"/>
        <v>266.35000000000002</v>
      </c>
    </row>
    <row r="115" spans="1:17" ht="37" customHeight="1" x14ac:dyDescent="0.35">
      <c r="A115" t="s">
        <v>0</v>
      </c>
      <c r="B115" t="s">
        <v>438</v>
      </c>
      <c r="C115">
        <v>5160001000</v>
      </c>
      <c r="D115" s="3" t="s">
        <v>6</v>
      </c>
      <c r="E115">
        <v>200</v>
      </c>
      <c r="F115" s="19" t="s">
        <v>77</v>
      </c>
      <c r="G115" s="55" t="s">
        <v>991</v>
      </c>
      <c r="H115" s="48" t="s">
        <v>103</v>
      </c>
      <c r="I115" s="48" t="s">
        <v>998</v>
      </c>
      <c r="Q115" s="3">
        <f t="shared" si="2"/>
        <v>200</v>
      </c>
    </row>
    <row r="116" spans="1:17" ht="37" customHeight="1" x14ac:dyDescent="0.35">
      <c r="A116" t="s">
        <v>0</v>
      </c>
      <c r="B116" t="s">
        <v>434</v>
      </c>
      <c r="C116">
        <v>5160001000</v>
      </c>
      <c r="D116" s="3" t="s">
        <v>6</v>
      </c>
      <c r="E116">
        <v>174.46</v>
      </c>
      <c r="F116" s="19" t="s">
        <v>77</v>
      </c>
      <c r="G116" s="55" t="s">
        <v>1324</v>
      </c>
      <c r="H116" s="48" t="s">
        <v>78</v>
      </c>
      <c r="I116" s="48" t="s">
        <v>1325</v>
      </c>
      <c r="K116" s="48" t="s">
        <v>1326</v>
      </c>
      <c r="L116">
        <v>101833</v>
      </c>
      <c r="M116" s="48" t="s">
        <v>637</v>
      </c>
      <c r="Q116" s="3">
        <f t="shared" si="2"/>
        <v>174.46</v>
      </c>
    </row>
    <row r="117" spans="1:17" ht="37" customHeight="1" x14ac:dyDescent="0.35">
      <c r="A117" t="s">
        <v>27</v>
      </c>
      <c r="B117" t="s">
        <v>332</v>
      </c>
      <c r="C117">
        <v>5160001000</v>
      </c>
      <c r="D117" s="3" t="s">
        <v>6</v>
      </c>
      <c r="E117">
        <v>163.63999999999999</v>
      </c>
      <c r="F117" s="19" t="s">
        <v>77</v>
      </c>
      <c r="G117" s="55" t="s">
        <v>1201</v>
      </c>
      <c r="H117" s="48" t="s">
        <v>79</v>
      </c>
      <c r="I117" s="48" t="s">
        <v>1524</v>
      </c>
      <c r="J117" s="48" t="s">
        <v>1525</v>
      </c>
      <c r="O117" t="s">
        <v>1526</v>
      </c>
      <c r="Q117" s="3">
        <f t="shared" si="2"/>
        <v>163.63999999999999</v>
      </c>
    </row>
    <row r="118" spans="1:17" ht="37" customHeight="1" x14ac:dyDescent="0.35">
      <c r="A118" t="s">
        <v>27</v>
      </c>
      <c r="B118" t="s">
        <v>314</v>
      </c>
      <c r="C118">
        <v>5160001000</v>
      </c>
      <c r="D118" s="3" t="s">
        <v>6</v>
      </c>
      <c r="E118">
        <v>160</v>
      </c>
      <c r="F118" s="19" t="s">
        <v>77</v>
      </c>
      <c r="G118" s="55" t="s">
        <v>980</v>
      </c>
      <c r="H118" s="48" t="s">
        <v>78</v>
      </c>
      <c r="I118" s="48" t="s">
        <v>1447</v>
      </c>
      <c r="K118" s="48" t="s">
        <v>469</v>
      </c>
      <c r="L118">
        <v>690</v>
      </c>
      <c r="M118" s="48" t="s">
        <v>130</v>
      </c>
      <c r="Q118" s="3">
        <f t="shared" si="2"/>
        <v>160</v>
      </c>
    </row>
    <row r="119" spans="1:17" ht="37" customHeight="1" x14ac:dyDescent="0.35">
      <c r="A119" t="s">
        <v>0</v>
      </c>
      <c r="B119" t="s">
        <v>438</v>
      </c>
      <c r="C119">
        <v>5160001000</v>
      </c>
      <c r="D119" s="3" t="s">
        <v>6</v>
      </c>
      <c r="E119">
        <v>75</v>
      </c>
      <c r="F119" s="19" t="s">
        <v>77</v>
      </c>
      <c r="G119" s="55" t="s">
        <v>925</v>
      </c>
      <c r="H119" s="48" t="s">
        <v>103</v>
      </c>
      <c r="I119" s="48" t="s">
        <v>926</v>
      </c>
      <c r="Q119" s="3">
        <f t="shared" si="2"/>
        <v>75</v>
      </c>
    </row>
    <row r="120" spans="1:17" ht="37" customHeight="1" x14ac:dyDescent="0.35">
      <c r="A120" t="s">
        <v>0</v>
      </c>
      <c r="B120" t="s">
        <v>438</v>
      </c>
      <c r="C120">
        <v>5160001000</v>
      </c>
      <c r="D120" s="3" t="s">
        <v>6</v>
      </c>
      <c r="E120">
        <v>75</v>
      </c>
      <c r="F120" s="19" t="s">
        <v>77</v>
      </c>
      <c r="G120" s="55" t="s">
        <v>927</v>
      </c>
      <c r="H120" s="48" t="s">
        <v>103</v>
      </c>
      <c r="I120" s="48" t="s">
        <v>928</v>
      </c>
      <c r="Q120" s="3">
        <f t="shared" si="2"/>
        <v>75</v>
      </c>
    </row>
    <row r="121" spans="1:17" ht="37" customHeight="1" x14ac:dyDescent="0.35">
      <c r="A121" t="s">
        <v>0</v>
      </c>
      <c r="B121" t="s">
        <v>438</v>
      </c>
      <c r="C121">
        <v>5160001000</v>
      </c>
      <c r="D121" s="3" t="s">
        <v>6</v>
      </c>
      <c r="E121">
        <v>75</v>
      </c>
      <c r="F121" s="19" t="s">
        <v>77</v>
      </c>
      <c r="G121" s="55" t="s">
        <v>927</v>
      </c>
      <c r="H121" s="48" t="s">
        <v>103</v>
      </c>
      <c r="I121" s="48" t="s">
        <v>929</v>
      </c>
      <c r="Q121" s="3">
        <f t="shared" si="2"/>
        <v>75</v>
      </c>
    </row>
    <row r="122" spans="1:17" ht="37" customHeight="1" x14ac:dyDescent="0.35">
      <c r="A122" t="s">
        <v>0</v>
      </c>
      <c r="B122" t="s">
        <v>438</v>
      </c>
      <c r="C122">
        <v>5160001000</v>
      </c>
      <c r="D122" s="3" t="s">
        <v>6</v>
      </c>
      <c r="E122">
        <v>75</v>
      </c>
      <c r="F122" s="19" t="s">
        <v>77</v>
      </c>
      <c r="G122" s="55" t="s">
        <v>930</v>
      </c>
      <c r="H122" s="48" t="s">
        <v>103</v>
      </c>
      <c r="I122" s="48" t="s">
        <v>940</v>
      </c>
      <c r="Q122" s="3">
        <f t="shared" si="2"/>
        <v>75</v>
      </c>
    </row>
    <row r="123" spans="1:17" ht="37" customHeight="1" x14ac:dyDescent="0.35">
      <c r="A123" t="s">
        <v>0</v>
      </c>
      <c r="B123" t="s">
        <v>438</v>
      </c>
      <c r="C123">
        <v>5160001000</v>
      </c>
      <c r="D123" s="3" t="s">
        <v>6</v>
      </c>
      <c r="E123">
        <v>75</v>
      </c>
      <c r="F123" s="19" t="s">
        <v>77</v>
      </c>
      <c r="G123" s="55" t="s">
        <v>999</v>
      </c>
      <c r="H123" s="48" t="s">
        <v>103</v>
      </c>
      <c r="I123" s="48" t="s">
        <v>1000</v>
      </c>
      <c r="Q123" s="3">
        <f t="shared" si="2"/>
        <v>75</v>
      </c>
    </row>
    <row r="124" spans="1:17" ht="37" customHeight="1" x14ac:dyDescent="0.35">
      <c r="A124" t="s">
        <v>0</v>
      </c>
      <c r="B124" t="s">
        <v>438</v>
      </c>
      <c r="C124">
        <v>5160001000</v>
      </c>
      <c r="D124" s="3" t="s">
        <v>6</v>
      </c>
      <c r="E124">
        <v>75</v>
      </c>
      <c r="F124" s="19" t="s">
        <v>77</v>
      </c>
      <c r="G124" s="55" t="s">
        <v>1035</v>
      </c>
      <c r="H124" s="48" t="s">
        <v>103</v>
      </c>
      <c r="I124" s="48" t="s">
        <v>1036</v>
      </c>
      <c r="Q124" s="3">
        <f t="shared" si="2"/>
        <v>75</v>
      </c>
    </row>
    <row r="125" spans="1:17" ht="37" customHeight="1" x14ac:dyDescent="0.35">
      <c r="A125" t="s">
        <v>0</v>
      </c>
      <c r="B125" t="s">
        <v>438</v>
      </c>
      <c r="C125">
        <v>5160001000</v>
      </c>
      <c r="D125" s="3" t="s">
        <v>6</v>
      </c>
      <c r="E125">
        <v>75</v>
      </c>
      <c r="F125" s="19" t="s">
        <v>77</v>
      </c>
      <c r="G125" s="55" t="s">
        <v>1095</v>
      </c>
      <c r="H125" s="48" t="s">
        <v>103</v>
      </c>
      <c r="I125" s="48" t="s">
        <v>1113</v>
      </c>
      <c r="Q125" s="3">
        <f t="shared" si="2"/>
        <v>75</v>
      </c>
    </row>
    <row r="126" spans="1:17" ht="37" customHeight="1" x14ac:dyDescent="0.35">
      <c r="A126" t="s">
        <v>0</v>
      </c>
      <c r="B126" t="s">
        <v>438</v>
      </c>
      <c r="C126">
        <v>5160001000</v>
      </c>
      <c r="D126" s="3" t="s">
        <v>6</v>
      </c>
      <c r="E126">
        <v>75</v>
      </c>
      <c r="F126" s="19" t="s">
        <v>77</v>
      </c>
      <c r="G126" s="55" t="s">
        <v>1158</v>
      </c>
      <c r="H126" s="48" t="s">
        <v>103</v>
      </c>
      <c r="I126" s="48" t="s">
        <v>1173</v>
      </c>
      <c r="Q126" s="3">
        <f t="shared" si="2"/>
        <v>75</v>
      </c>
    </row>
    <row r="127" spans="1:17" ht="37" customHeight="1" x14ac:dyDescent="0.35">
      <c r="A127" t="s">
        <v>0</v>
      </c>
      <c r="B127" t="s">
        <v>438</v>
      </c>
      <c r="C127">
        <v>5160001000</v>
      </c>
      <c r="D127" s="3" t="s">
        <v>6</v>
      </c>
      <c r="E127">
        <v>75</v>
      </c>
      <c r="F127" s="19" t="s">
        <v>77</v>
      </c>
      <c r="G127" s="55" t="s">
        <v>1158</v>
      </c>
      <c r="H127" s="48" t="s">
        <v>103</v>
      </c>
      <c r="I127" s="48" t="s">
        <v>1174</v>
      </c>
      <c r="Q127" s="3">
        <f t="shared" si="2"/>
        <v>75</v>
      </c>
    </row>
    <row r="128" spans="1:17" ht="37" customHeight="1" x14ac:dyDescent="0.35">
      <c r="A128" t="s">
        <v>0</v>
      </c>
      <c r="B128" t="s">
        <v>438</v>
      </c>
      <c r="C128">
        <v>5160001000</v>
      </c>
      <c r="D128" s="3" t="s">
        <v>6</v>
      </c>
      <c r="E128">
        <v>75</v>
      </c>
      <c r="F128" s="19" t="s">
        <v>77</v>
      </c>
      <c r="G128" s="55" t="s">
        <v>1175</v>
      </c>
      <c r="H128" s="48" t="s">
        <v>103</v>
      </c>
      <c r="I128" s="48" t="s">
        <v>1183</v>
      </c>
      <c r="Q128" s="3">
        <f t="shared" si="2"/>
        <v>75</v>
      </c>
    </row>
    <row r="129" spans="1:17" ht="37" customHeight="1" x14ac:dyDescent="0.35">
      <c r="A129" t="s">
        <v>0</v>
      </c>
      <c r="B129" t="s">
        <v>438</v>
      </c>
      <c r="C129">
        <v>5160001000</v>
      </c>
      <c r="D129" s="3" t="s">
        <v>6</v>
      </c>
      <c r="E129">
        <v>75</v>
      </c>
      <c r="F129" s="19" t="s">
        <v>77</v>
      </c>
      <c r="G129" s="55" t="s">
        <v>1201</v>
      </c>
      <c r="H129" s="48" t="s">
        <v>103</v>
      </c>
      <c r="I129" s="48" t="s">
        <v>1202</v>
      </c>
      <c r="Q129" s="3">
        <f t="shared" si="2"/>
        <v>75</v>
      </c>
    </row>
    <row r="130" spans="1:17" ht="37" customHeight="1" x14ac:dyDescent="0.35">
      <c r="A130" t="s">
        <v>0</v>
      </c>
      <c r="B130" t="s">
        <v>438</v>
      </c>
      <c r="C130">
        <v>5160001000</v>
      </c>
      <c r="D130" s="3" t="s">
        <v>6</v>
      </c>
      <c r="E130">
        <v>75</v>
      </c>
      <c r="F130" s="19" t="s">
        <v>77</v>
      </c>
      <c r="G130" s="55" t="s">
        <v>1305</v>
      </c>
      <c r="H130" s="48" t="s">
        <v>103</v>
      </c>
      <c r="I130" s="48" t="s">
        <v>1322</v>
      </c>
      <c r="Q130" s="3">
        <f t="shared" si="2"/>
        <v>75</v>
      </c>
    </row>
    <row r="131" spans="1:17" ht="37" customHeight="1" x14ac:dyDescent="0.35">
      <c r="A131" t="s">
        <v>0</v>
      </c>
      <c r="B131" t="s">
        <v>438</v>
      </c>
      <c r="C131">
        <v>5160001000</v>
      </c>
      <c r="D131" s="3" t="s">
        <v>6</v>
      </c>
      <c r="E131">
        <v>75</v>
      </c>
      <c r="F131" s="19" t="s">
        <v>77</v>
      </c>
      <c r="G131" s="55" t="s">
        <v>1371</v>
      </c>
      <c r="H131" s="48" t="s">
        <v>103</v>
      </c>
      <c r="I131" s="48" t="s">
        <v>1374</v>
      </c>
      <c r="Q131" s="3">
        <f t="shared" si="2"/>
        <v>75</v>
      </c>
    </row>
    <row r="132" spans="1:17" ht="37" customHeight="1" x14ac:dyDescent="0.35">
      <c r="A132" t="s">
        <v>0</v>
      </c>
      <c r="B132" t="s">
        <v>438</v>
      </c>
      <c r="C132">
        <v>5160001000</v>
      </c>
      <c r="D132" s="3" t="s">
        <v>6</v>
      </c>
      <c r="E132">
        <v>75</v>
      </c>
      <c r="F132" s="19" t="s">
        <v>77</v>
      </c>
      <c r="G132" s="55" t="s">
        <v>1409</v>
      </c>
      <c r="H132" s="48" t="s">
        <v>103</v>
      </c>
      <c r="I132" s="48" t="s">
        <v>1410</v>
      </c>
      <c r="Q132" s="3">
        <f t="shared" si="2"/>
        <v>75</v>
      </c>
    </row>
    <row r="133" spans="1:17" ht="37" customHeight="1" x14ac:dyDescent="0.35">
      <c r="A133" t="s">
        <v>0</v>
      </c>
      <c r="B133" t="s">
        <v>434</v>
      </c>
      <c r="C133">
        <v>5160001000</v>
      </c>
      <c r="D133" s="3" t="s">
        <v>6</v>
      </c>
      <c r="E133">
        <v>39.92</v>
      </c>
      <c r="F133" s="19" t="s">
        <v>77</v>
      </c>
      <c r="G133" s="55" t="s">
        <v>1333</v>
      </c>
      <c r="H133" s="48" t="s">
        <v>78</v>
      </c>
      <c r="I133" s="48" t="s">
        <v>1354</v>
      </c>
      <c r="K133" s="48" t="s">
        <v>1355</v>
      </c>
      <c r="L133" t="s">
        <v>1356</v>
      </c>
      <c r="M133" s="48" t="s">
        <v>1249</v>
      </c>
      <c r="Q133" s="3">
        <f t="shared" si="2"/>
        <v>39.92</v>
      </c>
    </row>
    <row r="134" spans="1:17" ht="37" customHeight="1" x14ac:dyDescent="0.35">
      <c r="A134" t="s">
        <v>0</v>
      </c>
      <c r="B134" t="s">
        <v>438</v>
      </c>
      <c r="C134">
        <v>5160001000</v>
      </c>
      <c r="D134" s="3" t="s">
        <v>6</v>
      </c>
      <c r="E134">
        <v>20.46</v>
      </c>
      <c r="F134" s="19" t="s">
        <v>77</v>
      </c>
      <c r="G134" s="55" t="s">
        <v>1095</v>
      </c>
      <c r="H134" s="48" t="s">
        <v>103</v>
      </c>
      <c r="I134" s="48" t="s">
        <v>1112</v>
      </c>
      <c r="Q134" s="3">
        <f t="shared" si="2"/>
        <v>20.46</v>
      </c>
    </row>
    <row r="135" spans="1:17" ht="37" customHeight="1" x14ac:dyDescent="0.35">
      <c r="A135" t="s">
        <v>0</v>
      </c>
      <c r="B135" t="s">
        <v>438</v>
      </c>
      <c r="C135">
        <v>5160001000</v>
      </c>
      <c r="D135" s="3" t="s">
        <v>6</v>
      </c>
      <c r="E135">
        <v>10</v>
      </c>
      <c r="F135" s="19" t="s">
        <v>77</v>
      </c>
      <c r="G135" s="55" t="s">
        <v>1406</v>
      </c>
      <c r="H135" s="48" t="s">
        <v>103</v>
      </c>
      <c r="I135" s="48" t="s">
        <v>1407</v>
      </c>
      <c r="Q135" s="3">
        <f t="shared" si="2"/>
        <v>10</v>
      </c>
    </row>
    <row r="136" spans="1:17" ht="37" customHeight="1" x14ac:dyDescent="0.35">
      <c r="A136" t="s">
        <v>0</v>
      </c>
      <c r="B136" t="s">
        <v>431</v>
      </c>
      <c r="C136">
        <v>5160001000</v>
      </c>
      <c r="D136" s="3" t="s">
        <v>6</v>
      </c>
      <c r="E136">
        <v>-5.23</v>
      </c>
      <c r="F136" s="19" t="s">
        <v>77</v>
      </c>
      <c r="G136" s="55" t="s">
        <v>1400</v>
      </c>
      <c r="H136" s="48" t="s">
        <v>119</v>
      </c>
      <c r="I136" s="48" t="s">
        <v>120</v>
      </c>
      <c r="Q136" s="3">
        <f t="shared" si="2"/>
        <v>5.23</v>
      </c>
    </row>
    <row r="137" spans="1:17" ht="37" customHeight="1" x14ac:dyDescent="0.35">
      <c r="A137" t="s">
        <v>0</v>
      </c>
      <c r="B137" t="s">
        <v>431</v>
      </c>
      <c r="C137">
        <v>5160001000</v>
      </c>
      <c r="D137" s="3" t="s">
        <v>6</v>
      </c>
      <c r="E137">
        <v>4.83</v>
      </c>
      <c r="F137" s="19" t="s">
        <v>77</v>
      </c>
      <c r="G137" s="55" t="s">
        <v>1198</v>
      </c>
      <c r="H137" s="48" t="s">
        <v>119</v>
      </c>
      <c r="I137" s="48" t="s">
        <v>120</v>
      </c>
      <c r="Q137" s="3">
        <f t="shared" si="2"/>
        <v>4.83</v>
      </c>
    </row>
    <row r="138" spans="1:17" ht="37" customHeight="1" x14ac:dyDescent="0.35">
      <c r="A138" t="s">
        <v>0</v>
      </c>
      <c r="B138" t="s">
        <v>431</v>
      </c>
      <c r="C138">
        <v>5160001000</v>
      </c>
      <c r="D138" s="3" t="s">
        <v>6</v>
      </c>
      <c r="E138">
        <v>-4.6100000000000003</v>
      </c>
      <c r="F138" s="19" t="s">
        <v>77</v>
      </c>
      <c r="G138" s="55" t="s">
        <v>930</v>
      </c>
      <c r="H138" s="48" t="s">
        <v>119</v>
      </c>
      <c r="I138" s="48" t="s">
        <v>120</v>
      </c>
      <c r="Q138" s="3">
        <f t="shared" si="2"/>
        <v>4.6100000000000003</v>
      </c>
    </row>
    <row r="139" spans="1:17" ht="37" customHeight="1" x14ac:dyDescent="0.35">
      <c r="A139" t="s">
        <v>0</v>
      </c>
      <c r="B139" t="s">
        <v>431</v>
      </c>
      <c r="C139">
        <v>5160001000</v>
      </c>
      <c r="D139" s="3" t="s">
        <v>6</v>
      </c>
      <c r="E139">
        <v>-3.78</v>
      </c>
      <c r="F139" s="19" t="s">
        <v>77</v>
      </c>
      <c r="G139" s="55" t="s">
        <v>1076</v>
      </c>
      <c r="H139" s="48" t="s">
        <v>119</v>
      </c>
      <c r="I139" s="48" t="s">
        <v>120</v>
      </c>
      <c r="Q139" s="3">
        <f t="shared" si="2"/>
        <v>3.78</v>
      </c>
    </row>
    <row r="140" spans="1:17" ht="37" customHeight="1" x14ac:dyDescent="0.35">
      <c r="A140" t="s">
        <v>0</v>
      </c>
      <c r="B140" t="s">
        <v>431</v>
      </c>
      <c r="C140">
        <v>5160001000</v>
      </c>
      <c r="D140" s="3" t="s">
        <v>6</v>
      </c>
      <c r="E140">
        <v>3.67</v>
      </c>
      <c r="F140" s="19" t="s">
        <v>77</v>
      </c>
      <c r="G140" s="55" t="s">
        <v>1371</v>
      </c>
      <c r="H140" s="48" t="s">
        <v>119</v>
      </c>
      <c r="I140" s="48" t="s">
        <v>120</v>
      </c>
      <c r="Q140" s="3">
        <f t="shared" si="2"/>
        <v>3.67</v>
      </c>
    </row>
    <row r="141" spans="1:17" ht="37" customHeight="1" x14ac:dyDescent="0.35">
      <c r="A141" t="s">
        <v>0</v>
      </c>
      <c r="B141" t="s">
        <v>431</v>
      </c>
      <c r="C141">
        <v>5160001000</v>
      </c>
      <c r="D141" s="3" t="s">
        <v>6</v>
      </c>
      <c r="E141">
        <v>-3.53</v>
      </c>
      <c r="F141" s="19" t="s">
        <v>77</v>
      </c>
      <c r="G141" s="55" t="s">
        <v>1114</v>
      </c>
      <c r="H141" s="48" t="s">
        <v>119</v>
      </c>
      <c r="I141" s="48" t="s">
        <v>120</v>
      </c>
      <c r="Q141" s="3">
        <f t="shared" si="2"/>
        <v>3.53</v>
      </c>
    </row>
    <row r="142" spans="1:17" ht="37" customHeight="1" x14ac:dyDescent="0.35">
      <c r="A142" t="s">
        <v>0</v>
      </c>
      <c r="B142" t="s">
        <v>431</v>
      </c>
      <c r="C142">
        <v>5160001000</v>
      </c>
      <c r="D142" s="3" t="s">
        <v>6</v>
      </c>
      <c r="E142">
        <v>3.2</v>
      </c>
      <c r="F142" s="19" t="s">
        <v>77</v>
      </c>
      <c r="G142" s="55" t="s">
        <v>1399</v>
      </c>
      <c r="H142" s="48" t="s">
        <v>119</v>
      </c>
      <c r="I142" s="48" t="s">
        <v>120</v>
      </c>
      <c r="Q142" s="3">
        <f t="shared" si="2"/>
        <v>3.2</v>
      </c>
    </row>
    <row r="143" spans="1:17" ht="37" customHeight="1" x14ac:dyDescent="0.35">
      <c r="A143" t="s">
        <v>0</v>
      </c>
      <c r="B143" t="s">
        <v>431</v>
      </c>
      <c r="C143">
        <v>5160001000</v>
      </c>
      <c r="D143" s="3" t="s">
        <v>6</v>
      </c>
      <c r="E143">
        <v>2.62</v>
      </c>
      <c r="F143" s="19" t="s">
        <v>77</v>
      </c>
      <c r="G143" s="55" t="s">
        <v>1375</v>
      </c>
      <c r="H143" s="48" t="s">
        <v>119</v>
      </c>
      <c r="I143" s="48" t="s">
        <v>120</v>
      </c>
      <c r="Q143" s="3">
        <f t="shared" si="2"/>
        <v>2.62</v>
      </c>
    </row>
    <row r="144" spans="1:17" ht="37" customHeight="1" x14ac:dyDescent="0.35">
      <c r="A144" t="s">
        <v>0</v>
      </c>
      <c r="B144" t="s">
        <v>431</v>
      </c>
      <c r="C144">
        <v>5160001000</v>
      </c>
      <c r="D144" s="3" t="s">
        <v>6</v>
      </c>
      <c r="E144">
        <v>-2.4</v>
      </c>
      <c r="F144" s="19" t="s">
        <v>77</v>
      </c>
      <c r="G144" s="55" t="s">
        <v>1408</v>
      </c>
      <c r="H144" s="48" t="s">
        <v>119</v>
      </c>
      <c r="I144" s="48" t="s">
        <v>120</v>
      </c>
      <c r="Q144" s="3">
        <f t="shared" si="2"/>
        <v>2.4</v>
      </c>
    </row>
    <row r="145" spans="1:17" ht="37" customHeight="1" x14ac:dyDescent="0.35">
      <c r="A145" t="s">
        <v>0</v>
      </c>
      <c r="B145" t="s">
        <v>431</v>
      </c>
      <c r="C145">
        <v>5160001000</v>
      </c>
      <c r="D145" s="3" t="s">
        <v>6</v>
      </c>
      <c r="E145">
        <v>2.34</v>
      </c>
      <c r="F145" s="19" t="s">
        <v>77</v>
      </c>
      <c r="G145" s="55" t="s">
        <v>927</v>
      </c>
      <c r="H145" s="48" t="s">
        <v>119</v>
      </c>
      <c r="I145" s="48" t="s">
        <v>120</v>
      </c>
      <c r="Q145" s="3">
        <f t="shared" si="2"/>
        <v>2.34</v>
      </c>
    </row>
    <row r="146" spans="1:17" ht="37" customHeight="1" x14ac:dyDescent="0.35">
      <c r="A146" t="s">
        <v>0</v>
      </c>
      <c r="B146" t="s">
        <v>431</v>
      </c>
      <c r="C146">
        <v>5160001000</v>
      </c>
      <c r="D146" s="3" t="s">
        <v>6</v>
      </c>
      <c r="E146">
        <v>-2.23</v>
      </c>
      <c r="F146" s="19" t="s">
        <v>77</v>
      </c>
      <c r="G146" s="55" t="s">
        <v>1175</v>
      </c>
      <c r="H146" s="48" t="s">
        <v>119</v>
      </c>
      <c r="I146" s="48" t="s">
        <v>120</v>
      </c>
      <c r="Q146" s="3">
        <f t="shared" si="2"/>
        <v>2.23</v>
      </c>
    </row>
    <row r="147" spans="1:17" ht="37" customHeight="1" x14ac:dyDescent="0.35">
      <c r="A147" t="s">
        <v>0</v>
      </c>
      <c r="B147" t="s">
        <v>431</v>
      </c>
      <c r="C147">
        <v>5160001000</v>
      </c>
      <c r="D147" s="3" t="s">
        <v>6</v>
      </c>
      <c r="E147">
        <v>2.17</v>
      </c>
      <c r="F147" s="19" t="s">
        <v>77</v>
      </c>
      <c r="G147" s="55" t="s">
        <v>1395</v>
      </c>
      <c r="H147" s="48" t="s">
        <v>119</v>
      </c>
      <c r="I147" s="48" t="s">
        <v>120</v>
      </c>
      <c r="Q147" s="3">
        <f t="shared" si="2"/>
        <v>2.17</v>
      </c>
    </row>
    <row r="148" spans="1:17" ht="37" customHeight="1" x14ac:dyDescent="0.35">
      <c r="A148" t="s">
        <v>0</v>
      </c>
      <c r="B148" t="s">
        <v>431</v>
      </c>
      <c r="C148">
        <v>5160001000</v>
      </c>
      <c r="D148" s="3" t="s">
        <v>6</v>
      </c>
      <c r="E148">
        <v>-2.12</v>
      </c>
      <c r="F148" s="19" t="s">
        <v>77</v>
      </c>
      <c r="G148" s="55" t="s">
        <v>1404</v>
      </c>
      <c r="H148" s="48" t="s">
        <v>119</v>
      </c>
      <c r="I148" s="48" t="s">
        <v>120</v>
      </c>
      <c r="Q148" s="3">
        <f t="shared" si="2"/>
        <v>2.12</v>
      </c>
    </row>
    <row r="149" spans="1:17" ht="37" customHeight="1" x14ac:dyDescent="0.35">
      <c r="A149" t="s">
        <v>0</v>
      </c>
      <c r="B149" t="s">
        <v>431</v>
      </c>
      <c r="C149">
        <v>5160001000</v>
      </c>
      <c r="D149" s="3" t="s">
        <v>6</v>
      </c>
      <c r="E149">
        <v>2.08</v>
      </c>
      <c r="F149" s="19" t="s">
        <v>77</v>
      </c>
      <c r="G149" s="55" t="s">
        <v>1158</v>
      </c>
      <c r="H149" s="48" t="s">
        <v>119</v>
      </c>
      <c r="I149" s="48" t="s">
        <v>120</v>
      </c>
      <c r="Q149" s="3">
        <f t="shared" si="2"/>
        <v>2.08</v>
      </c>
    </row>
    <row r="150" spans="1:17" ht="37" customHeight="1" x14ac:dyDescent="0.35">
      <c r="A150" t="s">
        <v>0</v>
      </c>
      <c r="B150" t="s">
        <v>431</v>
      </c>
      <c r="C150">
        <v>5160001000</v>
      </c>
      <c r="D150" s="3" t="s">
        <v>6</v>
      </c>
      <c r="E150">
        <v>-1.99</v>
      </c>
      <c r="F150" s="19" t="s">
        <v>77</v>
      </c>
      <c r="G150" s="55" t="s">
        <v>1396</v>
      </c>
      <c r="H150" s="48" t="s">
        <v>119</v>
      </c>
      <c r="I150" s="48" t="s">
        <v>120</v>
      </c>
      <c r="Q150" s="3">
        <f t="shared" si="2"/>
        <v>1.99</v>
      </c>
    </row>
    <row r="151" spans="1:17" ht="37" customHeight="1" x14ac:dyDescent="0.35">
      <c r="A151" t="s">
        <v>0</v>
      </c>
      <c r="B151" t="s">
        <v>431</v>
      </c>
      <c r="C151">
        <v>5160001000</v>
      </c>
      <c r="D151" s="3" t="s">
        <v>6</v>
      </c>
      <c r="E151">
        <v>1.93</v>
      </c>
      <c r="F151" s="19" t="s">
        <v>77</v>
      </c>
      <c r="G151" s="55" t="s">
        <v>957</v>
      </c>
      <c r="H151" s="48" t="s">
        <v>119</v>
      </c>
      <c r="I151" s="48" t="s">
        <v>120</v>
      </c>
      <c r="Q151" s="3">
        <f t="shared" si="2"/>
        <v>1.93</v>
      </c>
    </row>
    <row r="152" spans="1:17" ht="37" customHeight="1" x14ac:dyDescent="0.35">
      <c r="A152" t="s">
        <v>0</v>
      </c>
      <c r="B152" t="s">
        <v>431</v>
      </c>
      <c r="C152">
        <v>5160001000</v>
      </c>
      <c r="D152" s="3" t="s">
        <v>6</v>
      </c>
      <c r="E152">
        <v>1.92</v>
      </c>
      <c r="F152" s="19" t="s">
        <v>77</v>
      </c>
      <c r="G152" s="55" t="s">
        <v>991</v>
      </c>
      <c r="H152" s="48" t="s">
        <v>119</v>
      </c>
      <c r="I152" s="48" t="s">
        <v>120</v>
      </c>
      <c r="Q152" s="3">
        <f t="shared" si="2"/>
        <v>1.92</v>
      </c>
    </row>
    <row r="153" spans="1:17" ht="37" customHeight="1" x14ac:dyDescent="0.35">
      <c r="A153" t="s">
        <v>0</v>
      </c>
      <c r="B153" t="s">
        <v>431</v>
      </c>
      <c r="C153">
        <v>5160001000</v>
      </c>
      <c r="D153" s="3" t="s">
        <v>6</v>
      </c>
      <c r="E153">
        <v>1.91</v>
      </c>
      <c r="F153" s="19" t="s">
        <v>77</v>
      </c>
      <c r="G153" s="55" t="s">
        <v>989</v>
      </c>
      <c r="H153" s="48" t="s">
        <v>119</v>
      </c>
      <c r="I153" s="48" t="s">
        <v>120</v>
      </c>
      <c r="Q153" s="3">
        <f t="shared" si="2"/>
        <v>1.91</v>
      </c>
    </row>
    <row r="154" spans="1:17" ht="37" customHeight="1" x14ac:dyDescent="0.35">
      <c r="A154" t="s">
        <v>0</v>
      </c>
      <c r="B154" t="s">
        <v>431</v>
      </c>
      <c r="C154">
        <v>5160001000</v>
      </c>
      <c r="D154" s="3" t="s">
        <v>6</v>
      </c>
      <c r="E154">
        <v>1.89</v>
      </c>
      <c r="F154" s="19" t="s">
        <v>77</v>
      </c>
      <c r="G154" s="55" t="s">
        <v>1011</v>
      </c>
      <c r="H154" s="48" t="s">
        <v>119</v>
      </c>
      <c r="I154" s="48" t="s">
        <v>120</v>
      </c>
      <c r="Q154" s="3">
        <f t="shared" si="2"/>
        <v>1.89</v>
      </c>
    </row>
    <row r="155" spans="1:17" ht="37" customHeight="1" x14ac:dyDescent="0.35">
      <c r="A155" t="s">
        <v>0</v>
      </c>
      <c r="B155" t="s">
        <v>431</v>
      </c>
      <c r="C155">
        <v>5160001000</v>
      </c>
      <c r="D155" s="3" t="s">
        <v>6</v>
      </c>
      <c r="E155">
        <v>1.81</v>
      </c>
      <c r="F155" s="19" t="s">
        <v>77</v>
      </c>
      <c r="G155" s="55" t="s">
        <v>1095</v>
      </c>
      <c r="H155" s="48" t="s">
        <v>119</v>
      </c>
      <c r="I155" s="48" t="s">
        <v>120</v>
      </c>
      <c r="Q155" s="3">
        <f t="shared" si="2"/>
        <v>1.81</v>
      </c>
    </row>
    <row r="156" spans="1:17" ht="37" customHeight="1" x14ac:dyDescent="0.35">
      <c r="A156" t="s">
        <v>0</v>
      </c>
      <c r="B156" t="s">
        <v>431</v>
      </c>
      <c r="C156">
        <v>5160001000</v>
      </c>
      <c r="D156" s="3" t="s">
        <v>6</v>
      </c>
      <c r="E156">
        <v>1.42</v>
      </c>
      <c r="F156" s="19" t="s">
        <v>77</v>
      </c>
      <c r="G156" s="55" t="s">
        <v>1405</v>
      </c>
      <c r="H156" s="48" t="s">
        <v>119</v>
      </c>
      <c r="I156" s="48" t="s">
        <v>120</v>
      </c>
      <c r="Q156" s="3">
        <f t="shared" si="2"/>
        <v>1.42</v>
      </c>
    </row>
    <row r="157" spans="1:17" ht="37" customHeight="1" x14ac:dyDescent="0.35">
      <c r="A157" t="s">
        <v>0</v>
      </c>
      <c r="B157" t="s">
        <v>431</v>
      </c>
      <c r="C157">
        <v>5160001000</v>
      </c>
      <c r="D157" s="3" t="s">
        <v>6</v>
      </c>
      <c r="E157">
        <v>1.38</v>
      </c>
      <c r="F157" s="19" t="s">
        <v>77</v>
      </c>
      <c r="G157" s="55" t="s">
        <v>1199</v>
      </c>
      <c r="H157" s="48" t="s">
        <v>119</v>
      </c>
      <c r="I157" s="48" t="s">
        <v>120</v>
      </c>
      <c r="Q157" s="3">
        <f t="shared" si="2"/>
        <v>1.38</v>
      </c>
    </row>
    <row r="158" spans="1:17" ht="37" customHeight="1" x14ac:dyDescent="0.35">
      <c r="A158" t="s">
        <v>0</v>
      </c>
      <c r="B158" t="s">
        <v>431</v>
      </c>
      <c r="C158">
        <v>5160001000</v>
      </c>
      <c r="D158" s="3" t="s">
        <v>6</v>
      </c>
      <c r="E158">
        <v>1.26</v>
      </c>
      <c r="F158" s="19" t="s">
        <v>77</v>
      </c>
      <c r="G158" s="55" t="s">
        <v>1361</v>
      </c>
      <c r="H158" s="48" t="s">
        <v>119</v>
      </c>
      <c r="I158" s="48" t="s">
        <v>120</v>
      </c>
      <c r="Q158" s="3">
        <f t="shared" si="2"/>
        <v>1.26</v>
      </c>
    </row>
    <row r="159" spans="1:17" ht="37" customHeight="1" x14ac:dyDescent="0.35">
      <c r="A159" t="s">
        <v>0</v>
      </c>
      <c r="B159" t="s">
        <v>431</v>
      </c>
      <c r="C159">
        <v>5160001000</v>
      </c>
      <c r="D159" s="3" t="s">
        <v>6</v>
      </c>
      <c r="E159">
        <v>1.17</v>
      </c>
      <c r="F159" s="19" t="s">
        <v>77</v>
      </c>
      <c r="G159" s="55" t="s">
        <v>1323</v>
      </c>
      <c r="H159" s="48" t="s">
        <v>119</v>
      </c>
      <c r="I159" s="48" t="s">
        <v>120</v>
      </c>
      <c r="Q159" s="3">
        <f t="shared" si="2"/>
        <v>1.17</v>
      </c>
    </row>
    <row r="160" spans="1:17" ht="37" customHeight="1" x14ac:dyDescent="0.35">
      <c r="A160" t="s">
        <v>0</v>
      </c>
      <c r="B160" t="s">
        <v>431</v>
      </c>
      <c r="C160">
        <v>5160001000</v>
      </c>
      <c r="D160" s="3" t="s">
        <v>6</v>
      </c>
      <c r="E160">
        <v>-1.1599999999999999</v>
      </c>
      <c r="F160" s="19" t="s">
        <v>77</v>
      </c>
      <c r="G160" s="55" t="s">
        <v>1204</v>
      </c>
      <c r="H160" s="48" t="s">
        <v>119</v>
      </c>
      <c r="I160" s="48" t="s">
        <v>120</v>
      </c>
      <c r="Q160" s="3">
        <f t="shared" si="2"/>
        <v>1.1599999999999999</v>
      </c>
    </row>
    <row r="161" spans="1:17" ht="37" customHeight="1" x14ac:dyDescent="0.35">
      <c r="A161" t="s">
        <v>0</v>
      </c>
      <c r="B161" t="s">
        <v>431</v>
      </c>
      <c r="C161">
        <v>5160001000</v>
      </c>
      <c r="D161" s="3" t="s">
        <v>6</v>
      </c>
      <c r="E161">
        <v>-1.1299999999999999</v>
      </c>
      <c r="F161" s="19" t="s">
        <v>77</v>
      </c>
      <c r="G161" s="55" t="s">
        <v>1324</v>
      </c>
      <c r="H161" s="48" t="s">
        <v>119</v>
      </c>
      <c r="I161" s="48" t="s">
        <v>120</v>
      </c>
      <c r="Q161" s="3">
        <f t="shared" si="2"/>
        <v>1.1299999999999999</v>
      </c>
    </row>
    <row r="162" spans="1:17" ht="37" customHeight="1" x14ac:dyDescent="0.35">
      <c r="A162" t="s">
        <v>0</v>
      </c>
      <c r="B162" t="s">
        <v>431</v>
      </c>
      <c r="C162">
        <v>5160001000</v>
      </c>
      <c r="D162" s="3" t="s">
        <v>6</v>
      </c>
      <c r="E162">
        <v>1.0900000000000001</v>
      </c>
      <c r="F162" s="19" t="s">
        <v>77</v>
      </c>
      <c r="G162" s="55" t="s">
        <v>988</v>
      </c>
      <c r="H162" s="48" t="s">
        <v>119</v>
      </c>
      <c r="I162" s="48" t="s">
        <v>120</v>
      </c>
      <c r="Q162" s="3">
        <f t="shared" si="2"/>
        <v>1.0900000000000001</v>
      </c>
    </row>
    <row r="163" spans="1:17" ht="37" customHeight="1" x14ac:dyDescent="0.35">
      <c r="A163" t="s">
        <v>0</v>
      </c>
      <c r="B163" t="s">
        <v>431</v>
      </c>
      <c r="C163">
        <v>5160001000</v>
      </c>
      <c r="D163" s="3" t="s">
        <v>6</v>
      </c>
      <c r="E163">
        <v>-1.01</v>
      </c>
      <c r="F163" s="19" t="s">
        <v>77</v>
      </c>
      <c r="G163" s="55" t="s">
        <v>1201</v>
      </c>
      <c r="H163" s="48" t="s">
        <v>119</v>
      </c>
      <c r="I163" s="48" t="s">
        <v>120</v>
      </c>
      <c r="Q163" s="3">
        <f t="shared" si="2"/>
        <v>1.01</v>
      </c>
    </row>
    <row r="164" spans="1:17" ht="37" customHeight="1" x14ac:dyDescent="0.35">
      <c r="A164" t="s">
        <v>0</v>
      </c>
      <c r="B164" t="s">
        <v>431</v>
      </c>
      <c r="C164">
        <v>5160001000</v>
      </c>
      <c r="D164" s="3" t="s">
        <v>6</v>
      </c>
      <c r="E164">
        <v>0.99</v>
      </c>
      <c r="F164" s="19" t="s">
        <v>77</v>
      </c>
      <c r="G164" s="55" t="s">
        <v>980</v>
      </c>
      <c r="H164" s="48" t="s">
        <v>119</v>
      </c>
      <c r="I164" s="48" t="s">
        <v>120</v>
      </c>
      <c r="Q164" s="3">
        <f t="shared" si="2"/>
        <v>0.99</v>
      </c>
    </row>
    <row r="165" spans="1:17" ht="37" customHeight="1" x14ac:dyDescent="0.35">
      <c r="A165" t="s">
        <v>0</v>
      </c>
      <c r="B165" t="s">
        <v>431</v>
      </c>
      <c r="C165">
        <v>5160001000</v>
      </c>
      <c r="D165" s="3" t="s">
        <v>6</v>
      </c>
      <c r="E165">
        <v>-0.93</v>
      </c>
      <c r="F165" s="19" t="s">
        <v>77</v>
      </c>
      <c r="G165" s="55" t="s">
        <v>999</v>
      </c>
      <c r="H165" s="48" t="s">
        <v>119</v>
      </c>
      <c r="I165" s="48" t="s">
        <v>120</v>
      </c>
      <c r="Q165" s="3">
        <f t="shared" si="2"/>
        <v>0.93</v>
      </c>
    </row>
    <row r="166" spans="1:17" ht="37" customHeight="1" x14ac:dyDescent="0.35">
      <c r="A166" t="s">
        <v>0</v>
      </c>
      <c r="B166" t="s">
        <v>431</v>
      </c>
      <c r="C166">
        <v>5160001000</v>
      </c>
      <c r="D166" s="3" t="s">
        <v>6</v>
      </c>
      <c r="E166">
        <v>0.87</v>
      </c>
      <c r="F166" s="19" t="s">
        <v>77</v>
      </c>
      <c r="G166" s="55" t="s">
        <v>1094</v>
      </c>
      <c r="H166" s="48" t="s">
        <v>119</v>
      </c>
      <c r="I166" s="48" t="s">
        <v>120</v>
      </c>
      <c r="Q166" s="3">
        <f t="shared" si="2"/>
        <v>0.87</v>
      </c>
    </row>
    <row r="167" spans="1:17" ht="37" customHeight="1" x14ac:dyDescent="0.35">
      <c r="A167" t="s">
        <v>0</v>
      </c>
      <c r="B167" t="s">
        <v>431</v>
      </c>
      <c r="C167">
        <v>5160001000</v>
      </c>
      <c r="D167" s="3" t="s">
        <v>6</v>
      </c>
      <c r="E167">
        <v>0.7</v>
      </c>
      <c r="F167" s="19" t="s">
        <v>77</v>
      </c>
      <c r="G167" s="55" t="s">
        <v>987</v>
      </c>
      <c r="H167" s="48" t="s">
        <v>119</v>
      </c>
      <c r="I167" s="48" t="s">
        <v>120</v>
      </c>
      <c r="Q167" s="3">
        <f t="shared" si="2"/>
        <v>0.7</v>
      </c>
    </row>
    <row r="168" spans="1:17" ht="37" customHeight="1" x14ac:dyDescent="0.35">
      <c r="A168" t="s">
        <v>0</v>
      </c>
      <c r="B168" t="s">
        <v>431</v>
      </c>
      <c r="C168">
        <v>5160001000</v>
      </c>
      <c r="D168" s="3" t="s">
        <v>6</v>
      </c>
      <c r="E168">
        <v>-0.63</v>
      </c>
      <c r="F168" s="19" t="s">
        <v>77</v>
      </c>
      <c r="G168" s="55" t="s">
        <v>982</v>
      </c>
      <c r="H168" s="48" t="s">
        <v>119</v>
      </c>
      <c r="I168" s="48" t="s">
        <v>120</v>
      </c>
      <c r="Q168" s="3">
        <f t="shared" si="2"/>
        <v>0.63</v>
      </c>
    </row>
    <row r="169" spans="1:17" ht="37" customHeight="1" x14ac:dyDescent="0.35">
      <c r="A169" t="s">
        <v>0</v>
      </c>
      <c r="B169" t="s">
        <v>431</v>
      </c>
      <c r="C169">
        <v>5160001000</v>
      </c>
      <c r="D169" s="3" t="s">
        <v>6</v>
      </c>
      <c r="E169">
        <v>0.57999999999999996</v>
      </c>
      <c r="F169" s="19" t="s">
        <v>77</v>
      </c>
      <c r="G169" s="55" t="s">
        <v>1077</v>
      </c>
      <c r="H169" s="48" t="s">
        <v>119</v>
      </c>
      <c r="I169" s="48" t="s">
        <v>120</v>
      </c>
      <c r="Q169" s="3">
        <f t="shared" si="2"/>
        <v>0.57999999999999996</v>
      </c>
    </row>
    <row r="170" spans="1:17" ht="37" customHeight="1" x14ac:dyDescent="0.35">
      <c r="A170" t="s">
        <v>0</v>
      </c>
      <c r="B170" t="s">
        <v>431</v>
      </c>
      <c r="C170">
        <v>5160001000</v>
      </c>
      <c r="D170" s="3" t="s">
        <v>6</v>
      </c>
      <c r="E170">
        <v>-0.57999999999999996</v>
      </c>
      <c r="F170" s="19" t="s">
        <v>77</v>
      </c>
      <c r="G170" s="55" t="s">
        <v>1406</v>
      </c>
      <c r="H170" s="48" t="s">
        <v>119</v>
      </c>
      <c r="I170" s="48" t="s">
        <v>120</v>
      </c>
      <c r="Q170" s="3">
        <f t="shared" si="2"/>
        <v>0.57999999999999996</v>
      </c>
    </row>
    <row r="171" spans="1:17" ht="37" customHeight="1" x14ac:dyDescent="0.35">
      <c r="A171" t="s">
        <v>0</v>
      </c>
      <c r="B171" t="s">
        <v>431</v>
      </c>
      <c r="C171">
        <v>5160001000</v>
      </c>
      <c r="D171" s="3" t="s">
        <v>6</v>
      </c>
      <c r="E171">
        <v>-0.54</v>
      </c>
      <c r="F171" s="19" t="s">
        <v>77</v>
      </c>
      <c r="G171" s="55" t="s">
        <v>981</v>
      </c>
      <c r="H171" s="48" t="s">
        <v>119</v>
      </c>
      <c r="I171" s="48" t="s">
        <v>120</v>
      </c>
      <c r="Q171" s="3">
        <f t="shared" si="2"/>
        <v>0.54</v>
      </c>
    </row>
    <row r="172" spans="1:17" ht="37" customHeight="1" x14ac:dyDescent="0.35">
      <c r="A172" t="s">
        <v>0</v>
      </c>
      <c r="B172" t="s">
        <v>431</v>
      </c>
      <c r="C172">
        <v>5160001000</v>
      </c>
      <c r="D172" s="3" t="s">
        <v>6</v>
      </c>
      <c r="E172">
        <v>0.45</v>
      </c>
      <c r="F172" s="19" t="s">
        <v>77</v>
      </c>
      <c r="G172" s="55" t="s">
        <v>1409</v>
      </c>
      <c r="H172" s="48" t="s">
        <v>119</v>
      </c>
      <c r="I172" s="48" t="s">
        <v>120</v>
      </c>
      <c r="Q172" s="3">
        <f t="shared" ref="Q172:Q176" si="3">ABS(E172)</f>
        <v>0.45</v>
      </c>
    </row>
    <row r="173" spans="1:17" ht="37" customHeight="1" x14ac:dyDescent="0.35">
      <c r="A173" t="s">
        <v>0</v>
      </c>
      <c r="B173" t="s">
        <v>431</v>
      </c>
      <c r="C173">
        <v>5160001000</v>
      </c>
      <c r="D173" s="3" t="s">
        <v>6</v>
      </c>
      <c r="E173">
        <v>-0.24</v>
      </c>
      <c r="F173" s="19" t="s">
        <v>77</v>
      </c>
      <c r="G173" s="55" t="s">
        <v>956</v>
      </c>
      <c r="H173" s="48" t="s">
        <v>119</v>
      </c>
      <c r="I173" s="48" t="s">
        <v>120</v>
      </c>
      <c r="Q173" s="3">
        <f t="shared" si="3"/>
        <v>0.24</v>
      </c>
    </row>
    <row r="174" spans="1:17" ht="37" customHeight="1" x14ac:dyDescent="0.35">
      <c r="A174" t="s">
        <v>0</v>
      </c>
      <c r="B174" t="s">
        <v>431</v>
      </c>
      <c r="C174">
        <v>5160001000</v>
      </c>
      <c r="D174" s="3" t="s">
        <v>6</v>
      </c>
      <c r="E174">
        <v>7.0000000000000007E-2</v>
      </c>
      <c r="F174" s="19" t="s">
        <v>77</v>
      </c>
      <c r="G174" s="55" t="s">
        <v>1200</v>
      </c>
      <c r="H174" s="48" t="s">
        <v>119</v>
      </c>
      <c r="I174" s="48" t="s">
        <v>120</v>
      </c>
      <c r="Q174" s="3">
        <f t="shared" si="3"/>
        <v>7.0000000000000007E-2</v>
      </c>
    </row>
    <row r="175" spans="1:17" ht="37" customHeight="1" x14ac:dyDescent="0.35">
      <c r="A175" t="s">
        <v>0</v>
      </c>
      <c r="B175" t="s">
        <v>431</v>
      </c>
      <c r="C175">
        <v>5160001000</v>
      </c>
      <c r="D175" s="3" t="s">
        <v>6</v>
      </c>
      <c r="E175">
        <v>0.06</v>
      </c>
      <c r="F175" s="19" t="s">
        <v>77</v>
      </c>
      <c r="G175" s="55" t="s">
        <v>1203</v>
      </c>
      <c r="H175" s="48" t="s">
        <v>119</v>
      </c>
      <c r="I175" s="48" t="s">
        <v>120</v>
      </c>
      <c r="Q175" s="3">
        <f t="shared" si="3"/>
        <v>0.06</v>
      </c>
    </row>
    <row r="176" spans="1:17" ht="37" customHeight="1" x14ac:dyDescent="0.35">
      <c r="A176" t="s">
        <v>27</v>
      </c>
      <c r="B176" t="s">
        <v>620</v>
      </c>
      <c r="C176">
        <v>5160001000</v>
      </c>
      <c r="D176" s="3" t="s">
        <v>6</v>
      </c>
      <c r="E176">
        <v>22.73</v>
      </c>
      <c r="F176" s="19" t="s">
        <v>77</v>
      </c>
      <c r="G176" s="55" t="s">
        <v>1400</v>
      </c>
      <c r="H176" s="48" t="s">
        <v>79</v>
      </c>
      <c r="I176" s="48" t="s">
        <v>1601</v>
      </c>
      <c r="J176" s="48" t="s">
        <v>1602</v>
      </c>
      <c r="O176" t="s">
        <v>1603</v>
      </c>
      <c r="Q176" s="3">
        <f t="shared" si="3"/>
        <v>22.73</v>
      </c>
    </row>
    <row r="177" ht="37" customHeight="1" x14ac:dyDescent="0.35"/>
    <row r="178" ht="37" customHeight="1" x14ac:dyDescent="0.35"/>
    <row r="179" ht="37" customHeight="1" x14ac:dyDescent="0.35"/>
    <row r="180" ht="37" customHeight="1" x14ac:dyDescent="0.35"/>
    <row r="181" ht="37" customHeight="1" x14ac:dyDescent="0.35"/>
    <row r="182" ht="37" customHeight="1" x14ac:dyDescent="0.35"/>
    <row r="183" ht="37" customHeight="1" x14ac:dyDescent="0.35"/>
    <row r="184" ht="37" customHeight="1" x14ac:dyDescent="0.35"/>
    <row r="185" ht="37" customHeight="1" x14ac:dyDescent="0.35"/>
  </sheetData>
  <autoFilter ref="A7:AE176" xr:uid="{28CC21F0-0324-4086-AF0C-38A836393CB2}">
    <sortState xmlns:xlrd2="http://schemas.microsoft.com/office/spreadsheetml/2017/richdata2" ref="A8:AE176">
      <sortCondition descending="1" ref="Q7:Q176"/>
    </sortState>
  </autoFilter>
  <sortState xmlns:xlrd2="http://schemas.microsoft.com/office/spreadsheetml/2017/richdata2" ref="A7:Q71">
    <sortCondition descending="1" ref="Q7:Q71"/>
  </sortState>
  <mergeCells count="1">
    <mergeCell ref="AC6:A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2FA4-D3EC-4F64-A083-9751B57421DF}">
  <sheetPr>
    <tabColor rgb="FF92D050"/>
  </sheetPr>
  <dimension ref="A1:AC9"/>
  <sheetViews>
    <sheetView workbookViewId="0">
      <selection activeCell="C3" sqref="C3"/>
    </sheetView>
  </sheetViews>
  <sheetFormatPr defaultRowHeight="14.5" x14ac:dyDescent="0.35"/>
  <cols>
    <col min="3" max="3" width="11.7265625" customWidth="1"/>
    <col min="6" max="6" width="10.7265625" style="19" bestFit="1" customWidth="1"/>
    <col min="8" max="8" width="16.81640625" style="48" customWidth="1"/>
    <col min="9" max="9" width="19.54296875" style="48" customWidth="1"/>
    <col min="10" max="12" width="8.7265625" style="48"/>
    <col min="14" max="14" width="5.81640625" style="5" customWidth="1"/>
    <col min="16" max="17" width="16.26953125" style="48" customWidth="1"/>
  </cols>
  <sheetData>
    <row r="1" spans="1:29" x14ac:dyDescent="0.35">
      <c r="A1" t="s">
        <v>59</v>
      </c>
      <c r="C1">
        <f>Summary!A12</f>
        <v>5160006000</v>
      </c>
      <c r="D1" s="3"/>
      <c r="O1" s="3"/>
    </row>
    <row r="2" spans="1:29" x14ac:dyDescent="0.35">
      <c r="A2" t="s">
        <v>60</v>
      </c>
      <c r="C2" t="str">
        <f>Summary!B12</f>
        <v>Opening jubilees own buildin</v>
      </c>
      <c r="D2" s="3"/>
      <c r="G2" s="24" t="s">
        <v>98</v>
      </c>
      <c r="O2" s="3"/>
    </row>
    <row r="3" spans="1:29" x14ac:dyDescent="0.35">
      <c r="A3" t="s">
        <v>61</v>
      </c>
      <c r="C3" s="22">
        <v>0</v>
      </c>
      <c r="D3" s="3"/>
      <c r="G3" s="24" t="s">
        <v>476</v>
      </c>
      <c r="O3" s="3"/>
    </row>
    <row r="4" spans="1:29" x14ac:dyDescent="0.35">
      <c r="A4" t="s">
        <v>36</v>
      </c>
      <c r="C4" s="94">
        <f>SUM(D:D)</f>
        <v>0</v>
      </c>
      <c r="D4" s="3"/>
      <c r="O4" s="3"/>
      <c r="R4" s="24" t="s">
        <v>0</v>
      </c>
      <c r="S4" s="3">
        <f>SUMIF($A$10:$A$23974,"AU001",S9:S23973)</f>
        <v>0</v>
      </c>
    </row>
    <row r="5" spans="1:29" ht="15" thickBot="1" x14ac:dyDescent="0.4">
      <c r="A5" t="s">
        <v>62</v>
      </c>
      <c r="C5" s="3">
        <f>C3-C4</f>
        <v>0</v>
      </c>
      <c r="D5" s="3"/>
      <c r="O5" s="28"/>
      <c r="P5" s="50"/>
      <c r="R5" s="24" t="s">
        <v>27</v>
      </c>
      <c r="S5" s="3">
        <f>SUMIF($A$10:$A$23975,"AU052",S9:S23974)</f>
        <v>0</v>
      </c>
    </row>
    <row r="6" spans="1:29" ht="15" thickBot="1" x14ac:dyDescent="0.4">
      <c r="D6" s="3"/>
      <c r="G6" s="19"/>
      <c r="O6" s="3"/>
      <c r="AA6" s="207" t="s">
        <v>35</v>
      </c>
      <c r="AB6" s="208"/>
    </row>
    <row r="7" spans="1:29" ht="78.650000000000006" customHeight="1" thickBot="1" x14ac:dyDescent="0.4">
      <c r="A7" s="32" t="s">
        <v>63</v>
      </c>
      <c r="B7" s="32" t="s">
        <v>64</v>
      </c>
      <c r="C7" s="32" t="s">
        <v>65</v>
      </c>
      <c r="D7" s="33" t="s">
        <v>66</v>
      </c>
      <c r="E7" s="32" t="s">
        <v>67</v>
      </c>
      <c r="F7" s="34" t="s">
        <v>68</v>
      </c>
      <c r="G7" s="32" t="s">
        <v>69</v>
      </c>
      <c r="H7" s="32" t="s">
        <v>70</v>
      </c>
      <c r="I7" s="32" t="s">
        <v>71</v>
      </c>
      <c r="J7" s="32" t="s">
        <v>72</v>
      </c>
      <c r="K7" s="32" t="s">
        <v>73</v>
      </c>
      <c r="L7" s="32" t="s">
        <v>74</v>
      </c>
      <c r="M7" s="32" t="s">
        <v>75</v>
      </c>
      <c r="O7" s="29" t="s">
        <v>95</v>
      </c>
      <c r="P7" s="25" t="s">
        <v>76</v>
      </c>
      <c r="Q7" s="8" t="s">
        <v>37</v>
      </c>
      <c r="R7" s="7" t="s">
        <v>38</v>
      </c>
      <c r="S7" s="8" t="s">
        <v>39</v>
      </c>
      <c r="T7" s="9" t="s">
        <v>40</v>
      </c>
      <c r="U7" s="10" t="s">
        <v>41</v>
      </c>
      <c r="V7" s="11" t="s">
        <v>42</v>
      </c>
      <c r="W7" s="12" t="s">
        <v>43</v>
      </c>
      <c r="X7" s="13" t="s">
        <v>44</v>
      </c>
      <c r="Y7" s="13" t="s">
        <v>45</v>
      </c>
      <c r="Z7" s="13" t="s">
        <v>46</v>
      </c>
      <c r="AA7" s="14" t="s">
        <v>47</v>
      </c>
      <c r="AB7" s="14" t="s">
        <v>48</v>
      </c>
      <c r="AC7" s="15" t="s">
        <v>49</v>
      </c>
    </row>
    <row r="8" spans="1:29" x14ac:dyDescent="0.35">
      <c r="A8" s="30"/>
      <c r="B8" s="30"/>
      <c r="C8" s="30"/>
      <c r="D8" s="30"/>
      <c r="E8" s="30"/>
      <c r="F8" s="27"/>
      <c r="G8" s="30"/>
      <c r="H8" s="52"/>
      <c r="I8" s="52"/>
      <c r="J8" s="52"/>
      <c r="K8" s="52"/>
      <c r="L8" s="52"/>
      <c r="M8" s="30"/>
    </row>
    <row r="9" spans="1:29" x14ac:dyDescent="0.35">
      <c r="A9" s="30"/>
      <c r="B9" s="30"/>
      <c r="C9" s="30"/>
      <c r="D9" s="30"/>
      <c r="E9" s="30"/>
      <c r="F9" s="27"/>
      <c r="G9" s="30"/>
      <c r="H9" s="52"/>
      <c r="I9" s="52"/>
      <c r="J9" s="52"/>
      <c r="K9" s="52"/>
      <c r="L9" s="52"/>
      <c r="M9" s="30"/>
    </row>
  </sheetData>
  <mergeCells count="1">
    <mergeCell ref="AA6:AB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16DB9-D9DB-4678-AA26-F2AE6C5698C4}">
  <sheetPr>
    <tabColor rgb="FF92D050"/>
  </sheetPr>
  <dimension ref="A1:AE45"/>
  <sheetViews>
    <sheetView workbookViewId="0">
      <pane ySplit="7" topLeftCell="A11" activePane="bottomLeft" state="frozen"/>
      <selection pane="bottomLeft" activeCell="N24" sqref="N8:N24"/>
    </sheetView>
  </sheetViews>
  <sheetFormatPr defaultRowHeight="14.5" x14ac:dyDescent="0.35"/>
  <cols>
    <col min="1" max="2" width="5.26953125" customWidth="1"/>
    <col min="3" max="3" width="10.54296875" customWidth="1"/>
    <col min="4" max="5" width="3.54296875" customWidth="1"/>
    <col min="6" max="7" width="3.54296875" style="19" customWidth="1"/>
    <col min="9" max="9" width="19.1796875" style="48" customWidth="1"/>
    <col min="10" max="10" width="22.1796875" style="48" customWidth="1"/>
    <col min="11" max="11" width="4.81640625" style="48" customWidth="1"/>
    <col min="14" max="14" width="15.54296875" customWidth="1"/>
    <col min="15" max="15" width="20.81640625" style="48" customWidth="1"/>
    <col min="16" max="16" width="2.7265625" style="5" customWidth="1"/>
    <col min="18" max="18" width="3.453125" style="48" customWidth="1"/>
    <col min="19" max="19" width="17.1796875" style="48" customWidth="1"/>
    <col min="22" max="28" width="6.26953125" customWidth="1"/>
  </cols>
  <sheetData>
    <row r="1" spans="1:31" x14ac:dyDescent="0.35">
      <c r="A1" t="s">
        <v>59</v>
      </c>
      <c r="C1" s="24">
        <f>Summary!A14</f>
        <v>5160008000</v>
      </c>
      <c r="D1" s="3"/>
      <c r="Q1" s="3"/>
    </row>
    <row r="2" spans="1:31" x14ac:dyDescent="0.35">
      <c r="A2" t="s">
        <v>60</v>
      </c>
      <c r="C2" s="24" t="str">
        <f>Summary!B14</f>
        <v>Promotional gifts</v>
      </c>
      <c r="D2" s="3"/>
      <c r="G2" s="19" t="s">
        <v>98</v>
      </c>
      <c r="Q2" s="3"/>
      <c r="S2" s="151" t="s">
        <v>102</v>
      </c>
    </row>
    <row r="3" spans="1:31" x14ac:dyDescent="0.35">
      <c r="A3" t="s">
        <v>61</v>
      </c>
      <c r="C3" s="22">
        <v>7059.24</v>
      </c>
      <c r="D3" s="3"/>
      <c r="G3" s="19" t="s">
        <v>140</v>
      </c>
      <c r="Q3" s="3"/>
    </row>
    <row r="4" spans="1:31" x14ac:dyDescent="0.35">
      <c r="A4" t="s">
        <v>36</v>
      </c>
      <c r="C4" s="22">
        <f>SUM(E:E)</f>
        <v>7059.2400000000007</v>
      </c>
      <c r="D4" s="3"/>
      <c r="Q4" s="3"/>
      <c r="T4" s="24" t="s">
        <v>0</v>
      </c>
      <c r="U4" s="3">
        <f>SUMIF($A$10:$A$23973,"AU001",U9:U23972)</f>
        <v>0</v>
      </c>
    </row>
    <row r="5" spans="1:31" ht="15" thickBot="1" x14ac:dyDescent="0.4">
      <c r="A5" t="s">
        <v>62</v>
      </c>
      <c r="C5" s="3">
        <f>C3-C4</f>
        <v>0</v>
      </c>
      <c r="D5" s="3"/>
      <c r="Q5" s="28"/>
      <c r="R5" s="50"/>
      <c r="T5" s="24" t="s">
        <v>27</v>
      </c>
      <c r="U5" s="3">
        <f>SUMIF($A$10:$A$23974,"AU052",U9:U23973)</f>
        <v>0</v>
      </c>
    </row>
    <row r="6" spans="1:31" ht="15" thickBot="1" x14ac:dyDescent="0.4">
      <c r="D6" s="3"/>
      <c r="Q6" s="3"/>
      <c r="AC6" s="207" t="s">
        <v>35</v>
      </c>
      <c r="AD6" s="208"/>
    </row>
    <row r="7" spans="1:31" ht="116.5" thickBot="1" x14ac:dyDescent="0.4">
      <c r="A7" s="173" t="s">
        <v>63</v>
      </c>
      <c r="B7" s="174" t="s">
        <v>313</v>
      </c>
      <c r="C7" s="174" t="s">
        <v>64</v>
      </c>
      <c r="D7" s="174" t="s">
        <v>65</v>
      </c>
      <c r="E7" s="174" t="s">
        <v>66</v>
      </c>
      <c r="F7" s="174" t="s">
        <v>67</v>
      </c>
      <c r="G7" s="175" t="s">
        <v>68</v>
      </c>
      <c r="H7" s="174" t="s">
        <v>69</v>
      </c>
      <c r="I7" s="176" t="s">
        <v>70</v>
      </c>
      <c r="J7" s="176" t="s">
        <v>71</v>
      </c>
      <c r="K7" s="176" t="s">
        <v>72</v>
      </c>
      <c r="L7" s="174" t="s">
        <v>73</v>
      </c>
      <c r="M7" s="174" t="s">
        <v>74</v>
      </c>
      <c r="N7" s="174" t="s">
        <v>75</v>
      </c>
      <c r="O7" s="177" t="s">
        <v>304</v>
      </c>
      <c r="Q7" s="29" t="s">
        <v>95</v>
      </c>
      <c r="R7" s="25" t="s">
        <v>76</v>
      </c>
      <c r="S7" s="8" t="s">
        <v>37</v>
      </c>
      <c r="T7" s="7" t="s">
        <v>38</v>
      </c>
      <c r="U7" s="8" t="s">
        <v>39</v>
      </c>
      <c r="V7" s="9" t="s">
        <v>40</v>
      </c>
      <c r="W7" s="10" t="s">
        <v>41</v>
      </c>
      <c r="X7" s="11" t="s">
        <v>42</v>
      </c>
      <c r="Y7" s="12" t="s">
        <v>43</v>
      </c>
      <c r="Z7" s="13" t="s">
        <v>44</v>
      </c>
      <c r="AA7" s="13" t="s">
        <v>45</v>
      </c>
      <c r="AB7" s="13" t="s">
        <v>46</v>
      </c>
      <c r="AC7" s="14" t="s">
        <v>47</v>
      </c>
      <c r="AD7" s="14" t="s">
        <v>48</v>
      </c>
      <c r="AE7" s="15" t="s">
        <v>49</v>
      </c>
    </row>
    <row r="8" spans="1:31" ht="29" x14ac:dyDescent="0.35">
      <c r="A8" s="126" t="s">
        <v>0</v>
      </c>
      <c r="B8" s="126" t="s">
        <v>329</v>
      </c>
      <c r="C8" s="126" t="s">
        <v>9</v>
      </c>
      <c r="D8" s="126" t="s">
        <v>10</v>
      </c>
      <c r="E8" s="126">
        <v>451</v>
      </c>
      <c r="F8" s="126" t="s">
        <v>77</v>
      </c>
      <c r="G8" s="102">
        <v>45737</v>
      </c>
      <c r="H8" s="126" t="s">
        <v>78</v>
      </c>
      <c r="I8" s="170" t="s">
        <v>1397</v>
      </c>
      <c r="J8" s="170" t="s">
        <v>1398</v>
      </c>
      <c r="L8" s="126" t="s">
        <v>1655</v>
      </c>
      <c r="N8" s="126"/>
      <c r="O8" s="126" t="s">
        <v>104</v>
      </c>
      <c r="Q8">
        <f t="shared" ref="Q8:Q17" si="0">ABS(E8)</f>
        <v>451</v>
      </c>
      <c r="S8" s="48" t="s">
        <v>1656</v>
      </c>
    </row>
    <row r="9" spans="1:31" ht="29" x14ac:dyDescent="0.35">
      <c r="A9" s="126" t="s">
        <v>27</v>
      </c>
      <c r="B9" s="126" t="s">
        <v>356</v>
      </c>
      <c r="C9" s="126" t="s">
        <v>9</v>
      </c>
      <c r="D9" s="126" t="s">
        <v>10</v>
      </c>
      <c r="E9" s="126">
        <v>70.41</v>
      </c>
      <c r="F9" s="126" t="s">
        <v>77</v>
      </c>
      <c r="G9" s="102">
        <v>45659</v>
      </c>
      <c r="H9" s="126" t="s">
        <v>79</v>
      </c>
      <c r="I9" s="170" t="s">
        <v>488</v>
      </c>
      <c r="J9" s="170" t="s">
        <v>1411</v>
      </c>
      <c r="K9" s="170"/>
      <c r="L9" s="126"/>
      <c r="M9" s="126"/>
      <c r="N9" s="126"/>
      <c r="O9" s="170" t="s">
        <v>300</v>
      </c>
      <c r="Q9">
        <f t="shared" si="0"/>
        <v>70.41</v>
      </c>
      <c r="S9" s="48" t="s">
        <v>418</v>
      </c>
    </row>
    <row r="10" spans="1:31" ht="29" x14ac:dyDescent="0.35">
      <c r="A10" s="126" t="s">
        <v>27</v>
      </c>
      <c r="B10" s="126" t="s">
        <v>329</v>
      </c>
      <c r="C10" s="126" t="s">
        <v>9</v>
      </c>
      <c r="D10" s="126" t="s">
        <v>10</v>
      </c>
      <c r="E10" s="126">
        <v>1363.64</v>
      </c>
      <c r="F10" s="126" t="s">
        <v>77</v>
      </c>
      <c r="G10" s="102">
        <v>45694</v>
      </c>
      <c r="H10" s="126" t="s">
        <v>79</v>
      </c>
      <c r="I10" s="170" t="s">
        <v>487</v>
      </c>
      <c r="J10" s="170" t="s">
        <v>1486</v>
      </c>
      <c r="K10" s="170"/>
      <c r="L10" s="126"/>
      <c r="M10" s="126"/>
      <c r="N10" s="126"/>
      <c r="O10" s="170" t="s">
        <v>1487</v>
      </c>
      <c r="Q10">
        <f t="shared" si="0"/>
        <v>1363.64</v>
      </c>
      <c r="S10" s="48" t="s">
        <v>1657</v>
      </c>
    </row>
    <row r="11" spans="1:31" ht="43.5" x14ac:dyDescent="0.35">
      <c r="A11" s="126" t="s">
        <v>27</v>
      </c>
      <c r="B11" s="126" t="s">
        <v>329</v>
      </c>
      <c r="C11" s="126" t="s">
        <v>9</v>
      </c>
      <c r="D11" s="126" t="s">
        <v>10</v>
      </c>
      <c r="E11" s="126">
        <v>177.27</v>
      </c>
      <c r="F11" s="126" t="s">
        <v>77</v>
      </c>
      <c r="G11" s="102">
        <v>45694</v>
      </c>
      <c r="H11" s="126" t="s">
        <v>79</v>
      </c>
      <c r="I11" s="170" t="s">
        <v>1488</v>
      </c>
      <c r="J11" s="170" t="s">
        <v>1489</v>
      </c>
      <c r="K11" s="170"/>
      <c r="L11" s="126"/>
      <c r="M11" s="126"/>
      <c r="N11" s="126"/>
      <c r="O11" s="170" t="s">
        <v>1490</v>
      </c>
      <c r="Q11">
        <f t="shared" si="0"/>
        <v>177.27</v>
      </c>
      <c r="S11" s="48" t="s">
        <v>1657</v>
      </c>
    </row>
    <row r="12" spans="1:31" ht="29" x14ac:dyDescent="0.35">
      <c r="A12" s="126" t="s">
        <v>27</v>
      </c>
      <c r="B12" s="126" t="s">
        <v>329</v>
      </c>
      <c r="C12" s="126" t="s">
        <v>9</v>
      </c>
      <c r="D12" s="126" t="s">
        <v>10</v>
      </c>
      <c r="E12" s="126">
        <v>99.01</v>
      </c>
      <c r="F12" s="126" t="s">
        <v>77</v>
      </c>
      <c r="G12" s="102">
        <v>45723</v>
      </c>
      <c r="H12" s="126" t="s">
        <v>79</v>
      </c>
      <c r="I12" s="170" t="s">
        <v>1543</v>
      </c>
      <c r="J12" s="170" t="s">
        <v>1544</v>
      </c>
      <c r="K12" s="170"/>
      <c r="L12" s="126"/>
      <c r="M12" s="126"/>
      <c r="N12" s="126"/>
      <c r="O12" s="170" t="s">
        <v>1545</v>
      </c>
      <c r="Q12">
        <f t="shared" si="0"/>
        <v>99.01</v>
      </c>
      <c r="S12" s="48" t="s">
        <v>1657</v>
      </c>
    </row>
    <row r="13" spans="1:31" ht="43.5" x14ac:dyDescent="0.35">
      <c r="A13" s="126" t="s">
        <v>27</v>
      </c>
      <c r="B13" s="126" t="s">
        <v>329</v>
      </c>
      <c r="C13" s="126" t="s">
        <v>9</v>
      </c>
      <c r="D13" s="126" t="s">
        <v>10</v>
      </c>
      <c r="E13" s="126">
        <v>2716.36</v>
      </c>
      <c r="F13" s="126" t="s">
        <v>77</v>
      </c>
      <c r="G13" s="102">
        <v>45726</v>
      </c>
      <c r="H13" s="126" t="s">
        <v>79</v>
      </c>
      <c r="I13" s="170" t="s">
        <v>479</v>
      </c>
      <c r="J13" s="170" t="s">
        <v>1556</v>
      </c>
      <c r="K13" s="170"/>
      <c r="L13" s="126"/>
      <c r="M13" s="126"/>
      <c r="N13" s="126"/>
      <c r="O13" s="170" t="s">
        <v>1557</v>
      </c>
      <c r="Q13">
        <f t="shared" si="0"/>
        <v>2716.36</v>
      </c>
      <c r="S13" s="48" t="s">
        <v>418</v>
      </c>
    </row>
    <row r="14" spans="1:31" ht="43.5" x14ac:dyDescent="0.35">
      <c r="A14" s="126" t="s">
        <v>27</v>
      </c>
      <c r="B14" s="126" t="s">
        <v>427</v>
      </c>
      <c r="C14" s="126" t="s">
        <v>9</v>
      </c>
      <c r="D14" s="126" t="s">
        <v>10</v>
      </c>
      <c r="E14" s="126">
        <v>67.55</v>
      </c>
      <c r="F14" s="126" t="s">
        <v>77</v>
      </c>
      <c r="G14" s="102">
        <v>45729</v>
      </c>
      <c r="H14" s="126" t="s">
        <v>79</v>
      </c>
      <c r="I14" s="170" t="s">
        <v>1564</v>
      </c>
      <c r="J14" s="170" t="s">
        <v>1565</v>
      </c>
      <c r="K14" s="170"/>
      <c r="L14" s="126"/>
      <c r="M14" s="126"/>
      <c r="N14" s="126"/>
      <c r="O14" s="170" t="s">
        <v>1566</v>
      </c>
      <c r="Q14">
        <f t="shared" si="0"/>
        <v>67.55</v>
      </c>
      <c r="S14" s="48" t="s">
        <v>1657</v>
      </c>
    </row>
    <row r="15" spans="1:31" ht="29" x14ac:dyDescent="0.35">
      <c r="A15" s="126" t="s">
        <v>27</v>
      </c>
      <c r="B15" s="126" t="s">
        <v>427</v>
      </c>
      <c r="C15" s="126" t="s">
        <v>9</v>
      </c>
      <c r="D15" s="126" t="s">
        <v>10</v>
      </c>
      <c r="E15" s="126">
        <v>40.909999999999997</v>
      </c>
      <c r="F15" s="126" t="s">
        <v>77</v>
      </c>
      <c r="G15" s="102">
        <v>45729</v>
      </c>
      <c r="H15" s="126" t="s">
        <v>79</v>
      </c>
      <c r="I15" s="170" t="s">
        <v>1567</v>
      </c>
      <c r="J15" s="170" t="s">
        <v>1568</v>
      </c>
      <c r="K15" s="170"/>
      <c r="L15" s="126"/>
      <c r="M15" s="126"/>
      <c r="N15" s="126"/>
      <c r="O15" s="170" t="s">
        <v>1569</v>
      </c>
      <c r="Q15">
        <f t="shared" si="0"/>
        <v>40.909999999999997</v>
      </c>
      <c r="S15" s="48" t="s">
        <v>1657</v>
      </c>
    </row>
    <row r="16" spans="1:31" ht="29" x14ac:dyDescent="0.35">
      <c r="A16" s="126" t="s">
        <v>27</v>
      </c>
      <c r="B16" s="126" t="s">
        <v>387</v>
      </c>
      <c r="C16" s="126" t="s">
        <v>9</v>
      </c>
      <c r="D16" s="126" t="s">
        <v>10</v>
      </c>
      <c r="E16" s="126">
        <v>183.09</v>
      </c>
      <c r="F16" s="126" t="s">
        <v>77</v>
      </c>
      <c r="G16" s="102">
        <v>45743</v>
      </c>
      <c r="H16" s="126" t="s">
        <v>79</v>
      </c>
      <c r="I16" s="170" t="s">
        <v>1617</v>
      </c>
      <c r="J16" s="170" t="s">
        <v>1618</v>
      </c>
      <c r="K16" s="170"/>
      <c r="L16" s="126"/>
      <c r="M16" s="126"/>
      <c r="N16" s="126"/>
      <c r="O16" s="170" t="s">
        <v>1619</v>
      </c>
      <c r="Q16">
        <f t="shared" si="0"/>
        <v>183.09</v>
      </c>
      <c r="S16" s="48" t="s">
        <v>1657</v>
      </c>
    </row>
    <row r="17" spans="1:19" ht="29" x14ac:dyDescent="0.35">
      <c r="A17" s="126" t="s">
        <v>27</v>
      </c>
      <c r="B17" s="126" t="s">
        <v>329</v>
      </c>
      <c r="C17" s="126" t="s">
        <v>9</v>
      </c>
      <c r="D17" s="126" t="s">
        <v>10</v>
      </c>
      <c r="E17" s="126">
        <v>1890</v>
      </c>
      <c r="F17" s="126" t="s">
        <v>77</v>
      </c>
      <c r="G17" s="102">
        <v>45744</v>
      </c>
      <c r="H17" s="126" t="s">
        <v>79</v>
      </c>
      <c r="I17" s="170" t="s">
        <v>371</v>
      </c>
      <c r="J17" s="170" t="s">
        <v>1629</v>
      </c>
      <c r="K17" s="170"/>
      <c r="L17" s="126"/>
      <c r="M17" s="126"/>
      <c r="N17" s="126"/>
      <c r="O17" s="170" t="s">
        <v>631</v>
      </c>
      <c r="Q17">
        <f t="shared" si="0"/>
        <v>1890</v>
      </c>
      <c r="S17" s="48" t="s">
        <v>418</v>
      </c>
    </row>
    <row r="18" spans="1:19" x14ac:dyDescent="0.35">
      <c r="F18"/>
    </row>
    <row r="19" spans="1:19" x14ac:dyDescent="0.35">
      <c r="F19"/>
    </row>
    <row r="20" spans="1:19" x14ac:dyDescent="0.35">
      <c r="F20"/>
    </row>
    <row r="21" spans="1:19" x14ac:dyDescent="0.35">
      <c r="F21"/>
    </row>
    <row r="22" spans="1:19" x14ac:dyDescent="0.35">
      <c r="F22"/>
    </row>
    <row r="23" spans="1:19" x14ac:dyDescent="0.35">
      <c r="F23"/>
    </row>
    <row r="24" spans="1:19" x14ac:dyDescent="0.35">
      <c r="F24"/>
    </row>
    <row r="25" spans="1:19" x14ac:dyDescent="0.35">
      <c r="F25"/>
    </row>
    <row r="26" spans="1:19" x14ac:dyDescent="0.35">
      <c r="F26"/>
    </row>
    <row r="27" spans="1:19" x14ac:dyDescent="0.35">
      <c r="F27"/>
    </row>
    <row r="28" spans="1:19" x14ac:dyDescent="0.35">
      <c r="F28"/>
    </row>
    <row r="29" spans="1:19" x14ac:dyDescent="0.35">
      <c r="F29"/>
    </row>
    <row r="30" spans="1:19" x14ac:dyDescent="0.35">
      <c r="F30"/>
    </row>
    <row r="31" spans="1:19" x14ac:dyDescent="0.35">
      <c r="F31"/>
    </row>
    <row r="32" spans="1:19" x14ac:dyDescent="0.35">
      <c r="F32"/>
    </row>
    <row r="33" spans="6:6" x14ac:dyDescent="0.35">
      <c r="F33"/>
    </row>
    <row r="34" spans="6:6" x14ac:dyDescent="0.35">
      <c r="F34"/>
    </row>
    <row r="35" spans="6:6" x14ac:dyDescent="0.35">
      <c r="F35"/>
    </row>
    <row r="36" spans="6:6" x14ac:dyDescent="0.35">
      <c r="F36"/>
    </row>
    <row r="37" spans="6:6" x14ac:dyDescent="0.35">
      <c r="F37"/>
    </row>
    <row r="38" spans="6:6" x14ac:dyDescent="0.35">
      <c r="F38"/>
    </row>
    <row r="39" spans="6:6" x14ac:dyDescent="0.35">
      <c r="F39"/>
    </row>
    <row r="40" spans="6:6" x14ac:dyDescent="0.35">
      <c r="F40"/>
    </row>
    <row r="41" spans="6:6" x14ac:dyDescent="0.35">
      <c r="F41"/>
    </row>
    <row r="42" spans="6:6" x14ac:dyDescent="0.35">
      <c r="F42"/>
    </row>
    <row r="43" spans="6:6" x14ac:dyDescent="0.35">
      <c r="F43"/>
    </row>
    <row r="44" spans="6:6" x14ac:dyDescent="0.35">
      <c r="F44"/>
    </row>
    <row r="45" spans="6:6" x14ac:dyDescent="0.35">
      <c r="F45"/>
    </row>
  </sheetData>
  <autoFilter ref="A7:AE7" xr:uid="{05F16DB9-D9DB-4678-AA26-F2AE6C5698C4}">
    <sortState xmlns:xlrd2="http://schemas.microsoft.com/office/spreadsheetml/2017/richdata2" ref="A8:AE45">
      <sortCondition descending="1" ref="Q7"/>
    </sortState>
  </autoFilter>
  <sortState xmlns:xlrd2="http://schemas.microsoft.com/office/spreadsheetml/2017/richdata2" ref="A7:Q14">
    <sortCondition descending="1" ref="Q7:Q14"/>
  </sortState>
  <mergeCells count="1">
    <mergeCell ref="AC6:AD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5927B-35BD-499F-95EC-E8ABF7104F17}">
  <sheetPr>
    <tabColor rgb="FF92D050"/>
  </sheetPr>
  <dimension ref="A1:AF77"/>
  <sheetViews>
    <sheetView topLeftCell="C1" workbookViewId="0">
      <pane ySplit="7" topLeftCell="A8" activePane="bottomLeft" state="frozen"/>
      <selection activeCell="D1" sqref="D1"/>
      <selection pane="bottomLeft" activeCell="N16" sqref="N8:N16"/>
    </sheetView>
  </sheetViews>
  <sheetFormatPr defaultRowHeight="14.5" x14ac:dyDescent="0.35"/>
  <cols>
    <col min="2" max="2" width="10.453125" customWidth="1"/>
    <col min="3" max="3" width="10.7265625" customWidth="1"/>
    <col min="4" max="4" width="4.453125" style="3" customWidth="1"/>
    <col min="5" max="5" width="4.453125" customWidth="1"/>
    <col min="6" max="7" width="4.453125" style="19" customWidth="1"/>
    <col min="8" max="8" width="11.7265625" customWidth="1"/>
    <col min="9" max="9" width="18.453125" style="48" customWidth="1"/>
    <col min="10" max="10" width="19.81640625" style="48" customWidth="1"/>
    <col min="11" max="14" width="18.453125" style="48" customWidth="1"/>
    <col min="15" max="15" width="6.1796875" style="48" customWidth="1"/>
    <col min="16" max="16" width="4.453125" style="5" customWidth="1"/>
    <col min="17" max="17" width="11.1796875" style="3" bestFit="1" customWidth="1"/>
    <col min="18" max="18" width="4.1796875" style="48" customWidth="1"/>
    <col min="19" max="19" width="4.453125" style="48" customWidth="1"/>
    <col min="20" max="20" width="6.453125" customWidth="1"/>
    <col min="23" max="28" width="3.1796875" customWidth="1"/>
  </cols>
  <sheetData>
    <row r="1" spans="1:32" x14ac:dyDescent="0.35">
      <c r="A1" t="s">
        <v>59</v>
      </c>
      <c r="C1">
        <f>Summary!A13</f>
        <v>5160007000</v>
      </c>
    </row>
    <row r="2" spans="1:32" x14ac:dyDescent="0.35">
      <c r="A2" t="s">
        <v>60</v>
      </c>
      <c r="C2" s="24" t="str">
        <f>Summary!B13</f>
        <v>Sponsoring</v>
      </c>
      <c r="G2" s="171" t="s">
        <v>98</v>
      </c>
    </row>
    <row r="3" spans="1:32" x14ac:dyDescent="0.35">
      <c r="A3" t="s">
        <v>61</v>
      </c>
      <c r="C3" s="22">
        <v>18398.38</v>
      </c>
      <c r="G3" s="19" t="s">
        <v>140</v>
      </c>
      <c r="T3" s="24" t="s">
        <v>0</v>
      </c>
      <c r="U3" s="24"/>
      <c r="V3" s="3">
        <f>SUMIF($A$10:$A$23974,"AU001",V8:V23972)</f>
        <v>0</v>
      </c>
      <c r="AC3" t="s">
        <v>0</v>
      </c>
      <c r="AD3" s="3">
        <f>SUMIF($A$10:$A$408,"AU001",AD8:AD407)</f>
        <v>0</v>
      </c>
      <c r="AE3" s="3">
        <f>SUMIF($A$10:$A$408,"AU001",AE8:AE407)</f>
        <v>0</v>
      </c>
    </row>
    <row r="4" spans="1:32" x14ac:dyDescent="0.35">
      <c r="A4" t="s">
        <v>36</v>
      </c>
      <c r="C4" s="22">
        <f>SUM(E:E)</f>
        <v>18398.38</v>
      </c>
      <c r="G4" s="19" t="s">
        <v>484</v>
      </c>
      <c r="T4" s="24" t="s">
        <v>27</v>
      </c>
      <c r="U4" s="24"/>
      <c r="V4" s="28">
        <f>SUMIF($A$10:$A$23975,"AU052",V8:V23973)</f>
        <v>127.27</v>
      </c>
      <c r="AC4" t="s">
        <v>27</v>
      </c>
      <c r="AD4" s="3">
        <f>SUMIF($A$10:$A$408,"AU052",AD9:AD407)</f>
        <v>0</v>
      </c>
      <c r="AE4" s="3">
        <f>SUMIF($A$10:$A$408,"AU052",AE9:AE407)</f>
        <v>0</v>
      </c>
    </row>
    <row r="5" spans="1:32" ht="15" thickBot="1" x14ac:dyDescent="0.4">
      <c r="A5" t="s">
        <v>62</v>
      </c>
      <c r="C5" s="3">
        <f>C3-C4</f>
        <v>0</v>
      </c>
      <c r="Q5" s="28"/>
      <c r="R5" s="50"/>
    </row>
    <row r="6" spans="1:32" ht="15" thickBot="1" x14ac:dyDescent="0.4">
      <c r="AD6" s="207" t="s">
        <v>35</v>
      </c>
      <c r="AE6" s="208"/>
    </row>
    <row r="7" spans="1:32" ht="66.5" customHeight="1" thickBot="1" x14ac:dyDescent="0.4">
      <c r="A7" s="125" t="s">
        <v>63</v>
      </c>
      <c r="B7" s="125" t="s">
        <v>313</v>
      </c>
      <c r="C7" s="125" t="s">
        <v>64</v>
      </c>
      <c r="D7" s="125" t="s">
        <v>65</v>
      </c>
      <c r="E7" s="125" t="s">
        <v>66</v>
      </c>
      <c r="F7" s="125" t="s">
        <v>67</v>
      </c>
      <c r="G7" s="125" t="s">
        <v>68</v>
      </c>
      <c r="H7" s="125" t="s">
        <v>69</v>
      </c>
      <c r="I7" s="169" t="s">
        <v>70</v>
      </c>
      <c r="J7" s="169" t="s">
        <v>71</v>
      </c>
      <c r="K7" s="169" t="s">
        <v>72</v>
      </c>
      <c r="L7" s="169" t="s">
        <v>73</v>
      </c>
      <c r="M7" s="169" t="s">
        <v>74</v>
      </c>
      <c r="N7" s="169" t="s">
        <v>75</v>
      </c>
      <c r="O7" s="169" t="s">
        <v>304</v>
      </c>
      <c r="Q7" s="29" t="s">
        <v>95</v>
      </c>
      <c r="R7" s="25" t="s">
        <v>76</v>
      </c>
      <c r="S7" s="8" t="s">
        <v>37</v>
      </c>
      <c r="T7" s="7" t="s">
        <v>38</v>
      </c>
      <c r="U7" s="7" t="s">
        <v>417</v>
      </c>
      <c r="V7" s="8" t="s">
        <v>39</v>
      </c>
      <c r="W7" s="9" t="s">
        <v>40</v>
      </c>
      <c r="X7" s="10" t="s">
        <v>41</v>
      </c>
      <c r="Y7" s="11" t="s">
        <v>42</v>
      </c>
      <c r="Z7" s="12" t="s">
        <v>43</v>
      </c>
      <c r="AA7" s="13" t="s">
        <v>44</v>
      </c>
      <c r="AB7" s="13" t="s">
        <v>45</v>
      </c>
      <c r="AC7" s="13" t="s">
        <v>46</v>
      </c>
      <c r="AD7" s="14" t="s">
        <v>47</v>
      </c>
      <c r="AE7" s="14" t="s">
        <v>48</v>
      </c>
      <c r="AF7" s="15" t="s">
        <v>49</v>
      </c>
    </row>
    <row r="8" spans="1:32" ht="43.5" x14ac:dyDescent="0.35">
      <c r="A8" s="124" t="s">
        <v>0</v>
      </c>
      <c r="B8" s="124" t="s">
        <v>482</v>
      </c>
      <c r="C8" s="124" t="s">
        <v>7</v>
      </c>
      <c r="D8" s="124" t="s">
        <v>8</v>
      </c>
      <c r="E8" s="124">
        <v>7500</v>
      </c>
      <c r="F8" s="124" t="s">
        <v>77</v>
      </c>
      <c r="G8" s="102">
        <v>45719</v>
      </c>
      <c r="H8" s="124" t="s">
        <v>78</v>
      </c>
      <c r="I8" s="170" t="s">
        <v>1212</v>
      </c>
      <c r="J8" s="170"/>
      <c r="K8" s="170" t="s">
        <v>1213</v>
      </c>
      <c r="L8" s="170" t="s">
        <v>1214</v>
      </c>
      <c r="M8" s="170" t="s">
        <v>483</v>
      </c>
      <c r="N8" s="170"/>
      <c r="O8" s="170"/>
      <c r="Q8" s="56">
        <f>ABS(E8)</f>
        <v>7500</v>
      </c>
    </row>
    <row r="9" spans="1:32" ht="43.5" x14ac:dyDescent="0.35">
      <c r="A9" s="124" t="s">
        <v>0</v>
      </c>
      <c r="B9" s="124" t="s">
        <v>1250</v>
      </c>
      <c r="C9" s="124" t="s">
        <v>7</v>
      </c>
      <c r="D9" s="124" t="s">
        <v>8</v>
      </c>
      <c r="E9" s="124">
        <v>9443.2900000000009</v>
      </c>
      <c r="F9" s="124" t="s">
        <v>77</v>
      </c>
      <c r="G9" s="102">
        <v>45720</v>
      </c>
      <c r="H9" s="124" t="s">
        <v>78</v>
      </c>
      <c r="I9" s="170" t="s">
        <v>1251</v>
      </c>
      <c r="J9" s="170"/>
      <c r="K9" s="170" t="s">
        <v>1252</v>
      </c>
      <c r="L9" s="170" t="s">
        <v>1253</v>
      </c>
      <c r="M9" s="170" t="s">
        <v>1254</v>
      </c>
      <c r="N9" s="170"/>
      <c r="O9" s="170"/>
      <c r="Q9" s="56">
        <f t="shared" ref="Q9:Q13" si="0">ABS(E9)</f>
        <v>9443.2900000000009</v>
      </c>
    </row>
    <row r="10" spans="1:32" ht="43.5" x14ac:dyDescent="0.35">
      <c r="A10" s="124" t="s">
        <v>0</v>
      </c>
      <c r="B10" s="124" t="s">
        <v>434</v>
      </c>
      <c r="C10" s="124" t="s">
        <v>7</v>
      </c>
      <c r="D10" s="124" t="s">
        <v>8</v>
      </c>
      <c r="E10" s="124">
        <v>400</v>
      </c>
      <c r="F10" s="124" t="s">
        <v>77</v>
      </c>
      <c r="G10" s="102">
        <v>45723</v>
      </c>
      <c r="H10" s="124" t="s">
        <v>78</v>
      </c>
      <c r="I10" s="170" t="s">
        <v>1269</v>
      </c>
      <c r="J10" s="170"/>
      <c r="K10" s="170" t="s">
        <v>1270</v>
      </c>
      <c r="L10" s="170" t="s">
        <v>1654</v>
      </c>
      <c r="M10" s="170" t="s">
        <v>1271</v>
      </c>
      <c r="N10" s="170"/>
      <c r="O10" s="170"/>
      <c r="Q10" s="56">
        <f t="shared" si="0"/>
        <v>400</v>
      </c>
    </row>
    <row r="11" spans="1:32" ht="43.5" x14ac:dyDescent="0.35">
      <c r="A11" s="124" t="s">
        <v>27</v>
      </c>
      <c r="B11" s="124" t="s">
        <v>391</v>
      </c>
      <c r="C11" s="124" t="s">
        <v>7</v>
      </c>
      <c r="D11" s="124" t="s">
        <v>8</v>
      </c>
      <c r="E11" s="124">
        <v>127.27</v>
      </c>
      <c r="F11" s="124" t="s">
        <v>77</v>
      </c>
      <c r="G11" s="102">
        <v>45706</v>
      </c>
      <c r="H11" s="124" t="s">
        <v>79</v>
      </c>
      <c r="I11" s="170" t="s">
        <v>1508</v>
      </c>
      <c r="J11" s="170" t="s">
        <v>1509</v>
      </c>
      <c r="K11" s="170"/>
      <c r="L11" s="170"/>
      <c r="M11" s="170" t="s">
        <v>1510</v>
      </c>
      <c r="N11" s="170"/>
      <c r="Q11" s="56">
        <f t="shared" si="0"/>
        <v>127.27</v>
      </c>
      <c r="S11" s="48" t="s">
        <v>44</v>
      </c>
      <c r="T11" t="s">
        <v>54</v>
      </c>
      <c r="U11" t="str">
        <f>B11</f>
        <v>AU030317</v>
      </c>
      <c r="V11" s="26">
        <f>E11</f>
        <v>127.27</v>
      </c>
    </row>
    <row r="12" spans="1:32" ht="29" x14ac:dyDescent="0.35">
      <c r="A12" s="124" t="s">
        <v>27</v>
      </c>
      <c r="B12" s="124" t="s">
        <v>385</v>
      </c>
      <c r="C12" s="124" t="s">
        <v>7</v>
      </c>
      <c r="D12" s="124" t="s">
        <v>8</v>
      </c>
      <c r="E12" s="124">
        <v>500</v>
      </c>
      <c r="F12" s="124" t="s">
        <v>77</v>
      </c>
      <c r="G12" s="102">
        <v>45707</v>
      </c>
      <c r="H12" s="124" t="s">
        <v>79</v>
      </c>
      <c r="I12" s="170" t="s">
        <v>534</v>
      </c>
      <c r="J12" s="170" t="s">
        <v>1513</v>
      </c>
      <c r="K12" s="170"/>
      <c r="L12" s="170"/>
      <c r="M12" s="170" t="s">
        <v>1512</v>
      </c>
      <c r="N12" s="170"/>
      <c r="Q12" s="56">
        <f t="shared" si="0"/>
        <v>500</v>
      </c>
    </row>
    <row r="13" spans="1:32" ht="29" x14ac:dyDescent="0.35">
      <c r="A13" s="124" t="s">
        <v>27</v>
      </c>
      <c r="B13" s="124" t="s">
        <v>382</v>
      </c>
      <c r="C13" s="124" t="s">
        <v>7</v>
      </c>
      <c r="D13" s="124" t="s">
        <v>8</v>
      </c>
      <c r="E13" s="124">
        <v>427.82</v>
      </c>
      <c r="F13" s="124" t="s">
        <v>77</v>
      </c>
      <c r="G13" s="102">
        <v>45734</v>
      </c>
      <c r="H13" s="124" t="s">
        <v>79</v>
      </c>
      <c r="I13" s="170" t="s">
        <v>1586</v>
      </c>
      <c r="J13" s="170" t="s">
        <v>1587</v>
      </c>
      <c r="K13" s="170"/>
      <c r="L13" s="170"/>
      <c r="M13" s="170" t="s">
        <v>1588</v>
      </c>
      <c r="N13" s="170"/>
      <c r="Q13" s="56">
        <f t="shared" si="0"/>
        <v>427.82</v>
      </c>
    </row>
    <row r="14" spans="1:32" x14ac:dyDescent="0.35">
      <c r="D14"/>
      <c r="F14"/>
      <c r="Q14" s="56"/>
    </row>
    <row r="15" spans="1:32" x14ac:dyDescent="0.35">
      <c r="D15"/>
      <c r="F15"/>
      <c r="Q15" s="56"/>
    </row>
    <row r="16" spans="1:32" x14ac:dyDescent="0.35">
      <c r="D16"/>
      <c r="F16"/>
      <c r="Q16" s="56"/>
    </row>
    <row r="17" spans="4:17" x14ac:dyDescent="0.35">
      <c r="D17"/>
      <c r="F17"/>
      <c r="Q17" s="56"/>
    </row>
    <row r="18" spans="4:17" x14ac:dyDescent="0.35">
      <c r="D18"/>
      <c r="F18"/>
      <c r="Q18" s="56"/>
    </row>
    <row r="19" spans="4:17" x14ac:dyDescent="0.35">
      <c r="D19"/>
      <c r="F19"/>
      <c r="Q19" s="56"/>
    </row>
    <row r="20" spans="4:17" x14ac:dyDescent="0.35">
      <c r="D20"/>
      <c r="F20"/>
      <c r="Q20" s="56"/>
    </row>
    <row r="21" spans="4:17" x14ac:dyDescent="0.35">
      <c r="D21"/>
      <c r="F21"/>
      <c r="Q21" s="56"/>
    </row>
    <row r="22" spans="4:17" x14ac:dyDescent="0.35">
      <c r="D22"/>
      <c r="F22"/>
      <c r="Q22" s="56"/>
    </row>
    <row r="23" spans="4:17" x14ac:dyDescent="0.35">
      <c r="D23"/>
      <c r="F23"/>
      <c r="Q23" s="56"/>
    </row>
    <row r="24" spans="4:17" x14ac:dyDescent="0.35">
      <c r="D24"/>
      <c r="F24"/>
      <c r="Q24" s="56"/>
    </row>
    <row r="25" spans="4:17" x14ac:dyDescent="0.35">
      <c r="D25"/>
      <c r="F25"/>
      <c r="Q25" s="56"/>
    </row>
    <row r="26" spans="4:17" x14ac:dyDescent="0.35">
      <c r="D26"/>
      <c r="F26"/>
      <c r="Q26" s="56"/>
    </row>
    <row r="27" spans="4:17" x14ac:dyDescent="0.35">
      <c r="D27"/>
      <c r="F27"/>
      <c r="Q27" s="56"/>
    </row>
    <row r="28" spans="4:17" x14ac:dyDescent="0.35">
      <c r="D28"/>
      <c r="F28"/>
      <c r="Q28" s="56"/>
    </row>
    <row r="29" spans="4:17" x14ac:dyDescent="0.35">
      <c r="D29"/>
      <c r="F29"/>
      <c r="Q29" s="56"/>
    </row>
    <row r="30" spans="4:17" x14ac:dyDescent="0.35">
      <c r="D30"/>
      <c r="F30"/>
      <c r="Q30" s="56"/>
    </row>
    <row r="31" spans="4:17" x14ac:dyDescent="0.35">
      <c r="D31"/>
      <c r="F31"/>
      <c r="Q31" s="56"/>
    </row>
    <row r="32" spans="4:17" x14ac:dyDescent="0.35">
      <c r="D32"/>
      <c r="F32"/>
      <c r="Q32" s="56"/>
    </row>
    <row r="33" spans="4:17" x14ac:dyDescent="0.35">
      <c r="D33"/>
      <c r="F33"/>
      <c r="Q33" s="56"/>
    </row>
    <row r="34" spans="4:17" x14ac:dyDescent="0.35">
      <c r="D34"/>
      <c r="F34"/>
      <c r="Q34" s="56"/>
    </row>
    <row r="35" spans="4:17" x14ac:dyDescent="0.35">
      <c r="D35"/>
      <c r="F35"/>
      <c r="Q35" s="56"/>
    </row>
    <row r="36" spans="4:17" x14ac:dyDescent="0.35">
      <c r="D36"/>
      <c r="F36"/>
      <c r="Q36" s="56"/>
    </row>
    <row r="37" spans="4:17" x14ac:dyDescent="0.35">
      <c r="D37"/>
      <c r="F37"/>
      <c r="Q37" s="56"/>
    </row>
    <row r="38" spans="4:17" x14ac:dyDescent="0.35">
      <c r="D38"/>
      <c r="F38"/>
      <c r="Q38" s="56"/>
    </row>
    <row r="39" spans="4:17" x14ac:dyDescent="0.35">
      <c r="D39"/>
      <c r="F39"/>
      <c r="Q39" s="56"/>
    </row>
    <row r="40" spans="4:17" x14ac:dyDescent="0.35">
      <c r="D40"/>
      <c r="F40"/>
      <c r="Q40" s="56"/>
    </row>
    <row r="41" spans="4:17" x14ac:dyDescent="0.35">
      <c r="D41"/>
      <c r="F41"/>
      <c r="Q41" s="56"/>
    </row>
    <row r="42" spans="4:17" x14ac:dyDescent="0.35">
      <c r="D42"/>
      <c r="F42"/>
      <c r="Q42" s="56"/>
    </row>
    <row r="43" spans="4:17" x14ac:dyDescent="0.35">
      <c r="D43"/>
      <c r="F43"/>
      <c r="Q43" s="56"/>
    </row>
    <row r="44" spans="4:17" x14ac:dyDescent="0.35">
      <c r="D44"/>
      <c r="F44"/>
      <c r="Q44" s="56"/>
    </row>
    <row r="45" spans="4:17" x14ac:dyDescent="0.35">
      <c r="D45"/>
      <c r="F45"/>
      <c r="Q45" s="56"/>
    </row>
    <row r="46" spans="4:17" x14ac:dyDescent="0.35">
      <c r="D46"/>
      <c r="F46"/>
      <c r="Q46" s="56"/>
    </row>
    <row r="47" spans="4:17" x14ac:dyDescent="0.35">
      <c r="D47"/>
      <c r="F47"/>
      <c r="Q47" s="56"/>
    </row>
    <row r="48" spans="4:17" x14ac:dyDescent="0.35">
      <c r="D48"/>
      <c r="F48"/>
      <c r="Q48" s="56"/>
    </row>
    <row r="49" spans="4:17" x14ac:dyDescent="0.35">
      <c r="D49"/>
      <c r="F49"/>
      <c r="Q49" s="56"/>
    </row>
    <row r="50" spans="4:17" x14ac:dyDescent="0.35">
      <c r="D50"/>
      <c r="F50"/>
      <c r="Q50" s="56"/>
    </row>
    <row r="51" spans="4:17" x14ac:dyDescent="0.35">
      <c r="D51"/>
      <c r="F51"/>
      <c r="Q51" s="56"/>
    </row>
    <row r="52" spans="4:17" x14ac:dyDescent="0.35">
      <c r="D52"/>
      <c r="F52"/>
      <c r="Q52" s="56"/>
    </row>
    <row r="53" spans="4:17" x14ac:dyDescent="0.35">
      <c r="D53"/>
      <c r="F53"/>
      <c r="Q53" s="56"/>
    </row>
    <row r="54" spans="4:17" x14ac:dyDescent="0.35">
      <c r="D54"/>
      <c r="F54"/>
      <c r="Q54" s="56"/>
    </row>
    <row r="55" spans="4:17" x14ac:dyDescent="0.35">
      <c r="D55"/>
      <c r="F55"/>
      <c r="Q55" s="56"/>
    </row>
    <row r="56" spans="4:17" x14ac:dyDescent="0.35">
      <c r="D56"/>
      <c r="F56"/>
      <c r="Q56" s="56"/>
    </row>
    <row r="57" spans="4:17" x14ac:dyDescent="0.35">
      <c r="D57"/>
      <c r="F57"/>
      <c r="Q57" s="56"/>
    </row>
    <row r="58" spans="4:17" x14ac:dyDescent="0.35">
      <c r="D58"/>
      <c r="F58"/>
      <c r="Q58" s="56"/>
    </row>
    <row r="59" spans="4:17" x14ac:dyDescent="0.35">
      <c r="D59"/>
      <c r="F59"/>
      <c r="Q59" s="56"/>
    </row>
    <row r="60" spans="4:17" x14ac:dyDescent="0.35">
      <c r="D60"/>
      <c r="F60"/>
      <c r="Q60" s="56"/>
    </row>
    <row r="61" spans="4:17" x14ac:dyDescent="0.35">
      <c r="D61"/>
      <c r="F61"/>
      <c r="Q61" s="56"/>
    </row>
    <row r="62" spans="4:17" x14ac:dyDescent="0.35">
      <c r="D62"/>
      <c r="F62"/>
      <c r="Q62" s="56"/>
    </row>
    <row r="63" spans="4:17" x14ac:dyDescent="0.35">
      <c r="D63"/>
      <c r="F63"/>
      <c r="Q63" s="56"/>
    </row>
    <row r="64" spans="4:17" x14ac:dyDescent="0.35">
      <c r="D64"/>
      <c r="F64"/>
      <c r="Q64" s="56"/>
    </row>
    <row r="65" spans="4:17" x14ac:dyDescent="0.35">
      <c r="D65"/>
      <c r="F65"/>
      <c r="Q65" s="56"/>
    </row>
    <row r="66" spans="4:17" x14ac:dyDescent="0.35">
      <c r="D66"/>
      <c r="F66"/>
      <c r="Q66" s="56"/>
    </row>
    <row r="67" spans="4:17" x14ac:dyDescent="0.35">
      <c r="D67"/>
      <c r="F67"/>
      <c r="Q67" s="56"/>
    </row>
    <row r="68" spans="4:17" x14ac:dyDescent="0.35">
      <c r="D68"/>
      <c r="F68"/>
      <c r="Q68" s="56"/>
    </row>
    <row r="69" spans="4:17" x14ac:dyDescent="0.35">
      <c r="D69"/>
      <c r="F69"/>
      <c r="Q69" s="56"/>
    </row>
    <row r="70" spans="4:17" x14ac:dyDescent="0.35">
      <c r="D70"/>
      <c r="F70"/>
      <c r="Q70" s="56"/>
    </row>
    <row r="71" spans="4:17" x14ac:dyDescent="0.35">
      <c r="D71"/>
      <c r="F71"/>
      <c r="Q71" s="56"/>
    </row>
    <row r="72" spans="4:17" x14ac:dyDescent="0.35">
      <c r="D72"/>
      <c r="F72"/>
      <c r="Q72" s="56"/>
    </row>
    <row r="73" spans="4:17" x14ac:dyDescent="0.35">
      <c r="D73"/>
      <c r="F73"/>
      <c r="Q73" s="56"/>
    </row>
    <row r="74" spans="4:17" x14ac:dyDescent="0.35">
      <c r="D74"/>
      <c r="F74"/>
      <c r="Q74" s="56"/>
    </row>
    <row r="75" spans="4:17" x14ac:dyDescent="0.35">
      <c r="D75"/>
      <c r="F75"/>
      <c r="Q75" s="56"/>
    </row>
    <row r="76" spans="4:17" x14ac:dyDescent="0.35">
      <c r="D76"/>
      <c r="F76"/>
      <c r="Q76" s="56"/>
    </row>
    <row r="77" spans="4:17" x14ac:dyDescent="0.35">
      <c r="D77"/>
      <c r="F77"/>
      <c r="Q77" s="56"/>
    </row>
  </sheetData>
  <autoFilter ref="A7:AF13" xr:uid="{8DA5927B-35BD-499F-95EC-E8ABF7104F17}"/>
  <sortState xmlns:xlrd2="http://schemas.microsoft.com/office/spreadsheetml/2017/richdata2" ref="A7:Q14">
    <sortCondition descending="1" ref="Q7:Q14"/>
  </sortState>
  <mergeCells count="1">
    <mergeCell ref="AD6:AE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396CF-3386-4CE9-A8BA-F59B34717B8C}">
  <sheetPr>
    <tabColor rgb="FF92D050"/>
  </sheetPr>
  <dimension ref="A1:AF176"/>
  <sheetViews>
    <sheetView workbookViewId="0">
      <pane ySplit="7" topLeftCell="A68" activePane="bottomLeft" state="frozen"/>
      <selection pane="bottomLeft" activeCell="N73" sqref="N8:N73"/>
    </sheetView>
  </sheetViews>
  <sheetFormatPr defaultRowHeight="14.5" x14ac:dyDescent="0.35"/>
  <cols>
    <col min="1" max="2" width="4.54296875" customWidth="1"/>
    <col min="3" max="3" width="11" bestFit="1" customWidth="1"/>
    <col min="4" max="5" width="5.453125" customWidth="1"/>
    <col min="6" max="7" width="5.453125" style="19" customWidth="1"/>
    <col min="8" max="8" width="9.7265625" style="48" customWidth="1"/>
    <col min="9" max="9" width="17.453125" style="48" customWidth="1"/>
    <col min="10" max="10" width="17.1796875" style="48" customWidth="1"/>
    <col min="11" max="11" width="17.81640625" style="48" customWidth="1"/>
    <col min="13" max="13" width="18.81640625" style="48" customWidth="1"/>
    <col min="14" max="14" width="8.7265625" style="48"/>
    <col min="15" max="15" width="12.81640625" style="48" customWidth="1"/>
    <col min="16" max="16" width="2.453125" style="5" customWidth="1"/>
    <col min="17" max="17" width="9.81640625" style="3" customWidth="1"/>
    <col min="18" max="18" width="3.1796875" style="48" customWidth="1"/>
    <col min="19" max="19" width="7.1796875" style="48" customWidth="1"/>
    <col min="22" max="22" width="10.1796875" style="3" bestFit="1" customWidth="1"/>
    <col min="23" max="29" width="3.1796875" customWidth="1"/>
  </cols>
  <sheetData>
    <row r="1" spans="1:32" x14ac:dyDescent="0.35">
      <c r="A1" t="s">
        <v>59</v>
      </c>
      <c r="C1">
        <f>Summary!A15</f>
        <v>5160010000</v>
      </c>
      <c r="D1" s="3"/>
    </row>
    <row r="2" spans="1:32" x14ac:dyDescent="0.35">
      <c r="A2" t="s">
        <v>60</v>
      </c>
      <c r="C2" t="str">
        <f>Summary!B15</f>
        <v>Marketing expense</v>
      </c>
      <c r="D2" s="3"/>
      <c r="H2" s="19" t="s">
        <v>98</v>
      </c>
      <c r="T2" s="24" t="s">
        <v>0</v>
      </c>
      <c r="U2" s="24"/>
      <c r="V2" s="3">
        <f>SUMIF($A$8:$A$23958,"AU001",V8:V23958)</f>
        <v>0</v>
      </c>
    </row>
    <row r="3" spans="1:32" x14ac:dyDescent="0.35">
      <c r="A3" t="s">
        <v>61</v>
      </c>
      <c r="C3" s="22">
        <v>-4733.2099999999991</v>
      </c>
      <c r="D3" s="3"/>
      <c r="H3" s="19" t="s">
        <v>141</v>
      </c>
      <c r="T3" s="24" t="s">
        <v>27</v>
      </c>
      <c r="U3" s="24"/>
      <c r="V3" s="3">
        <f>SUMIF($A$8:$A$23959,"AU052",V8:V23959)</f>
        <v>1340.71</v>
      </c>
    </row>
    <row r="4" spans="1:32" ht="15" thickBot="1" x14ac:dyDescent="0.4">
      <c r="A4" t="s">
        <v>36</v>
      </c>
      <c r="C4" s="22">
        <f>SUM(E:E)</f>
        <v>-4733.2100000000009</v>
      </c>
      <c r="D4" s="3"/>
      <c r="H4" s="19" t="s">
        <v>310</v>
      </c>
      <c r="V4" s="183">
        <f>V71+V3</f>
        <v>1340.71</v>
      </c>
    </row>
    <row r="5" spans="1:32" ht="15.5" thickTop="1" thickBot="1" x14ac:dyDescent="0.4">
      <c r="A5" t="s">
        <v>62</v>
      </c>
      <c r="C5" s="3">
        <f>C3-C4</f>
        <v>0</v>
      </c>
      <c r="D5" s="3"/>
      <c r="Q5" s="28"/>
      <c r="R5" s="50"/>
    </row>
    <row r="6" spans="1:32" ht="15" thickBot="1" x14ac:dyDescent="0.4">
      <c r="D6" s="3"/>
      <c r="AD6" s="207" t="s">
        <v>35</v>
      </c>
      <c r="AE6" s="208"/>
    </row>
    <row r="7" spans="1:32" ht="57" customHeight="1" thickBot="1" x14ac:dyDescent="0.4">
      <c r="A7" s="178" t="s">
        <v>63</v>
      </c>
      <c r="B7" s="179" t="s">
        <v>313</v>
      </c>
      <c r="C7" s="179" t="s">
        <v>64</v>
      </c>
      <c r="D7" s="180" t="s">
        <v>65</v>
      </c>
      <c r="E7" s="179" t="s">
        <v>66</v>
      </c>
      <c r="F7" s="181" t="s">
        <v>67</v>
      </c>
      <c r="G7" s="181" t="s">
        <v>68</v>
      </c>
      <c r="H7" s="179" t="s">
        <v>69</v>
      </c>
      <c r="I7" s="179" t="s">
        <v>70</v>
      </c>
      <c r="J7" s="179" t="s">
        <v>71</v>
      </c>
      <c r="K7" s="179" t="s">
        <v>72</v>
      </c>
      <c r="L7" s="179" t="s">
        <v>73</v>
      </c>
      <c r="M7" s="179" t="s">
        <v>74</v>
      </c>
      <c r="N7" s="179" t="s">
        <v>75</v>
      </c>
      <c r="O7" s="182" t="s">
        <v>304</v>
      </c>
      <c r="Q7" s="29" t="s">
        <v>95</v>
      </c>
      <c r="R7" s="25" t="s">
        <v>76</v>
      </c>
      <c r="S7" s="8" t="s">
        <v>37</v>
      </c>
      <c r="T7" s="7" t="s">
        <v>38</v>
      </c>
      <c r="U7" s="7" t="s">
        <v>417</v>
      </c>
      <c r="V7" s="57" t="s">
        <v>39</v>
      </c>
      <c r="W7" s="9" t="s">
        <v>40</v>
      </c>
      <c r="X7" s="10" t="s">
        <v>41</v>
      </c>
      <c r="Y7" s="11" t="s">
        <v>42</v>
      </c>
      <c r="Z7" s="12" t="s">
        <v>43</v>
      </c>
      <c r="AA7" s="13" t="s">
        <v>44</v>
      </c>
      <c r="AB7" s="13" t="s">
        <v>45</v>
      </c>
      <c r="AC7" s="13" t="s">
        <v>46</v>
      </c>
      <c r="AD7" s="14" t="s">
        <v>47</v>
      </c>
      <c r="AE7" s="14" t="s">
        <v>48</v>
      </c>
      <c r="AF7" s="15" t="s">
        <v>49</v>
      </c>
    </row>
    <row r="8" spans="1:32" ht="29" x14ac:dyDescent="0.35">
      <c r="A8" t="s">
        <v>0</v>
      </c>
      <c r="B8" t="s">
        <v>438</v>
      </c>
      <c r="C8" t="s">
        <v>11</v>
      </c>
      <c r="D8" t="s">
        <v>12</v>
      </c>
      <c r="E8">
        <v>6599.58</v>
      </c>
      <c r="F8" t="s">
        <v>77</v>
      </c>
      <c r="G8" s="19">
        <v>45677</v>
      </c>
      <c r="H8" t="s">
        <v>78</v>
      </c>
      <c r="I8" s="48" t="s">
        <v>967</v>
      </c>
      <c r="K8" s="48" t="s">
        <v>968</v>
      </c>
      <c r="L8" t="s">
        <v>969</v>
      </c>
      <c r="M8" s="48" t="s">
        <v>970</v>
      </c>
      <c r="Q8" s="3">
        <f t="shared" ref="Q8:Q39" si="0">ABS(E8)</f>
        <v>6599.58</v>
      </c>
    </row>
    <row r="9" spans="1:32" ht="29" x14ac:dyDescent="0.35">
      <c r="A9" t="s">
        <v>27</v>
      </c>
      <c r="B9" t="s">
        <v>332</v>
      </c>
      <c r="C9" t="s">
        <v>11</v>
      </c>
      <c r="D9" t="s">
        <v>12</v>
      </c>
      <c r="E9">
        <v>1565.5</v>
      </c>
      <c r="F9" t="s">
        <v>77</v>
      </c>
      <c r="G9" s="19">
        <v>45705</v>
      </c>
      <c r="H9" t="s">
        <v>79</v>
      </c>
      <c r="I9" s="48" t="s">
        <v>123</v>
      </c>
      <c r="J9" s="48" t="s">
        <v>124</v>
      </c>
      <c r="O9" s="48" t="s">
        <v>490</v>
      </c>
      <c r="Q9" s="3">
        <f t="shared" si="0"/>
        <v>1565.5</v>
      </c>
    </row>
    <row r="10" spans="1:32" ht="43.5" x14ac:dyDescent="0.35">
      <c r="A10" t="s">
        <v>27</v>
      </c>
      <c r="B10" t="s">
        <v>354</v>
      </c>
      <c r="C10" t="s">
        <v>11</v>
      </c>
      <c r="D10" t="s">
        <v>12</v>
      </c>
      <c r="E10">
        <v>1003.52</v>
      </c>
      <c r="F10" t="s">
        <v>77</v>
      </c>
      <c r="G10" s="19">
        <v>45670</v>
      </c>
      <c r="H10" t="s">
        <v>78</v>
      </c>
      <c r="I10" s="48" t="s">
        <v>1420</v>
      </c>
      <c r="K10" s="48" t="s">
        <v>1421</v>
      </c>
      <c r="L10" t="s">
        <v>1660</v>
      </c>
      <c r="M10" s="48" t="s">
        <v>540</v>
      </c>
      <c r="Q10" s="3">
        <f t="shared" si="0"/>
        <v>1003.52</v>
      </c>
      <c r="S10" s="48" t="s">
        <v>44</v>
      </c>
      <c r="T10" t="s">
        <v>54</v>
      </c>
      <c r="U10" t="str">
        <f>B10</f>
        <v>AU030320</v>
      </c>
      <c r="V10" s="3">
        <f>E10</f>
        <v>1003.52</v>
      </c>
    </row>
    <row r="11" spans="1:32" ht="29" x14ac:dyDescent="0.35">
      <c r="A11" t="s">
        <v>27</v>
      </c>
      <c r="B11" t="s">
        <v>332</v>
      </c>
      <c r="C11" t="s">
        <v>11</v>
      </c>
      <c r="D11" t="s">
        <v>12</v>
      </c>
      <c r="E11">
        <v>909</v>
      </c>
      <c r="F11" t="s">
        <v>77</v>
      </c>
      <c r="G11" s="19">
        <v>45677</v>
      </c>
      <c r="H11" t="s">
        <v>79</v>
      </c>
      <c r="I11" s="48" t="s">
        <v>123</v>
      </c>
      <c r="J11" s="48" t="s">
        <v>124</v>
      </c>
      <c r="O11" s="48" t="s">
        <v>490</v>
      </c>
      <c r="Q11" s="3">
        <f t="shared" si="0"/>
        <v>909</v>
      </c>
    </row>
    <row r="12" spans="1:32" ht="29" x14ac:dyDescent="0.35">
      <c r="A12" t="s">
        <v>27</v>
      </c>
      <c r="B12" t="s">
        <v>332</v>
      </c>
      <c r="C12" t="s">
        <v>11</v>
      </c>
      <c r="D12" t="s">
        <v>12</v>
      </c>
      <c r="E12">
        <v>909</v>
      </c>
      <c r="F12" t="s">
        <v>77</v>
      </c>
      <c r="G12" s="19">
        <v>45734</v>
      </c>
      <c r="H12" t="s">
        <v>79</v>
      </c>
      <c r="I12" s="48" t="s">
        <v>123</v>
      </c>
      <c r="J12" s="48" t="s">
        <v>124</v>
      </c>
      <c r="O12" s="48" t="s">
        <v>490</v>
      </c>
      <c r="Q12" s="3">
        <f t="shared" si="0"/>
        <v>909</v>
      </c>
    </row>
    <row r="13" spans="1:32" ht="43.5" x14ac:dyDescent="0.35">
      <c r="A13" t="s">
        <v>0</v>
      </c>
      <c r="B13" t="s">
        <v>321</v>
      </c>
      <c r="C13" t="s">
        <v>11</v>
      </c>
      <c r="D13" t="s">
        <v>12</v>
      </c>
      <c r="E13">
        <v>819.8</v>
      </c>
      <c r="F13" t="s">
        <v>77</v>
      </c>
      <c r="G13" s="19">
        <v>45664</v>
      </c>
      <c r="H13" t="s">
        <v>78</v>
      </c>
      <c r="I13" s="48" t="s">
        <v>873</v>
      </c>
      <c r="K13" s="48" t="s">
        <v>874</v>
      </c>
      <c r="L13" t="s">
        <v>1658</v>
      </c>
      <c r="M13" s="48" t="s">
        <v>875</v>
      </c>
      <c r="Q13" s="3">
        <f t="shared" si="0"/>
        <v>819.8</v>
      </c>
    </row>
    <row r="14" spans="1:32" ht="29" x14ac:dyDescent="0.35">
      <c r="A14" t="s">
        <v>27</v>
      </c>
      <c r="B14" t="s">
        <v>332</v>
      </c>
      <c r="C14" t="s">
        <v>11</v>
      </c>
      <c r="D14" t="s">
        <v>12</v>
      </c>
      <c r="E14">
        <v>656.5</v>
      </c>
      <c r="F14" t="s">
        <v>77</v>
      </c>
      <c r="G14" s="19">
        <v>45723</v>
      </c>
      <c r="H14" t="s">
        <v>79</v>
      </c>
      <c r="I14" s="48" t="s">
        <v>123</v>
      </c>
      <c r="J14" s="48" t="s">
        <v>124</v>
      </c>
      <c r="O14" s="48" t="s">
        <v>490</v>
      </c>
      <c r="Q14" s="3">
        <f t="shared" si="0"/>
        <v>656.5</v>
      </c>
    </row>
    <row r="15" spans="1:32" ht="29" x14ac:dyDescent="0.35">
      <c r="A15" t="s">
        <v>27</v>
      </c>
      <c r="B15" t="s">
        <v>332</v>
      </c>
      <c r="C15" t="s">
        <v>11</v>
      </c>
      <c r="D15" t="s">
        <v>12</v>
      </c>
      <c r="E15">
        <v>656.5</v>
      </c>
      <c r="F15" t="s">
        <v>77</v>
      </c>
      <c r="G15" s="19">
        <v>45744</v>
      </c>
      <c r="H15" t="s">
        <v>79</v>
      </c>
      <c r="I15" s="48" t="s">
        <v>123</v>
      </c>
      <c r="J15" s="48" t="s">
        <v>124</v>
      </c>
      <c r="O15" s="48" t="s">
        <v>490</v>
      </c>
      <c r="P15" s="79"/>
      <c r="Q15" s="80">
        <f t="shared" si="0"/>
        <v>656.5</v>
      </c>
      <c r="R15" s="78"/>
      <c r="T15" s="81"/>
      <c r="U15" s="81"/>
      <c r="V15" s="80"/>
      <c r="W15" s="81"/>
      <c r="X15" s="81"/>
      <c r="Y15" s="81"/>
      <c r="Z15" s="81"/>
      <c r="AA15" s="81"/>
      <c r="AB15" s="81"/>
      <c r="AC15" s="81"/>
      <c r="AD15" s="81"/>
      <c r="AE15" s="81"/>
      <c r="AF15" s="81"/>
    </row>
    <row r="16" spans="1:32" ht="29" x14ac:dyDescent="0.35">
      <c r="A16" t="s">
        <v>0</v>
      </c>
      <c r="B16" t="s">
        <v>478</v>
      </c>
      <c r="C16" t="s">
        <v>11</v>
      </c>
      <c r="D16" t="s">
        <v>12</v>
      </c>
      <c r="E16">
        <v>646.5</v>
      </c>
      <c r="F16" t="s">
        <v>77</v>
      </c>
      <c r="G16" s="19">
        <v>45664</v>
      </c>
      <c r="H16" t="s">
        <v>78</v>
      </c>
      <c r="I16" s="48" t="s">
        <v>881</v>
      </c>
      <c r="K16" s="48" t="s">
        <v>882</v>
      </c>
      <c r="L16" t="s">
        <v>883</v>
      </c>
      <c r="M16" s="48" t="s">
        <v>491</v>
      </c>
      <c r="Q16" s="3">
        <f t="shared" si="0"/>
        <v>646.5</v>
      </c>
    </row>
    <row r="17" spans="1:17" x14ac:dyDescent="0.35">
      <c r="A17" t="s">
        <v>0</v>
      </c>
      <c r="B17" t="s">
        <v>342</v>
      </c>
      <c r="C17" t="s">
        <v>11</v>
      </c>
      <c r="D17" t="s">
        <v>12</v>
      </c>
      <c r="E17">
        <v>-500</v>
      </c>
      <c r="F17" t="s">
        <v>77</v>
      </c>
      <c r="G17" s="19">
        <v>45665</v>
      </c>
      <c r="H17" t="s">
        <v>917</v>
      </c>
      <c r="I17" s="48" t="s">
        <v>918</v>
      </c>
      <c r="Q17" s="3">
        <f t="shared" si="0"/>
        <v>500</v>
      </c>
    </row>
    <row r="18" spans="1:17" x14ac:dyDescent="0.35">
      <c r="A18" t="s">
        <v>0</v>
      </c>
      <c r="B18" t="s">
        <v>342</v>
      </c>
      <c r="C18" t="s">
        <v>11</v>
      </c>
      <c r="D18" t="s">
        <v>12</v>
      </c>
      <c r="E18">
        <v>-500</v>
      </c>
      <c r="F18" t="s">
        <v>77</v>
      </c>
      <c r="G18" s="19">
        <v>45665</v>
      </c>
      <c r="H18" t="s">
        <v>917</v>
      </c>
      <c r="I18" s="48" t="s">
        <v>919</v>
      </c>
      <c r="Q18" s="3">
        <f t="shared" si="0"/>
        <v>500</v>
      </c>
    </row>
    <row r="19" spans="1:17" x14ac:dyDescent="0.35">
      <c r="A19" t="s">
        <v>0</v>
      </c>
      <c r="B19" t="s">
        <v>342</v>
      </c>
      <c r="C19" t="s">
        <v>11</v>
      </c>
      <c r="D19" t="s">
        <v>12</v>
      </c>
      <c r="E19">
        <v>-500</v>
      </c>
      <c r="F19" t="s">
        <v>77</v>
      </c>
      <c r="G19" s="19">
        <v>45665</v>
      </c>
      <c r="H19" t="s">
        <v>917</v>
      </c>
      <c r="I19" s="48" t="s">
        <v>920</v>
      </c>
      <c r="Q19" s="3">
        <f t="shared" si="0"/>
        <v>500</v>
      </c>
    </row>
    <row r="20" spans="1:17" x14ac:dyDescent="0.35">
      <c r="A20" t="s">
        <v>0</v>
      </c>
      <c r="B20" t="s">
        <v>342</v>
      </c>
      <c r="C20" t="s">
        <v>11</v>
      </c>
      <c r="D20" t="s">
        <v>12</v>
      </c>
      <c r="E20">
        <v>-500</v>
      </c>
      <c r="F20" t="s">
        <v>77</v>
      </c>
      <c r="G20" s="19">
        <v>45665</v>
      </c>
      <c r="H20" t="s">
        <v>917</v>
      </c>
      <c r="I20" s="48" t="s">
        <v>921</v>
      </c>
      <c r="Q20" s="3">
        <f t="shared" si="0"/>
        <v>500</v>
      </c>
    </row>
    <row r="21" spans="1:17" x14ac:dyDescent="0.35">
      <c r="A21" t="s">
        <v>0</v>
      </c>
      <c r="B21" t="s">
        <v>342</v>
      </c>
      <c r="C21" t="s">
        <v>11</v>
      </c>
      <c r="D21" t="s">
        <v>12</v>
      </c>
      <c r="E21">
        <v>-500</v>
      </c>
      <c r="F21" t="s">
        <v>77</v>
      </c>
      <c r="G21" s="19">
        <v>45665</v>
      </c>
      <c r="H21" t="s">
        <v>917</v>
      </c>
      <c r="I21" s="48" t="s">
        <v>917</v>
      </c>
      <c r="Q21" s="3">
        <f t="shared" si="0"/>
        <v>500</v>
      </c>
    </row>
    <row r="22" spans="1:17" x14ac:dyDescent="0.35">
      <c r="A22" t="s">
        <v>0</v>
      </c>
      <c r="B22" t="s">
        <v>342</v>
      </c>
      <c r="C22" t="s">
        <v>11</v>
      </c>
      <c r="D22" t="s">
        <v>12</v>
      </c>
      <c r="E22">
        <v>-500</v>
      </c>
      <c r="F22" t="s">
        <v>77</v>
      </c>
      <c r="G22" s="19">
        <v>45665</v>
      </c>
      <c r="H22" t="s">
        <v>917</v>
      </c>
      <c r="I22" s="48" t="s">
        <v>922</v>
      </c>
      <c r="Q22" s="3">
        <f t="shared" si="0"/>
        <v>500</v>
      </c>
    </row>
    <row r="23" spans="1:17" x14ac:dyDescent="0.35">
      <c r="A23" t="s">
        <v>0</v>
      </c>
      <c r="B23" t="s">
        <v>342</v>
      </c>
      <c r="C23" t="s">
        <v>11</v>
      </c>
      <c r="D23" t="s">
        <v>12</v>
      </c>
      <c r="E23">
        <v>-500</v>
      </c>
      <c r="F23" t="s">
        <v>77</v>
      </c>
      <c r="G23" s="19">
        <v>45665</v>
      </c>
      <c r="H23" t="s">
        <v>917</v>
      </c>
      <c r="I23" s="48" t="s">
        <v>923</v>
      </c>
      <c r="Q23" s="3">
        <f t="shared" si="0"/>
        <v>500</v>
      </c>
    </row>
    <row r="24" spans="1:17" x14ac:dyDescent="0.35">
      <c r="A24" t="s">
        <v>0</v>
      </c>
      <c r="B24" t="s">
        <v>342</v>
      </c>
      <c r="C24" t="s">
        <v>11</v>
      </c>
      <c r="D24" t="s">
        <v>12</v>
      </c>
      <c r="E24">
        <v>-500</v>
      </c>
      <c r="F24" t="s">
        <v>77</v>
      </c>
      <c r="G24" s="19">
        <v>45665</v>
      </c>
      <c r="H24" t="s">
        <v>917</v>
      </c>
      <c r="I24" s="48" t="s">
        <v>924</v>
      </c>
      <c r="Q24" s="3">
        <f t="shared" si="0"/>
        <v>500</v>
      </c>
    </row>
    <row r="25" spans="1:17" x14ac:dyDescent="0.35">
      <c r="A25" t="s">
        <v>0</v>
      </c>
      <c r="B25" t="s">
        <v>342</v>
      </c>
      <c r="C25" t="s">
        <v>11</v>
      </c>
      <c r="D25" t="s">
        <v>12</v>
      </c>
      <c r="E25">
        <v>-500</v>
      </c>
      <c r="F25" t="s">
        <v>77</v>
      </c>
      <c r="G25" s="19">
        <v>45677</v>
      </c>
      <c r="H25" t="s">
        <v>971</v>
      </c>
      <c r="I25" s="48" t="s">
        <v>972</v>
      </c>
      <c r="Q25" s="3">
        <f t="shared" si="0"/>
        <v>500</v>
      </c>
    </row>
    <row r="26" spans="1:17" x14ac:dyDescent="0.35">
      <c r="A26" t="s">
        <v>0</v>
      </c>
      <c r="B26" t="s">
        <v>342</v>
      </c>
      <c r="C26" t="s">
        <v>11</v>
      </c>
      <c r="D26" t="s">
        <v>12</v>
      </c>
      <c r="E26">
        <v>-500</v>
      </c>
      <c r="F26" t="s">
        <v>77</v>
      </c>
      <c r="G26" s="19">
        <v>45677</v>
      </c>
      <c r="H26" t="s">
        <v>971</v>
      </c>
      <c r="I26" s="48" t="s">
        <v>971</v>
      </c>
      <c r="Q26" s="3">
        <f t="shared" si="0"/>
        <v>500</v>
      </c>
    </row>
    <row r="27" spans="1:17" x14ac:dyDescent="0.35">
      <c r="A27" t="s">
        <v>0</v>
      </c>
      <c r="B27" t="s">
        <v>342</v>
      </c>
      <c r="C27" t="s">
        <v>11</v>
      </c>
      <c r="D27" t="s">
        <v>12</v>
      </c>
      <c r="E27">
        <v>-500</v>
      </c>
      <c r="F27" t="s">
        <v>77</v>
      </c>
      <c r="G27" s="19">
        <v>45677</v>
      </c>
      <c r="H27" t="s">
        <v>971</v>
      </c>
      <c r="I27" s="48" t="s">
        <v>973</v>
      </c>
      <c r="Q27" s="3">
        <f t="shared" si="0"/>
        <v>500</v>
      </c>
    </row>
    <row r="28" spans="1:17" x14ac:dyDescent="0.35">
      <c r="A28" t="s">
        <v>0</v>
      </c>
      <c r="B28" t="s">
        <v>342</v>
      </c>
      <c r="C28" t="s">
        <v>11</v>
      </c>
      <c r="D28" t="s">
        <v>12</v>
      </c>
      <c r="E28">
        <v>-500</v>
      </c>
      <c r="F28" t="s">
        <v>77</v>
      </c>
      <c r="G28" s="19">
        <v>45677</v>
      </c>
      <c r="H28" t="s">
        <v>971</v>
      </c>
      <c r="I28" s="48" t="s">
        <v>974</v>
      </c>
      <c r="Q28" s="3">
        <f t="shared" si="0"/>
        <v>500</v>
      </c>
    </row>
    <row r="29" spans="1:17" x14ac:dyDescent="0.35">
      <c r="A29" t="s">
        <v>0</v>
      </c>
      <c r="B29" t="s">
        <v>342</v>
      </c>
      <c r="C29" t="s">
        <v>11</v>
      </c>
      <c r="D29" t="s">
        <v>12</v>
      </c>
      <c r="E29">
        <v>-500</v>
      </c>
      <c r="F29" t="s">
        <v>77</v>
      </c>
      <c r="G29" s="19">
        <v>45677</v>
      </c>
      <c r="H29" t="s">
        <v>971</v>
      </c>
      <c r="I29" s="48" t="s">
        <v>975</v>
      </c>
      <c r="Q29" s="3">
        <f t="shared" si="0"/>
        <v>500</v>
      </c>
    </row>
    <row r="30" spans="1:17" x14ac:dyDescent="0.35">
      <c r="A30" t="s">
        <v>0</v>
      </c>
      <c r="B30" t="s">
        <v>342</v>
      </c>
      <c r="C30" t="s">
        <v>11</v>
      </c>
      <c r="D30" t="s">
        <v>12</v>
      </c>
      <c r="E30">
        <v>-500</v>
      </c>
      <c r="F30" t="s">
        <v>77</v>
      </c>
      <c r="G30" s="19">
        <v>45677</v>
      </c>
      <c r="H30" t="s">
        <v>971</v>
      </c>
      <c r="I30" s="48" t="s">
        <v>976</v>
      </c>
      <c r="Q30" s="3">
        <f t="shared" si="0"/>
        <v>500</v>
      </c>
    </row>
    <row r="31" spans="1:17" x14ac:dyDescent="0.35">
      <c r="A31" t="s">
        <v>0</v>
      </c>
      <c r="B31" t="s">
        <v>342</v>
      </c>
      <c r="C31" t="s">
        <v>11</v>
      </c>
      <c r="D31" t="s">
        <v>12</v>
      </c>
      <c r="E31">
        <v>-500</v>
      </c>
      <c r="F31" t="s">
        <v>77</v>
      </c>
      <c r="G31" s="19">
        <v>45677</v>
      </c>
      <c r="H31" t="s">
        <v>971</v>
      </c>
      <c r="I31" s="48" t="s">
        <v>977</v>
      </c>
      <c r="Q31" s="3">
        <f t="shared" si="0"/>
        <v>500</v>
      </c>
    </row>
    <row r="32" spans="1:17" x14ac:dyDescent="0.35">
      <c r="A32" t="s">
        <v>0</v>
      </c>
      <c r="B32" t="s">
        <v>342</v>
      </c>
      <c r="C32" t="s">
        <v>11</v>
      </c>
      <c r="D32" t="s">
        <v>12</v>
      </c>
      <c r="E32">
        <v>-500</v>
      </c>
      <c r="F32" t="s">
        <v>77</v>
      </c>
      <c r="G32" s="19">
        <v>45677</v>
      </c>
      <c r="H32" t="s">
        <v>971</v>
      </c>
      <c r="I32" s="48" t="s">
        <v>978</v>
      </c>
      <c r="Q32" s="3">
        <f t="shared" si="0"/>
        <v>500</v>
      </c>
    </row>
    <row r="33" spans="1:17" x14ac:dyDescent="0.35">
      <c r="A33" t="s">
        <v>0</v>
      </c>
      <c r="B33" t="s">
        <v>342</v>
      </c>
      <c r="C33" t="s">
        <v>11</v>
      </c>
      <c r="D33" t="s">
        <v>12</v>
      </c>
      <c r="E33">
        <v>-500</v>
      </c>
      <c r="F33" t="s">
        <v>77</v>
      </c>
      <c r="G33" s="19">
        <v>45677</v>
      </c>
      <c r="H33" t="s">
        <v>971</v>
      </c>
      <c r="I33" s="48" t="s">
        <v>979</v>
      </c>
      <c r="Q33" s="3">
        <f t="shared" si="0"/>
        <v>500</v>
      </c>
    </row>
    <row r="34" spans="1:17" x14ac:dyDescent="0.35">
      <c r="A34" t="s">
        <v>0</v>
      </c>
      <c r="B34" t="s">
        <v>342</v>
      </c>
      <c r="C34" t="s">
        <v>11</v>
      </c>
      <c r="D34" t="s">
        <v>12</v>
      </c>
      <c r="E34">
        <v>-500</v>
      </c>
      <c r="F34" t="s">
        <v>77</v>
      </c>
      <c r="G34" s="19">
        <v>45687</v>
      </c>
      <c r="H34" t="s">
        <v>1001</v>
      </c>
      <c r="I34" s="48" t="s">
        <v>1002</v>
      </c>
      <c r="Q34" s="3">
        <f t="shared" si="0"/>
        <v>500</v>
      </c>
    </row>
    <row r="35" spans="1:17" x14ac:dyDescent="0.35">
      <c r="A35" t="s">
        <v>0</v>
      </c>
      <c r="B35" t="s">
        <v>342</v>
      </c>
      <c r="C35" t="s">
        <v>11</v>
      </c>
      <c r="D35" t="s">
        <v>12</v>
      </c>
      <c r="E35">
        <v>-500</v>
      </c>
      <c r="F35" t="s">
        <v>77</v>
      </c>
      <c r="G35" s="19">
        <v>45687</v>
      </c>
      <c r="H35" t="s">
        <v>1001</v>
      </c>
      <c r="I35" s="48" t="s">
        <v>1003</v>
      </c>
      <c r="Q35" s="3">
        <f t="shared" si="0"/>
        <v>500</v>
      </c>
    </row>
    <row r="36" spans="1:17" x14ac:dyDescent="0.35">
      <c r="A36" t="s">
        <v>0</v>
      </c>
      <c r="B36" t="s">
        <v>342</v>
      </c>
      <c r="C36" t="s">
        <v>11</v>
      </c>
      <c r="D36" t="s">
        <v>12</v>
      </c>
      <c r="E36">
        <v>-500</v>
      </c>
      <c r="F36" t="s">
        <v>77</v>
      </c>
      <c r="G36" s="19">
        <v>45687</v>
      </c>
      <c r="H36" t="s">
        <v>1001</v>
      </c>
      <c r="I36" s="48" t="s">
        <v>1004</v>
      </c>
      <c r="Q36" s="3">
        <f t="shared" si="0"/>
        <v>500</v>
      </c>
    </row>
    <row r="37" spans="1:17" x14ac:dyDescent="0.35">
      <c r="A37" t="s">
        <v>0</v>
      </c>
      <c r="B37" t="s">
        <v>342</v>
      </c>
      <c r="C37" t="s">
        <v>11</v>
      </c>
      <c r="D37" t="s">
        <v>12</v>
      </c>
      <c r="E37">
        <v>-500</v>
      </c>
      <c r="F37" t="s">
        <v>77</v>
      </c>
      <c r="G37" s="19">
        <v>45687</v>
      </c>
      <c r="H37" t="s">
        <v>1001</v>
      </c>
      <c r="I37" s="48" t="s">
        <v>1005</v>
      </c>
      <c r="Q37" s="3">
        <f t="shared" si="0"/>
        <v>500</v>
      </c>
    </row>
    <row r="38" spans="1:17" x14ac:dyDescent="0.35">
      <c r="A38" t="s">
        <v>0</v>
      </c>
      <c r="B38" t="s">
        <v>342</v>
      </c>
      <c r="C38" t="s">
        <v>11</v>
      </c>
      <c r="D38" t="s">
        <v>12</v>
      </c>
      <c r="E38">
        <v>-500</v>
      </c>
      <c r="F38" t="s">
        <v>77</v>
      </c>
      <c r="G38" s="19">
        <v>45687</v>
      </c>
      <c r="H38" t="s">
        <v>1001</v>
      </c>
      <c r="I38" s="48" t="s">
        <v>1006</v>
      </c>
      <c r="Q38" s="3">
        <f t="shared" si="0"/>
        <v>500</v>
      </c>
    </row>
    <row r="39" spans="1:17" x14ac:dyDescent="0.35">
      <c r="A39" t="s">
        <v>0</v>
      </c>
      <c r="B39" t="s">
        <v>342</v>
      </c>
      <c r="C39" t="s">
        <v>11</v>
      </c>
      <c r="D39" t="s">
        <v>12</v>
      </c>
      <c r="E39">
        <v>-500</v>
      </c>
      <c r="F39" t="s">
        <v>77</v>
      </c>
      <c r="G39" s="19">
        <v>45687</v>
      </c>
      <c r="H39" t="s">
        <v>1001</v>
      </c>
      <c r="I39" s="48" t="s">
        <v>1007</v>
      </c>
      <c r="Q39" s="3">
        <f t="shared" si="0"/>
        <v>500</v>
      </c>
    </row>
    <row r="40" spans="1:17" x14ac:dyDescent="0.35">
      <c r="A40" t="s">
        <v>0</v>
      </c>
      <c r="B40" t="s">
        <v>342</v>
      </c>
      <c r="C40" t="s">
        <v>11</v>
      </c>
      <c r="D40" t="s">
        <v>12</v>
      </c>
      <c r="E40">
        <v>-500</v>
      </c>
      <c r="F40" t="s">
        <v>77</v>
      </c>
      <c r="G40" s="19">
        <v>45687</v>
      </c>
      <c r="H40" t="s">
        <v>1001</v>
      </c>
      <c r="I40" s="48" t="s">
        <v>1008</v>
      </c>
      <c r="Q40" s="3">
        <f t="shared" ref="Q40:Q71" si="1">ABS(E40)</f>
        <v>500</v>
      </c>
    </row>
    <row r="41" spans="1:17" x14ac:dyDescent="0.35">
      <c r="A41" t="s">
        <v>0</v>
      </c>
      <c r="B41" t="s">
        <v>342</v>
      </c>
      <c r="C41" t="s">
        <v>11</v>
      </c>
      <c r="D41" t="s">
        <v>12</v>
      </c>
      <c r="E41">
        <v>-500</v>
      </c>
      <c r="F41" t="s">
        <v>77</v>
      </c>
      <c r="G41" s="19">
        <v>45687</v>
      </c>
      <c r="H41" t="s">
        <v>1001</v>
      </c>
      <c r="I41" s="48" t="s">
        <v>1001</v>
      </c>
      <c r="Q41" s="3">
        <f t="shared" si="1"/>
        <v>500</v>
      </c>
    </row>
    <row r="42" spans="1:17" x14ac:dyDescent="0.35">
      <c r="A42" t="s">
        <v>0</v>
      </c>
      <c r="B42" t="s">
        <v>342</v>
      </c>
      <c r="C42" t="s">
        <v>11</v>
      </c>
      <c r="D42" t="s">
        <v>12</v>
      </c>
      <c r="E42">
        <v>-500</v>
      </c>
      <c r="F42" t="s">
        <v>77</v>
      </c>
      <c r="G42" s="19">
        <v>45687</v>
      </c>
      <c r="H42" t="s">
        <v>1001</v>
      </c>
      <c r="I42" s="48" t="s">
        <v>1009</v>
      </c>
      <c r="Q42" s="3">
        <f t="shared" si="1"/>
        <v>500</v>
      </c>
    </row>
    <row r="43" spans="1:17" x14ac:dyDescent="0.35">
      <c r="A43" t="s">
        <v>0</v>
      </c>
      <c r="B43" t="s">
        <v>342</v>
      </c>
      <c r="C43" t="s">
        <v>11</v>
      </c>
      <c r="D43" t="s">
        <v>12</v>
      </c>
      <c r="E43">
        <v>-500</v>
      </c>
      <c r="F43" t="s">
        <v>77</v>
      </c>
      <c r="G43" s="19">
        <v>45687</v>
      </c>
      <c r="H43" t="s">
        <v>1001</v>
      </c>
      <c r="I43" s="48" t="s">
        <v>1010</v>
      </c>
      <c r="Q43" s="3">
        <f t="shared" si="1"/>
        <v>500</v>
      </c>
    </row>
    <row r="44" spans="1:17" x14ac:dyDescent="0.35">
      <c r="A44" t="s">
        <v>0</v>
      </c>
      <c r="B44" t="s">
        <v>342</v>
      </c>
      <c r="C44" t="s">
        <v>11</v>
      </c>
      <c r="D44" t="s">
        <v>12</v>
      </c>
      <c r="E44">
        <v>-500</v>
      </c>
      <c r="F44" t="s">
        <v>77</v>
      </c>
      <c r="G44" s="19">
        <v>45694</v>
      </c>
      <c r="H44" t="s">
        <v>1037</v>
      </c>
      <c r="I44" s="48" t="s">
        <v>1038</v>
      </c>
      <c r="Q44" s="3">
        <f t="shared" si="1"/>
        <v>500</v>
      </c>
    </row>
    <row r="45" spans="1:17" x14ac:dyDescent="0.35">
      <c r="A45" t="s">
        <v>0</v>
      </c>
      <c r="B45" t="s">
        <v>342</v>
      </c>
      <c r="C45" t="s">
        <v>11</v>
      </c>
      <c r="D45" t="s">
        <v>12</v>
      </c>
      <c r="E45">
        <v>-500</v>
      </c>
      <c r="F45" t="s">
        <v>77</v>
      </c>
      <c r="G45" s="19">
        <v>45694</v>
      </c>
      <c r="H45" t="s">
        <v>1037</v>
      </c>
      <c r="I45" s="48" t="s">
        <v>1039</v>
      </c>
      <c r="Q45" s="3">
        <f t="shared" si="1"/>
        <v>500</v>
      </c>
    </row>
    <row r="46" spans="1:17" x14ac:dyDescent="0.35">
      <c r="A46" t="s">
        <v>0</v>
      </c>
      <c r="B46" t="s">
        <v>342</v>
      </c>
      <c r="C46" t="s">
        <v>11</v>
      </c>
      <c r="D46" t="s">
        <v>12</v>
      </c>
      <c r="E46">
        <v>-500</v>
      </c>
      <c r="F46" t="s">
        <v>77</v>
      </c>
      <c r="G46" s="19">
        <v>45694</v>
      </c>
      <c r="H46" t="s">
        <v>1037</v>
      </c>
      <c r="I46" s="48" t="s">
        <v>1037</v>
      </c>
      <c r="Q46" s="3">
        <f t="shared" si="1"/>
        <v>500</v>
      </c>
    </row>
    <row r="47" spans="1:17" x14ac:dyDescent="0.35">
      <c r="A47" t="s">
        <v>0</v>
      </c>
      <c r="B47" t="s">
        <v>342</v>
      </c>
      <c r="C47" t="s">
        <v>11</v>
      </c>
      <c r="D47" t="s">
        <v>12</v>
      </c>
      <c r="E47">
        <v>-500</v>
      </c>
      <c r="F47" t="s">
        <v>77</v>
      </c>
      <c r="G47" s="19">
        <v>45694</v>
      </c>
      <c r="H47" t="s">
        <v>1037</v>
      </c>
      <c r="I47" s="48" t="s">
        <v>1040</v>
      </c>
      <c r="Q47" s="3">
        <f t="shared" si="1"/>
        <v>500</v>
      </c>
    </row>
    <row r="48" spans="1:17" x14ac:dyDescent="0.35">
      <c r="A48" t="s">
        <v>0</v>
      </c>
      <c r="B48" t="s">
        <v>342</v>
      </c>
      <c r="C48" t="s">
        <v>11</v>
      </c>
      <c r="D48" t="s">
        <v>12</v>
      </c>
      <c r="E48">
        <v>-500</v>
      </c>
      <c r="F48" t="s">
        <v>77</v>
      </c>
      <c r="G48" s="19">
        <v>45708</v>
      </c>
      <c r="H48" t="s">
        <v>1184</v>
      </c>
      <c r="I48" s="48" t="s">
        <v>1184</v>
      </c>
      <c r="Q48" s="3">
        <f t="shared" si="1"/>
        <v>500</v>
      </c>
    </row>
    <row r="49" spans="1:22" x14ac:dyDescent="0.35">
      <c r="A49" t="s">
        <v>0</v>
      </c>
      <c r="B49" t="s">
        <v>342</v>
      </c>
      <c r="C49" t="s">
        <v>11</v>
      </c>
      <c r="D49" t="s">
        <v>12</v>
      </c>
      <c r="E49">
        <v>-500</v>
      </c>
      <c r="F49" t="s">
        <v>77</v>
      </c>
      <c r="G49" s="19">
        <v>45708</v>
      </c>
      <c r="H49" t="s">
        <v>1184</v>
      </c>
      <c r="I49" s="48" t="s">
        <v>1185</v>
      </c>
      <c r="Q49" s="3">
        <f t="shared" si="1"/>
        <v>500</v>
      </c>
    </row>
    <row r="50" spans="1:22" x14ac:dyDescent="0.35">
      <c r="A50" t="s">
        <v>0</v>
      </c>
      <c r="B50" t="s">
        <v>342</v>
      </c>
      <c r="C50" t="s">
        <v>11</v>
      </c>
      <c r="D50" t="s">
        <v>12</v>
      </c>
      <c r="E50">
        <v>-500</v>
      </c>
      <c r="F50" t="s">
        <v>77</v>
      </c>
      <c r="G50" s="19">
        <v>45716</v>
      </c>
      <c r="H50" t="s">
        <v>1205</v>
      </c>
      <c r="I50" s="48" t="s">
        <v>1205</v>
      </c>
      <c r="Q50" s="3">
        <f t="shared" si="1"/>
        <v>500</v>
      </c>
    </row>
    <row r="51" spans="1:22" x14ac:dyDescent="0.35">
      <c r="A51" t="s">
        <v>0</v>
      </c>
      <c r="B51" t="s">
        <v>342</v>
      </c>
      <c r="C51" t="s">
        <v>11</v>
      </c>
      <c r="D51" t="s">
        <v>12</v>
      </c>
      <c r="E51">
        <v>-500</v>
      </c>
      <c r="F51" t="s">
        <v>77</v>
      </c>
      <c r="G51" s="19">
        <v>45716</v>
      </c>
      <c r="H51" t="s">
        <v>1205</v>
      </c>
      <c r="I51" s="48" t="s">
        <v>1206</v>
      </c>
      <c r="Q51" s="3">
        <f t="shared" si="1"/>
        <v>500</v>
      </c>
    </row>
    <row r="52" spans="1:22" ht="29" x14ac:dyDescent="0.35">
      <c r="A52" t="s">
        <v>0</v>
      </c>
      <c r="B52" t="s">
        <v>342</v>
      </c>
      <c r="C52" t="s">
        <v>11</v>
      </c>
      <c r="D52" t="s">
        <v>12</v>
      </c>
      <c r="E52">
        <v>-500</v>
      </c>
      <c r="F52" t="s">
        <v>77</v>
      </c>
      <c r="G52" s="19">
        <v>45716</v>
      </c>
      <c r="H52" t="s">
        <v>1205</v>
      </c>
      <c r="I52" s="48" t="s">
        <v>1207</v>
      </c>
      <c r="Q52" s="3">
        <f t="shared" si="1"/>
        <v>500</v>
      </c>
    </row>
    <row r="53" spans="1:22" x14ac:dyDescent="0.35">
      <c r="A53" t="s">
        <v>0</v>
      </c>
      <c r="B53" t="s">
        <v>342</v>
      </c>
      <c r="C53" t="s">
        <v>11</v>
      </c>
      <c r="D53" t="s">
        <v>12</v>
      </c>
      <c r="E53">
        <v>-500</v>
      </c>
      <c r="F53" t="s">
        <v>77</v>
      </c>
      <c r="G53" s="19">
        <v>45723</v>
      </c>
      <c r="H53" t="s">
        <v>1303</v>
      </c>
      <c r="I53" s="48" t="s">
        <v>1304</v>
      </c>
      <c r="Q53" s="3">
        <f t="shared" si="1"/>
        <v>500</v>
      </c>
    </row>
    <row r="54" spans="1:22" x14ac:dyDescent="0.35">
      <c r="A54" t="s">
        <v>0</v>
      </c>
      <c r="B54" t="s">
        <v>342</v>
      </c>
      <c r="C54" t="s">
        <v>11</v>
      </c>
      <c r="D54" t="s">
        <v>12</v>
      </c>
      <c r="E54">
        <v>-500</v>
      </c>
      <c r="F54" t="s">
        <v>77</v>
      </c>
      <c r="G54" s="19">
        <v>45723</v>
      </c>
      <c r="H54" t="s">
        <v>1303</v>
      </c>
      <c r="I54" s="48" t="s">
        <v>1303</v>
      </c>
      <c r="Q54" s="3">
        <f t="shared" si="1"/>
        <v>500</v>
      </c>
    </row>
    <row r="55" spans="1:22" x14ac:dyDescent="0.35">
      <c r="A55" t="s">
        <v>0</v>
      </c>
      <c r="B55" t="s">
        <v>342</v>
      </c>
      <c r="C55" t="s">
        <v>11</v>
      </c>
      <c r="D55" t="s">
        <v>12</v>
      </c>
      <c r="E55">
        <v>-500</v>
      </c>
      <c r="F55" t="s">
        <v>77</v>
      </c>
      <c r="G55" s="19">
        <v>45729</v>
      </c>
      <c r="H55" t="s">
        <v>1331</v>
      </c>
      <c r="I55" s="48" t="s">
        <v>1331</v>
      </c>
      <c r="Q55" s="3">
        <f t="shared" si="1"/>
        <v>500</v>
      </c>
    </row>
    <row r="56" spans="1:22" x14ac:dyDescent="0.35">
      <c r="A56" t="s">
        <v>0</v>
      </c>
      <c r="B56" t="s">
        <v>342</v>
      </c>
      <c r="C56" t="s">
        <v>11</v>
      </c>
      <c r="D56" t="s">
        <v>12</v>
      </c>
      <c r="E56">
        <v>-500</v>
      </c>
      <c r="F56" t="s">
        <v>77</v>
      </c>
      <c r="G56" s="19">
        <v>45729</v>
      </c>
      <c r="H56" t="s">
        <v>1331</v>
      </c>
      <c r="I56" s="48" t="s">
        <v>1332</v>
      </c>
      <c r="Q56" s="3">
        <f t="shared" si="1"/>
        <v>500</v>
      </c>
    </row>
    <row r="57" spans="1:22" x14ac:dyDescent="0.35">
      <c r="A57" t="s">
        <v>0</v>
      </c>
      <c r="B57" t="s">
        <v>342</v>
      </c>
      <c r="C57" t="s">
        <v>11</v>
      </c>
      <c r="D57" t="s">
        <v>12</v>
      </c>
      <c r="E57">
        <v>-500</v>
      </c>
      <c r="F57" t="s">
        <v>77</v>
      </c>
      <c r="G57" s="19">
        <v>45740</v>
      </c>
      <c r="H57" t="s">
        <v>1403</v>
      </c>
      <c r="I57" s="48" t="s">
        <v>1403</v>
      </c>
      <c r="Q57" s="3">
        <f t="shared" si="1"/>
        <v>500</v>
      </c>
    </row>
    <row r="58" spans="1:22" ht="29" x14ac:dyDescent="0.35">
      <c r="A58" t="s">
        <v>27</v>
      </c>
      <c r="B58" t="s">
        <v>346</v>
      </c>
      <c r="C58" t="s">
        <v>11</v>
      </c>
      <c r="D58" t="s">
        <v>12</v>
      </c>
      <c r="E58">
        <v>470.42</v>
      </c>
      <c r="F58" t="s">
        <v>77</v>
      </c>
      <c r="G58" s="19">
        <v>45720</v>
      </c>
      <c r="H58" t="s">
        <v>78</v>
      </c>
      <c r="I58" s="48" t="s">
        <v>1538</v>
      </c>
      <c r="K58" s="48" t="s">
        <v>503</v>
      </c>
      <c r="L58" t="s">
        <v>1539</v>
      </c>
      <c r="M58" s="48" t="s">
        <v>504</v>
      </c>
      <c r="Q58" s="3">
        <f t="shared" si="1"/>
        <v>470.42</v>
      </c>
    </row>
    <row r="59" spans="1:22" ht="29" x14ac:dyDescent="0.35">
      <c r="A59" t="s">
        <v>0</v>
      </c>
      <c r="B59" t="s">
        <v>478</v>
      </c>
      <c r="C59" t="s">
        <v>11</v>
      </c>
      <c r="D59" t="s">
        <v>12</v>
      </c>
      <c r="E59">
        <v>344.2</v>
      </c>
      <c r="F59" t="s">
        <v>77</v>
      </c>
      <c r="G59" s="19">
        <v>45665</v>
      </c>
      <c r="H59" t="s">
        <v>78</v>
      </c>
      <c r="I59" s="48" t="s">
        <v>913</v>
      </c>
      <c r="K59" s="48" t="s">
        <v>914</v>
      </c>
      <c r="L59" t="s">
        <v>915</v>
      </c>
      <c r="M59" s="48" t="s">
        <v>916</v>
      </c>
      <c r="Q59" s="3">
        <f t="shared" si="1"/>
        <v>344.2</v>
      </c>
    </row>
    <row r="60" spans="1:22" ht="43.5" x14ac:dyDescent="0.35">
      <c r="A60" t="s">
        <v>27</v>
      </c>
      <c r="B60" t="s">
        <v>434</v>
      </c>
      <c r="C60" t="s">
        <v>11</v>
      </c>
      <c r="D60" t="s">
        <v>12</v>
      </c>
      <c r="E60">
        <v>300</v>
      </c>
      <c r="F60" t="s">
        <v>77</v>
      </c>
      <c r="G60" s="19">
        <v>45677</v>
      </c>
      <c r="H60" t="s">
        <v>79</v>
      </c>
      <c r="I60" s="48" t="s">
        <v>1435</v>
      </c>
      <c r="J60" s="48" t="s">
        <v>1436</v>
      </c>
      <c r="O60" s="48" t="s">
        <v>1437</v>
      </c>
      <c r="Q60" s="3">
        <f t="shared" si="1"/>
        <v>300</v>
      </c>
      <c r="S60" s="48" t="s">
        <v>44</v>
      </c>
      <c r="T60" t="s">
        <v>54</v>
      </c>
      <c r="U60" t="str">
        <f>B60</f>
        <v>AU032046</v>
      </c>
      <c r="V60" s="3">
        <f>E60</f>
        <v>300</v>
      </c>
    </row>
    <row r="61" spans="1:22" ht="43.5" x14ac:dyDescent="0.35">
      <c r="A61" t="s">
        <v>27</v>
      </c>
      <c r="B61" t="s">
        <v>382</v>
      </c>
      <c r="C61" t="s">
        <v>11</v>
      </c>
      <c r="D61" t="s">
        <v>12</v>
      </c>
      <c r="E61">
        <v>186.27</v>
      </c>
      <c r="F61" t="s">
        <v>77</v>
      </c>
      <c r="G61" s="19">
        <v>45664</v>
      </c>
      <c r="H61" t="s">
        <v>79</v>
      </c>
      <c r="I61" s="48" t="s">
        <v>1418</v>
      </c>
      <c r="J61" s="48" t="s">
        <v>1416</v>
      </c>
      <c r="O61" s="48" t="s">
        <v>1419</v>
      </c>
      <c r="Q61" s="3">
        <f t="shared" si="1"/>
        <v>186.27</v>
      </c>
    </row>
    <row r="62" spans="1:22" ht="43.5" x14ac:dyDescent="0.35">
      <c r="A62" t="s">
        <v>0</v>
      </c>
      <c r="B62" t="s">
        <v>321</v>
      </c>
      <c r="C62" t="s">
        <v>11</v>
      </c>
      <c r="D62" t="s">
        <v>12</v>
      </c>
      <c r="E62">
        <v>168.93</v>
      </c>
      <c r="F62" t="s">
        <v>77</v>
      </c>
      <c r="G62" s="19">
        <v>45721</v>
      </c>
      <c r="H62" t="s">
        <v>78</v>
      </c>
      <c r="I62" s="48" t="s">
        <v>1258</v>
      </c>
      <c r="K62" s="48" t="s">
        <v>1259</v>
      </c>
      <c r="L62" t="s">
        <v>1659</v>
      </c>
      <c r="M62" s="48" t="s">
        <v>875</v>
      </c>
      <c r="Q62" s="3">
        <f t="shared" si="1"/>
        <v>168.93</v>
      </c>
    </row>
    <row r="63" spans="1:22" ht="29" x14ac:dyDescent="0.35">
      <c r="A63" t="s">
        <v>27</v>
      </c>
      <c r="B63" t="s">
        <v>434</v>
      </c>
      <c r="C63" t="s">
        <v>11</v>
      </c>
      <c r="D63" t="s">
        <v>12</v>
      </c>
      <c r="E63">
        <v>129.55000000000001</v>
      </c>
      <c r="F63" t="s">
        <v>77</v>
      </c>
      <c r="G63" s="19">
        <v>45677</v>
      </c>
      <c r="H63" t="s">
        <v>79</v>
      </c>
      <c r="I63" s="48" t="s">
        <v>507</v>
      </c>
      <c r="J63" s="48" t="s">
        <v>1445</v>
      </c>
      <c r="O63" s="48" t="s">
        <v>508</v>
      </c>
      <c r="Q63" s="3">
        <f t="shared" si="1"/>
        <v>129.55000000000001</v>
      </c>
    </row>
    <row r="64" spans="1:22" ht="43.5" x14ac:dyDescent="0.35">
      <c r="A64" t="s">
        <v>27</v>
      </c>
      <c r="B64" t="s">
        <v>382</v>
      </c>
      <c r="C64" t="s">
        <v>11</v>
      </c>
      <c r="D64" t="s">
        <v>12</v>
      </c>
      <c r="E64">
        <v>85.55</v>
      </c>
      <c r="F64" t="s">
        <v>77</v>
      </c>
      <c r="G64" s="19">
        <v>45664</v>
      </c>
      <c r="H64" t="s">
        <v>79</v>
      </c>
      <c r="I64" s="48" t="s">
        <v>1415</v>
      </c>
      <c r="J64" s="48" t="s">
        <v>1416</v>
      </c>
      <c r="O64" s="48" t="s">
        <v>1417</v>
      </c>
      <c r="Q64" s="3">
        <f t="shared" si="1"/>
        <v>85.55</v>
      </c>
    </row>
    <row r="65" spans="1:32" ht="43.5" x14ac:dyDescent="0.35">
      <c r="A65" t="s">
        <v>27</v>
      </c>
      <c r="B65" t="s">
        <v>434</v>
      </c>
      <c r="C65" t="s">
        <v>11</v>
      </c>
      <c r="D65" t="s">
        <v>12</v>
      </c>
      <c r="E65">
        <v>66.400000000000006</v>
      </c>
      <c r="F65" t="s">
        <v>77</v>
      </c>
      <c r="G65" s="19">
        <v>45677</v>
      </c>
      <c r="H65" t="s">
        <v>79</v>
      </c>
      <c r="I65" s="48" t="s">
        <v>506</v>
      </c>
      <c r="J65" s="48" t="s">
        <v>1441</v>
      </c>
      <c r="O65" s="48" t="s">
        <v>1442</v>
      </c>
      <c r="Q65" s="3">
        <f t="shared" si="1"/>
        <v>66.400000000000006</v>
      </c>
    </row>
    <row r="66" spans="1:32" ht="29" x14ac:dyDescent="0.35">
      <c r="A66" t="s">
        <v>27</v>
      </c>
      <c r="B66" t="s">
        <v>382</v>
      </c>
      <c r="C66" t="s">
        <v>11</v>
      </c>
      <c r="D66" t="s">
        <v>12</v>
      </c>
      <c r="E66">
        <v>50.83</v>
      </c>
      <c r="F66" t="s">
        <v>77</v>
      </c>
      <c r="G66" s="19">
        <v>45719</v>
      </c>
      <c r="H66" t="s">
        <v>79</v>
      </c>
      <c r="I66" s="48" t="s">
        <v>1532</v>
      </c>
      <c r="J66" s="48" t="s">
        <v>1533</v>
      </c>
      <c r="O66" s="48" t="s">
        <v>1534</v>
      </c>
      <c r="Q66" s="3">
        <f t="shared" si="1"/>
        <v>50.83</v>
      </c>
    </row>
    <row r="67" spans="1:32" ht="43.5" x14ac:dyDescent="0.35">
      <c r="A67" t="s">
        <v>27</v>
      </c>
      <c r="B67" t="s">
        <v>434</v>
      </c>
      <c r="C67" t="s">
        <v>11</v>
      </c>
      <c r="D67" t="s">
        <v>12</v>
      </c>
      <c r="E67">
        <v>49.73</v>
      </c>
      <c r="F67" t="s">
        <v>77</v>
      </c>
      <c r="G67" s="19">
        <v>45677</v>
      </c>
      <c r="H67" t="s">
        <v>79</v>
      </c>
      <c r="I67" s="48" t="s">
        <v>507</v>
      </c>
      <c r="J67" s="48" t="s">
        <v>1446</v>
      </c>
      <c r="O67" s="48" t="s">
        <v>508</v>
      </c>
      <c r="Q67" s="3">
        <f t="shared" si="1"/>
        <v>49.73</v>
      </c>
    </row>
    <row r="68" spans="1:32" ht="43.5" x14ac:dyDescent="0.35">
      <c r="A68" t="s">
        <v>27</v>
      </c>
      <c r="B68" t="s">
        <v>434</v>
      </c>
      <c r="C68" t="s">
        <v>11</v>
      </c>
      <c r="D68" t="s">
        <v>12</v>
      </c>
      <c r="E68">
        <v>43.64</v>
      </c>
      <c r="F68" t="s">
        <v>77</v>
      </c>
      <c r="G68" s="19">
        <v>45677</v>
      </c>
      <c r="H68" t="s">
        <v>79</v>
      </c>
      <c r="I68" s="48" t="s">
        <v>1438</v>
      </c>
      <c r="J68" s="48" t="s">
        <v>1439</v>
      </c>
      <c r="O68" s="48" t="s">
        <v>1440</v>
      </c>
      <c r="Q68" s="3">
        <f t="shared" si="1"/>
        <v>43.64</v>
      </c>
    </row>
    <row r="69" spans="1:32" ht="58" x14ac:dyDescent="0.35">
      <c r="A69" t="s">
        <v>27</v>
      </c>
      <c r="B69" t="s">
        <v>434</v>
      </c>
      <c r="C69" t="s">
        <v>11</v>
      </c>
      <c r="D69" t="s">
        <v>12</v>
      </c>
      <c r="E69">
        <v>37.19</v>
      </c>
      <c r="F69" t="s">
        <v>77</v>
      </c>
      <c r="G69" s="19">
        <v>45677</v>
      </c>
      <c r="H69" t="s">
        <v>79</v>
      </c>
      <c r="I69" s="48" t="s">
        <v>506</v>
      </c>
      <c r="J69" s="48" t="s">
        <v>1443</v>
      </c>
      <c r="O69" s="48" t="s">
        <v>1444</v>
      </c>
      <c r="Q69" s="3">
        <f t="shared" si="1"/>
        <v>37.19</v>
      </c>
      <c r="S69" s="48" t="s">
        <v>44</v>
      </c>
      <c r="T69" t="s">
        <v>54</v>
      </c>
      <c r="U69" t="str">
        <f>B69</f>
        <v>AU032046</v>
      </c>
      <c r="V69" s="3">
        <f>E69</f>
        <v>37.19</v>
      </c>
    </row>
    <row r="70" spans="1:32" ht="29" x14ac:dyDescent="0.35">
      <c r="A70" t="s">
        <v>27</v>
      </c>
      <c r="B70" t="s">
        <v>321</v>
      </c>
      <c r="C70" t="s">
        <v>11</v>
      </c>
      <c r="D70" t="s">
        <v>12</v>
      </c>
      <c r="E70">
        <v>36.36</v>
      </c>
      <c r="F70" t="s">
        <v>77</v>
      </c>
      <c r="G70" s="19">
        <v>45733</v>
      </c>
      <c r="H70" t="s">
        <v>79</v>
      </c>
      <c r="I70" s="48" t="s">
        <v>1577</v>
      </c>
      <c r="J70" s="48" t="s">
        <v>1578</v>
      </c>
      <c r="O70" s="48" t="s">
        <v>1579</v>
      </c>
      <c r="Q70" s="3">
        <f t="shared" si="1"/>
        <v>36.36</v>
      </c>
    </row>
    <row r="71" spans="1:32" s="81" customFormat="1" ht="29" x14ac:dyDescent="0.35">
      <c r="A71" t="s">
        <v>27</v>
      </c>
      <c r="B71" t="s">
        <v>434</v>
      </c>
      <c r="C71" t="s">
        <v>11</v>
      </c>
      <c r="D71" t="s">
        <v>12</v>
      </c>
      <c r="E71">
        <v>31.82</v>
      </c>
      <c r="F71" t="s">
        <v>77</v>
      </c>
      <c r="G71" s="19">
        <v>45666</v>
      </c>
      <c r="H71" t="s">
        <v>79</v>
      </c>
      <c r="I71" s="48" t="s">
        <v>510</v>
      </c>
      <c r="J71" s="48" t="s">
        <v>511</v>
      </c>
      <c r="K71" s="48"/>
      <c r="L71"/>
      <c r="M71" s="48"/>
      <c r="N71" s="48"/>
      <c r="O71" s="48" t="s">
        <v>728</v>
      </c>
      <c r="P71" s="5"/>
      <c r="Q71" s="3">
        <f t="shared" si="1"/>
        <v>31.82</v>
      </c>
      <c r="R71" s="48"/>
      <c r="S71" s="48"/>
      <c r="T71"/>
      <c r="U71"/>
      <c r="V71" s="3"/>
      <c r="W71"/>
      <c r="X71"/>
      <c r="Y71"/>
      <c r="Z71"/>
      <c r="AA71"/>
      <c r="AB71"/>
      <c r="AC71"/>
      <c r="AD71"/>
      <c r="AE71"/>
      <c r="AF71"/>
    </row>
    <row r="88" spans="1:15" x14ac:dyDescent="0.35">
      <c r="A88" s="31"/>
      <c r="B88" s="31"/>
      <c r="C88" s="31"/>
      <c r="D88" s="31"/>
      <c r="E88" s="31"/>
      <c r="F88" s="27"/>
      <c r="G88" s="27"/>
      <c r="H88" s="52"/>
      <c r="I88" s="52"/>
      <c r="J88" s="52"/>
      <c r="K88" s="52"/>
      <c r="L88" s="31"/>
      <c r="M88" s="52"/>
      <c r="N88" s="52"/>
      <c r="O88" s="52"/>
    </row>
    <row r="93" spans="1:15" x14ac:dyDescent="0.35">
      <c r="A93" s="31"/>
      <c r="B93" s="31"/>
      <c r="C93" s="31"/>
      <c r="D93" s="31"/>
      <c r="E93" s="31"/>
      <c r="F93" s="27"/>
      <c r="G93" s="27"/>
      <c r="H93" s="52"/>
      <c r="I93" s="52"/>
      <c r="J93" s="52"/>
      <c r="K93" s="52"/>
      <c r="L93" s="31"/>
      <c r="M93" s="52"/>
      <c r="N93" s="52"/>
      <c r="O93" s="52"/>
    </row>
    <row r="94" spans="1:15" x14ac:dyDescent="0.35">
      <c r="A94" s="31"/>
      <c r="B94" s="31"/>
      <c r="C94" s="31"/>
      <c r="D94" s="31"/>
      <c r="E94" s="31"/>
      <c r="F94" s="27"/>
      <c r="G94" s="27"/>
      <c r="H94" s="52"/>
      <c r="I94" s="52"/>
      <c r="J94" s="52"/>
      <c r="K94" s="52"/>
      <c r="L94" s="31"/>
      <c r="M94" s="52"/>
      <c r="N94" s="52"/>
      <c r="O94" s="52"/>
    </row>
    <row r="95" spans="1:15" x14ac:dyDescent="0.35">
      <c r="A95" s="31"/>
      <c r="B95" s="31"/>
      <c r="C95" s="31"/>
      <c r="D95" s="31"/>
      <c r="E95" s="31"/>
      <c r="F95" s="27"/>
      <c r="G95" s="27"/>
      <c r="H95" s="52"/>
      <c r="I95" s="52"/>
      <c r="J95" s="52"/>
      <c r="K95" s="52"/>
      <c r="L95" s="31"/>
      <c r="M95" s="52"/>
      <c r="N95" s="52"/>
      <c r="O95" s="52"/>
    </row>
    <row r="96" spans="1:15" x14ac:dyDescent="0.35">
      <c r="A96" s="31"/>
      <c r="B96" s="31"/>
      <c r="C96" s="31"/>
      <c r="D96" s="31"/>
      <c r="E96" s="31"/>
      <c r="F96" s="27"/>
      <c r="G96" s="27"/>
      <c r="H96" s="52"/>
      <c r="I96" s="52"/>
      <c r="J96" s="52"/>
      <c r="K96" s="52"/>
      <c r="L96" s="31"/>
      <c r="M96" s="52"/>
      <c r="N96" s="52"/>
      <c r="O96" s="52"/>
    </row>
    <row r="99" spans="1:15" x14ac:dyDescent="0.35">
      <c r="A99" s="31"/>
      <c r="B99" s="31"/>
      <c r="C99" s="31"/>
      <c r="D99" s="31"/>
      <c r="E99" s="31"/>
      <c r="F99" s="27"/>
      <c r="G99" s="27"/>
      <c r="H99" s="52"/>
      <c r="I99" s="52"/>
      <c r="J99" s="52"/>
      <c r="K99" s="52"/>
      <c r="L99" s="31"/>
      <c r="M99" s="52"/>
      <c r="N99" s="52"/>
      <c r="O99" s="52"/>
    </row>
    <row r="100" spans="1:15" x14ac:dyDescent="0.35">
      <c r="A100" s="31"/>
      <c r="B100" s="31"/>
      <c r="C100" s="31"/>
      <c r="D100" s="31"/>
      <c r="E100" s="31"/>
      <c r="F100" s="27"/>
      <c r="G100" s="27"/>
      <c r="H100" s="52"/>
      <c r="I100" s="52"/>
      <c r="J100" s="52"/>
      <c r="K100" s="52"/>
      <c r="L100" s="31"/>
      <c r="M100" s="52"/>
      <c r="N100" s="52"/>
      <c r="O100" s="52"/>
    </row>
    <row r="101" spans="1:15" x14ac:dyDescent="0.35">
      <c r="A101" s="31"/>
      <c r="B101" s="31"/>
      <c r="C101" s="31"/>
      <c r="D101" s="31"/>
      <c r="E101" s="31"/>
      <c r="F101" s="27"/>
      <c r="G101" s="27"/>
      <c r="H101" s="52"/>
      <c r="I101" s="52"/>
      <c r="J101" s="52"/>
      <c r="K101" s="52"/>
      <c r="L101" s="31"/>
      <c r="M101" s="52"/>
      <c r="N101" s="52"/>
      <c r="O101" s="52"/>
    </row>
    <row r="102" spans="1:15" x14ac:dyDescent="0.35">
      <c r="A102" s="31"/>
      <c r="B102" s="31"/>
      <c r="C102" s="31"/>
      <c r="D102" s="31"/>
      <c r="E102" s="31"/>
      <c r="F102" s="27"/>
      <c r="G102" s="27"/>
      <c r="H102" s="52"/>
      <c r="I102" s="52"/>
      <c r="J102" s="52"/>
      <c r="K102" s="52"/>
      <c r="L102" s="31"/>
    </row>
    <row r="103" spans="1:15" x14ac:dyDescent="0.35">
      <c r="A103" s="31"/>
      <c r="B103" s="31"/>
      <c r="C103" s="31"/>
      <c r="D103" s="31"/>
      <c r="E103" s="31"/>
      <c r="F103" s="27"/>
      <c r="G103" s="27"/>
      <c r="H103" s="52"/>
      <c r="I103" s="52"/>
      <c r="J103" s="52"/>
      <c r="K103" s="52"/>
      <c r="L103" s="31"/>
      <c r="M103" s="52"/>
      <c r="N103" s="52"/>
      <c r="O103" s="52"/>
    </row>
    <row r="104" spans="1:15" x14ac:dyDescent="0.35">
      <c r="A104" s="31"/>
      <c r="B104" s="31"/>
      <c r="C104" s="31"/>
      <c r="D104" s="31"/>
      <c r="E104" s="31"/>
      <c r="F104" s="27"/>
      <c r="G104" s="27"/>
      <c r="H104" s="52"/>
      <c r="I104" s="52"/>
      <c r="J104" s="52"/>
      <c r="K104" s="52"/>
      <c r="L104" s="31"/>
      <c r="M104" s="52"/>
      <c r="N104" s="52"/>
      <c r="O104" s="52"/>
    </row>
    <row r="105" spans="1:15" x14ac:dyDescent="0.35">
      <c r="A105" s="31"/>
      <c r="B105" s="31"/>
      <c r="C105" s="31"/>
      <c r="D105" s="31"/>
      <c r="E105" s="31"/>
      <c r="F105" s="27"/>
      <c r="G105" s="27"/>
      <c r="H105" s="52"/>
      <c r="I105" s="52"/>
      <c r="J105" s="52"/>
      <c r="K105" s="52"/>
      <c r="L105" s="31"/>
      <c r="M105" s="52"/>
      <c r="N105" s="52"/>
      <c r="O105" s="52"/>
    </row>
    <row r="107" spans="1:15" x14ac:dyDescent="0.35">
      <c r="A107" s="31"/>
      <c r="B107" s="31"/>
      <c r="C107" s="31"/>
      <c r="D107" s="31"/>
      <c r="E107" s="31"/>
      <c r="F107" s="27"/>
      <c r="G107" s="27"/>
      <c r="H107" s="52"/>
      <c r="I107" s="52"/>
      <c r="J107" s="52"/>
      <c r="K107" s="52"/>
      <c r="L107" s="31"/>
      <c r="M107" s="52"/>
      <c r="N107" s="52"/>
      <c r="O107" s="52"/>
    </row>
    <row r="111" spans="1:15" x14ac:dyDescent="0.35">
      <c r="A111" s="31"/>
      <c r="B111" s="31"/>
      <c r="C111" s="31"/>
      <c r="D111" s="31"/>
      <c r="E111" s="31"/>
      <c r="F111" s="27"/>
      <c r="G111" s="27"/>
      <c r="H111" s="52"/>
      <c r="I111" s="52"/>
      <c r="J111" s="52"/>
      <c r="K111" s="52"/>
      <c r="L111" s="31"/>
      <c r="M111" s="52"/>
      <c r="N111" s="52"/>
      <c r="O111" s="52"/>
    </row>
    <row r="113" spans="1:15" x14ac:dyDescent="0.35">
      <c r="A113" s="31"/>
      <c r="B113" s="31"/>
      <c r="C113" s="31"/>
      <c r="D113" s="31"/>
      <c r="E113" s="31"/>
      <c r="F113" s="27"/>
      <c r="G113" s="27"/>
      <c r="H113" s="52"/>
      <c r="I113" s="52"/>
      <c r="J113" s="52"/>
      <c r="K113" s="52"/>
      <c r="L113" s="31"/>
      <c r="M113" s="52"/>
      <c r="N113" s="52"/>
      <c r="O113" s="52"/>
    </row>
    <row r="124" spans="1:15" x14ac:dyDescent="0.35">
      <c r="A124" s="31"/>
      <c r="B124" s="31"/>
      <c r="C124" s="31"/>
      <c r="D124" s="31"/>
      <c r="E124" s="31"/>
      <c r="F124" s="27"/>
      <c r="G124" s="27"/>
      <c r="H124" s="52"/>
      <c r="I124" s="52"/>
      <c r="J124" s="52"/>
      <c r="K124" s="52"/>
      <c r="L124" s="31"/>
      <c r="M124" s="52"/>
      <c r="N124" s="52"/>
      <c r="O124" s="52"/>
    </row>
    <row r="125" spans="1:15" x14ac:dyDescent="0.35">
      <c r="A125" s="31"/>
      <c r="B125" s="31"/>
      <c r="C125" s="31"/>
      <c r="D125" s="31"/>
      <c r="E125" s="31"/>
      <c r="F125" s="27"/>
      <c r="G125" s="27"/>
      <c r="H125" s="52"/>
      <c r="I125" s="52"/>
      <c r="J125" s="52"/>
      <c r="K125" s="52"/>
      <c r="L125" s="31"/>
      <c r="M125" s="52"/>
      <c r="N125" s="52"/>
      <c r="O125" s="52"/>
    </row>
    <row r="126" spans="1:15" x14ac:dyDescent="0.35">
      <c r="A126" s="31"/>
      <c r="B126" s="31"/>
      <c r="C126" s="31"/>
      <c r="D126" s="31"/>
      <c r="E126" s="31"/>
      <c r="F126" s="27"/>
      <c r="G126" s="27"/>
      <c r="H126" s="52"/>
      <c r="I126" s="52"/>
      <c r="J126" s="52"/>
      <c r="K126" s="52"/>
      <c r="L126" s="31"/>
      <c r="M126" s="52"/>
      <c r="N126" s="52"/>
      <c r="O126" s="52"/>
    </row>
    <row r="129" spans="1:15" x14ac:dyDescent="0.35">
      <c r="A129" s="31"/>
      <c r="B129" s="31"/>
      <c r="C129" s="31"/>
      <c r="D129" s="31"/>
      <c r="E129" s="31"/>
      <c r="F129" s="27"/>
      <c r="G129" s="27"/>
      <c r="H129" s="52"/>
      <c r="I129" s="52"/>
      <c r="J129" s="52"/>
      <c r="K129" s="52"/>
      <c r="L129" s="31"/>
      <c r="M129" s="52"/>
      <c r="N129" s="52"/>
      <c r="O129" s="52"/>
    </row>
    <row r="130" spans="1:15" x14ac:dyDescent="0.35">
      <c r="A130" s="31"/>
      <c r="B130" s="31"/>
      <c r="C130" s="31"/>
      <c r="D130" s="31"/>
      <c r="E130" s="31"/>
      <c r="F130" s="27"/>
      <c r="G130" s="27"/>
      <c r="H130" s="52"/>
      <c r="I130" s="52"/>
      <c r="J130" s="52"/>
      <c r="K130" s="52"/>
      <c r="L130" s="31"/>
      <c r="M130" s="52"/>
      <c r="N130" s="52"/>
      <c r="O130" s="52"/>
    </row>
    <row r="135" spans="1:15" x14ac:dyDescent="0.35">
      <c r="A135" s="31"/>
      <c r="B135" s="31"/>
      <c r="C135" s="31"/>
      <c r="D135" s="31"/>
      <c r="E135" s="31"/>
      <c r="F135" s="27"/>
      <c r="G135" s="27"/>
      <c r="H135" s="52"/>
      <c r="I135" s="52"/>
      <c r="J135" s="52"/>
      <c r="K135" s="52"/>
      <c r="L135" s="31"/>
      <c r="M135" s="52"/>
      <c r="N135" s="52"/>
      <c r="O135" s="52"/>
    </row>
    <row r="136" spans="1:15" x14ac:dyDescent="0.35">
      <c r="A136" s="31"/>
      <c r="B136" s="31"/>
      <c r="C136" s="31"/>
      <c r="D136" s="31"/>
      <c r="E136" s="31"/>
      <c r="F136" s="27"/>
      <c r="G136" s="27"/>
      <c r="H136" s="52"/>
      <c r="I136" s="52"/>
      <c r="J136" s="52"/>
      <c r="K136" s="52"/>
      <c r="L136" s="31"/>
      <c r="M136" s="52"/>
      <c r="N136" s="52"/>
      <c r="O136" s="52"/>
    </row>
    <row r="137" spans="1:15" x14ac:dyDescent="0.35">
      <c r="A137" s="31"/>
      <c r="B137" s="31"/>
      <c r="C137" s="31"/>
      <c r="D137" s="31"/>
      <c r="E137" s="31"/>
      <c r="F137" s="27"/>
      <c r="G137" s="27"/>
      <c r="H137" s="52"/>
      <c r="I137" s="52"/>
      <c r="J137" s="52"/>
      <c r="K137" s="52"/>
      <c r="L137" s="31"/>
      <c r="M137" s="52"/>
      <c r="N137" s="52"/>
      <c r="O137" s="52"/>
    </row>
    <row r="138" spans="1:15" x14ac:dyDescent="0.35">
      <c r="A138" s="31"/>
      <c r="B138" s="31"/>
      <c r="C138" s="31"/>
      <c r="D138" s="31"/>
      <c r="E138" s="31"/>
      <c r="F138" s="27"/>
      <c r="G138" s="27"/>
      <c r="H138" s="52"/>
      <c r="I138" s="52"/>
      <c r="J138" s="52"/>
      <c r="K138" s="52"/>
      <c r="L138" s="31"/>
    </row>
    <row r="145" spans="1:15" x14ac:dyDescent="0.35">
      <c r="A145" s="31"/>
      <c r="B145" s="31"/>
      <c r="C145" s="31"/>
      <c r="D145" s="31"/>
      <c r="E145" s="31"/>
      <c r="F145" s="27"/>
      <c r="G145" s="27"/>
      <c r="H145" s="52"/>
      <c r="I145" s="52"/>
      <c r="J145" s="52"/>
      <c r="K145" s="52"/>
      <c r="L145" s="31"/>
      <c r="M145" s="52"/>
      <c r="N145" s="52"/>
      <c r="O145" s="52"/>
    </row>
    <row r="149" spans="1:15" x14ac:dyDescent="0.35">
      <c r="A149" s="31"/>
      <c r="B149" s="31"/>
      <c r="C149" s="31"/>
      <c r="D149" s="31"/>
      <c r="E149" s="31"/>
      <c r="F149" s="27"/>
      <c r="G149" s="27"/>
      <c r="H149" s="52"/>
      <c r="I149" s="52"/>
      <c r="J149" s="52"/>
      <c r="K149" s="52"/>
      <c r="L149" s="31"/>
      <c r="M149" s="52"/>
      <c r="N149" s="52"/>
      <c r="O149" s="52"/>
    </row>
    <row r="150" spans="1:15" x14ac:dyDescent="0.35">
      <c r="A150" s="31"/>
      <c r="B150" s="31"/>
      <c r="C150" s="31"/>
      <c r="D150" s="31"/>
      <c r="E150" s="31"/>
      <c r="F150" s="27"/>
      <c r="G150" s="27"/>
      <c r="H150" s="52"/>
      <c r="I150" s="52"/>
      <c r="J150" s="52"/>
      <c r="K150" s="52"/>
      <c r="L150" s="31"/>
    </row>
    <row r="153" spans="1:15" x14ac:dyDescent="0.35">
      <c r="A153" s="31"/>
      <c r="B153" s="31"/>
      <c r="C153" s="31"/>
      <c r="D153" s="31"/>
      <c r="E153" s="31"/>
      <c r="F153" s="27"/>
      <c r="G153" s="27"/>
      <c r="H153" s="52"/>
      <c r="I153" s="52"/>
      <c r="J153" s="52"/>
      <c r="K153" s="52"/>
      <c r="L153" s="31"/>
      <c r="M153" s="52"/>
      <c r="N153" s="52"/>
      <c r="O153" s="52"/>
    </row>
    <row r="155" spans="1:15" x14ac:dyDescent="0.35">
      <c r="A155" s="31"/>
      <c r="B155" s="31"/>
      <c r="C155" s="31"/>
      <c r="D155" s="31"/>
      <c r="E155" s="31"/>
      <c r="F155" s="27"/>
      <c r="G155" s="27"/>
      <c r="H155" s="52"/>
      <c r="I155" s="52"/>
      <c r="J155" s="52"/>
      <c r="K155" s="52"/>
      <c r="L155" s="31"/>
      <c r="M155" s="52"/>
      <c r="N155" s="52"/>
      <c r="O155" s="52"/>
    </row>
    <row r="157" spans="1:15" x14ac:dyDescent="0.35">
      <c r="A157" s="31"/>
      <c r="B157" s="31"/>
      <c r="C157" s="31"/>
      <c r="D157" s="31"/>
      <c r="E157" s="31"/>
      <c r="F157" s="27"/>
      <c r="G157" s="27"/>
      <c r="H157" s="52"/>
      <c r="I157" s="52"/>
      <c r="J157" s="52"/>
      <c r="K157" s="52"/>
      <c r="L157" s="31"/>
      <c r="M157" s="52"/>
      <c r="N157" s="52"/>
      <c r="O157" s="52"/>
    </row>
    <row r="163" spans="1:15" x14ac:dyDescent="0.35">
      <c r="A163" s="31"/>
      <c r="B163" s="31"/>
      <c r="C163" s="31"/>
      <c r="D163" s="31"/>
      <c r="E163" s="31"/>
      <c r="F163" s="27"/>
      <c r="G163" s="27"/>
      <c r="H163" s="52"/>
      <c r="I163" s="52"/>
      <c r="J163" s="52"/>
      <c r="K163" s="52"/>
      <c r="L163" s="31"/>
      <c r="M163" s="52"/>
      <c r="N163" s="52"/>
      <c r="O163" s="52"/>
    </row>
    <row r="164" spans="1:15" x14ac:dyDescent="0.35">
      <c r="A164" s="31"/>
      <c r="B164" s="31"/>
      <c r="C164" s="31"/>
      <c r="D164" s="31"/>
      <c r="E164" s="31"/>
      <c r="F164" s="27"/>
      <c r="G164" s="27"/>
      <c r="H164" s="52"/>
      <c r="I164" s="52"/>
      <c r="J164" s="52"/>
      <c r="K164" s="52"/>
      <c r="L164" s="31"/>
    </row>
    <row r="166" spans="1:15" x14ac:dyDescent="0.35">
      <c r="A166" s="31"/>
      <c r="B166" s="31"/>
      <c r="C166" s="31"/>
      <c r="D166" s="31"/>
      <c r="E166" s="31"/>
      <c r="F166" s="27"/>
      <c r="G166" s="27"/>
      <c r="H166" s="52"/>
      <c r="I166" s="52"/>
      <c r="J166" s="52"/>
      <c r="K166" s="52"/>
      <c r="L166" s="31"/>
    </row>
    <row r="167" spans="1:15" x14ac:dyDescent="0.35">
      <c r="A167" s="31"/>
      <c r="B167" s="31"/>
      <c r="C167" s="31"/>
      <c r="D167" s="31"/>
      <c r="E167" s="31"/>
      <c r="F167" s="27"/>
      <c r="G167" s="27"/>
      <c r="H167" s="52"/>
      <c r="I167" s="52"/>
      <c r="J167" s="52"/>
      <c r="K167" s="52"/>
      <c r="L167" s="31"/>
    </row>
    <row r="170" spans="1:15" x14ac:dyDescent="0.35">
      <c r="A170" s="31"/>
      <c r="B170" s="31"/>
      <c r="C170" s="31"/>
      <c r="D170" s="31"/>
      <c r="E170" s="31"/>
      <c r="F170" s="27"/>
      <c r="G170" s="27"/>
      <c r="H170" s="52"/>
      <c r="I170" s="52"/>
      <c r="J170" s="52"/>
      <c r="K170" s="52"/>
      <c r="L170" s="31"/>
    </row>
    <row r="172" spans="1:15" x14ac:dyDescent="0.35">
      <c r="A172" s="31"/>
      <c r="B172" s="31"/>
      <c r="C172" s="31"/>
      <c r="D172" s="31"/>
      <c r="E172" s="31"/>
      <c r="F172" s="27"/>
      <c r="G172" s="27"/>
      <c r="H172" s="52"/>
      <c r="I172" s="52"/>
      <c r="J172" s="52"/>
      <c r="K172" s="52"/>
      <c r="L172" s="31"/>
    </row>
    <row r="173" spans="1:15" x14ac:dyDescent="0.35">
      <c r="A173" s="31"/>
      <c r="B173" s="31"/>
      <c r="C173" s="31"/>
      <c r="D173" s="31"/>
      <c r="E173" s="31"/>
      <c r="F173" s="27"/>
      <c r="G173" s="27"/>
      <c r="H173" s="52"/>
      <c r="I173" s="52"/>
      <c r="J173" s="52"/>
      <c r="K173" s="52"/>
      <c r="L173" s="31"/>
      <c r="M173" s="52"/>
      <c r="N173" s="52"/>
      <c r="O173" s="52"/>
    </row>
    <row r="174" spans="1:15" x14ac:dyDescent="0.35">
      <c r="A174" s="31"/>
      <c r="B174" s="31"/>
      <c r="C174" s="31"/>
      <c r="D174" s="31"/>
      <c r="E174" s="31"/>
      <c r="F174" s="27"/>
      <c r="G174" s="27"/>
      <c r="H174" s="52"/>
      <c r="I174" s="52"/>
      <c r="J174" s="52"/>
      <c r="K174" s="52"/>
      <c r="L174" s="31"/>
    </row>
    <row r="176" spans="1:15" x14ac:dyDescent="0.35">
      <c r="A176" s="31"/>
      <c r="B176" s="31"/>
      <c r="C176" s="31"/>
      <c r="D176" s="31"/>
      <c r="E176" s="31"/>
      <c r="F176" s="27"/>
      <c r="G176" s="27"/>
      <c r="H176" s="52"/>
      <c r="I176" s="52"/>
      <c r="J176" s="52"/>
      <c r="K176" s="52"/>
      <c r="L176" s="31"/>
      <c r="M176" s="52"/>
      <c r="N176" s="52"/>
      <c r="O176" s="52"/>
    </row>
  </sheetData>
  <sortState xmlns:xlrd2="http://schemas.microsoft.com/office/spreadsheetml/2017/richdata2" ref="A7:Q69">
    <sortCondition descending="1" ref="Q7:Q69"/>
  </sortState>
  <mergeCells count="1">
    <mergeCell ref="AD6:AE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3DED9-A3FB-40CC-846D-E865AF494D44}">
  <sheetPr>
    <tabColor rgb="FF92D050"/>
  </sheetPr>
  <dimension ref="A1:AF1111"/>
  <sheetViews>
    <sheetView workbookViewId="0">
      <pane ySplit="7" topLeftCell="A8" activePane="bottomLeft" state="frozen"/>
      <selection pane="bottomLeft" activeCell="N8" sqref="N8:N220"/>
    </sheetView>
  </sheetViews>
  <sheetFormatPr defaultRowHeight="14.5" x14ac:dyDescent="0.35"/>
  <cols>
    <col min="1" max="2" width="4.1796875" customWidth="1"/>
    <col min="3" max="3" width="11.81640625" customWidth="1"/>
    <col min="4" max="4" width="4.26953125" style="3" customWidth="1"/>
    <col min="5" max="5" width="4.26953125" customWidth="1"/>
    <col min="6" max="6" width="4.26953125" style="19" customWidth="1"/>
    <col min="7" max="7" width="4.26953125" style="55" customWidth="1"/>
    <col min="8" max="8" width="5.1796875" style="48" customWidth="1"/>
    <col min="9" max="10" width="17.453125" style="48" customWidth="1"/>
    <col min="11" max="11" width="22.1796875" style="48" customWidth="1"/>
    <col min="12" max="12" width="8.7265625" style="48"/>
    <col min="13" max="13" width="16.26953125" style="48" customWidth="1"/>
    <col min="14" max="14" width="8.7265625" style="48"/>
    <col min="16" max="16" width="4.453125" style="5" customWidth="1"/>
    <col min="17" max="17" width="11.1796875" style="3" bestFit="1" customWidth="1"/>
    <col min="18" max="18" width="5" style="61" customWidth="1"/>
    <col min="19" max="19" width="7.1796875" style="61" customWidth="1"/>
    <col min="22" max="22" width="10.1796875" style="3" bestFit="1" customWidth="1"/>
    <col min="23" max="29" width="1.7265625" customWidth="1"/>
    <col min="30" max="30" width="10.1796875" bestFit="1" customWidth="1"/>
    <col min="32" max="32" width="14.81640625" customWidth="1"/>
  </cols>
  <sheetData>
    <row r="1" spans="1:32" x14ac:dyDescent="0.35">
      <c r="A1" t="s">
        <v>59</v>
      </c>
      <c r="C1" s="24">
        <f>Summary!A16</f>
        <v>5160011000</v>
      </c>
    </row>
    <row r="2" spans="1:32" x14ac:dyDescent="0.35">
      <c r="A2" t="s">
        <v>60</v>
      </c>
      <c r="C2" s="24" t="str">
        <f>Summary!B16</f>
        <v>Business development</v>
      </c>
      <c r="G2" s="188" t="s">
        <v>98</v>
      </c>
    </row>
    <row r="3" spans="1:32" x14ac:dyDescent="0.35">
      <c r="A3" t="s">
        <v>61</v>
      </c>
      <c r="C3" s="22">
        <v>260399.01</v>
      </c>
      <c r="G3" s="93" t="s">
        <v>142</v>
      </c>
      <c r="T3" s="24" t="s">
        <v>0</v>
      </c>
      <c r="U3" s="24"/>
      <c r="V3" s="3">
        <f>SUMIF($A$8:$A$23974,"AU001",V8:V23974)</f>
        <v>8846.07</v>
      </c>
    </row>
    <row r="4" spans="1:32" x14ac:dyDescent="0.35">
      <c r="A4" t="s">
        <v>36</v>
      </c>
      <c r="C4" s="22">
        <f>SUM(E:E)</f>
        <v>260399.01000000013</v>
      </c>
      <c r="G4" s="93" t="s">
        <v>138</v>
      </c>
      <c r="T4" s="24" t="s">
        <v>27</v>
      </c>
      <c r="U4" s="24"/>
      <c r="V4" s="3">
        <f>SUMIF($A$8:$A$23974,"AU052",V8:V23974)</f>
        <v>24455.920000000006</v>
      </c>
    </row>
    <row r="5" spans="1:32" ht="15" thickBot="1" x14ac:dyDescent="0.4">
      <c r="A5" t="s">
        <v>62</v>
      </c>
      <c r="C5" s="3">
        <f>C3-C4</f>
        <v>0</v>
      </c>
      <c r="G5" s="93" t="s">
        <v>579</v>
      </c>
      <c r="Q5" s="28"/>
      <c r="R5" s="62"/>
      <c r="V5" s="187">
        <f>SUM(V3:V4)</f>
        <v>33301.990000000005</v>
      </c>
    </row>
    <row r="6" spans="1:32" ht="28.5" customHeight="1" thickTop="1" thickBot="1" x14ac:dyDescent="0.4">
      <c r="G6" s="215" t="s">
        <v>580</v>
      </c>
      <c r="H6" s="215"/>
      <c r="I6" s="215"/>
      <c r="J6" s="215"/>
      <c r="K6" s="215"/>
      <c r="L6" s="215"/>
      <c r="M6" s="215"/>
      <c r="N6" s="215"/>
      <c r="O6" s="215"/>
      <c r="AD6" s="207" t="s">
        <v>35</v>
      </c>
      <c r="AE6" s="208"/>
    </row>
    <row r="7" spans="1:32" s="46" customFormat="1" ht="70" customHeight="1" thickBot="1" x14ac:dyDescent="0.4">
      <c r="A7" s="1" t="s">
        <v>63</v>
      </c>
      <c r="B7" s="2" t="s">
        <v>313</v>
      </c>
      <c r="C7" s="2" t="s">
        <v>64</v>
      </c>
      <c r="D7" s="2" t="s">
        <v>65</v>
      </c>
      <c r="E7" s="2" t="s">
        <v>66</v>
      </c>
      <c r="F7" s="2" t="s">
        <v>67</v>
      </c>
      <c r="G7" s="189" t="s">
        <v>68</v>
      </c>
      <c r="H7" s="2" t="s">
        <v>69</v>
      </c>
      <c r="I7" s="179" t="s">
        <v>70</v>
      </c>
      <c r="J7" s="179" t="s">
        <v>71</v>
      </c>
      <c r="K7" s="179" t="s">
        <v>72</v>
      </c>
      <c r="L7" s="179" t="s">
        <v>73</v>
      </c>
      <c r="M7" s="179" t="s">
        <v>74</v>
      </c>
      <c r="N7" s="179" t="s">
        <v>75</v>
      </c>
      <c r="O7" s="190" t="s">
        <v>304</v>
      </c>
      <c r="P7" s="36"/>
      <c r="Q7" s="47" t="s">
        <v>95</v>
      </c>
      <c r="R7" s="59" t="s">
        <v>76</v>
      </c>
      <c r="S7" s="60" t="s">
        <v>37</v>
      </c>
      <c r="T7" s="38" t="s">
        <v>38</v>
      </c>
      <c r="U7" s="77" t="s">
        <v>417</v>
      </c>
      <c r="V7" s="58" t="s">
        <v>39</v>
      </c>
      <c r="W7" s="39" t="s">
        <v>40</v>
      </c>
      <c r="X7" s="40" t="s">
        <v>41</v>
      </c>
      <c r="Y7" s="41" t="s">
        <v>42</v>
      </c>
      <c r="Z7" s="42" t="s">
        <v>43</v>
      </c>
      <c r="AA7" s="43" t="s">
        <v>44</v>
      </c>
      <c r="AB7" s="43" t="s">
        <v>45</v>
      </c>
      <c r="AC7" s="43" t="s">
        <v>46</v>
      </c>
      <c r="AD7" s="44" t="s">
        <v>47</v>
      </c>
      <c r="AE7" s="44" t="s">
        <v>48</v>
      </c>
      <c r="AF7" s="45" t="s">
        <v>49</v>
      </c>
    </row>
    <row r="8" spans="1:32" s="35" customFormat="1" ht="29" x14ac:dyDescent="0.35">
      <c r="A8" s="35" t="s">
        <v>0</v>
      </c>
      <c r="B8" s="35" t="s">
        <v>434</v>
      </c>
      <c r="C8" s="35">
        <v>5160011000</v>
      </c>
      <c r="D8" s="35" t="s">
        <v>13</v>
      </c>
      <c r="E8" s="35">
        <v>-34650</v>
      </c>
      <c r="F8" s="35" t="s">
        <v>77</v>
      </c>
      <c r="G8" s="123">
        <v>45658</v>
      </c>
      <c r="H8" s="35" t="s">
        <v>576</v>
      </c>
      <c r="J8" s="185"/>
      <c r="K8" s="185" t="s">
        <v>576</v>
      </c>
      <c r="L8" s="185"/>
      <c r="M8" s="185"/>
      <c r="N8" s="185"/>
      <c r="P8" s="5"/>
      <c r="Q8" s="65">
        <f t="shared" ref="Q8:Q71" si="0">ABS(E8)</f>
        <v>34650</v>
      </c>
      <c r="R8" s="127"/>
      <c r="S8" s="127"/>
      <c r="V8" s="65"/>
    </row>
    <row r="9" spans="1:32" ht="29" x14ac:dyDescent="0.35">
      <c r="A9" t="s">
        <v>0</v>
      </c>
      <c r="B9" t="s">
        <v>434</v>
      </c>
      <c r="C9">
        <v>5160011000</v>
      </c>
      <c r="D9" t="s">
        <v>13</v>
      </c>
      <c r="E9">
        <v>34576.92</v>
      </c>
      <c r="F9" t="s">
        <v>77</v>
      </c>
      <c r="G9" s="102">
        <v>45705</v>
      </c>
      <c r="H9" t="s">
        <v>78</v>
      </c>
      <c r="I9" s="48" t="s">
        <v>1105</v>
      </c>
      <c r="K9" s="48" t="s">
        <v>1106</v>
      </c>
      <c r="L9" s="48" t="s">
        <v>1107</v>
      </c>
      <c r="M9" s="48" t="s">
        <v>548</v>
      </c>
      <c r="Q9" s="3">
        <f t="shared" si="0"/>
        <v>34576.92</v>
      </c>
    </row>
    <row r="10" spans="1:32" ht="29" x14ac:dyDescent="0.35">
      <c r="A10" t="s">
        <v>0</v>
      </c>
      <c r="B10" t="s">
        <v>434</v>
      </c>
      <c r="C10">
        <v>5160011000</v>
      </c>
      <c r="D10" t="s">
        <v>13</v>
      </c>
      <c r="E10">
        <v>27442</v>
      </c>
      <c r="F10" t="s">
        <v>77</v>
      </c>
      <c r="G10" s="102">
        <v>45709</v>
      </c>
      <c r="H10" t="s">
        <v>78</v>
      </c>
      <c r="I10" s="48" t="s">
        <v>1190</v>
      </c>
      <c r="K10" s="48" t="s">
        <v>1191</v>
      </c>
      <c r="L10" s="48" t="s">
        <v>1192</v>
      </c>
      <c r="M10" s="48" t="s">
        <v>1193</v>
      </c>
      <c r="Q10" s="3">
        <f t="shared" si="0"/>
        <v>27442</v>
      </c>
    </row>
    <row r="11" spans="1:32" ht="29" x14ac:dyDescent="0.35">
      <c r="A11" t="s">
        <v>0</v>
      </c>
      <c r="B11" t="s">
        <v>434</v>
      </c>
      <c r="C11">
        <v>5160011000</v>
      </c>
      <c r="D11" t="s">
        <v>13</v>
      </c>
      <c r="E11">
        <v>18660.560000000001</v>
      </c>
      <c r="F11" t="s">
        <v>77</v>
      </c>
      <c r="G11" s="102">
        <v>45664</v>
      </c>
      <c r="H11" t="s">
        <v>78</v>
      </c>
      <c r="I11" s="48" t="s">
        <v>905</v>
      </c>
      <c r="K11" s="48" t="s">
        <v>451</v>
      </c>
      <c r="L11" s="48" t="s">
        <v>906</v>
      </c>
      <c r="M11" s="48" t="s">
        <v>106</v>
      </c>
      <c r="Q11" s="3">
        <f t="shared" si="0"/>
        <v>18660.560000000001</v>
      </c>
    </row>
    <row r="12" spans="1:32" ht="29" x14ac:dyDescent="0.35">
      <c r="A12" t="s">
        <v>0</v>
      </c>
      <c r="B12" t="s">
        <v>438</v>
      </c>
      <c r="C12">
        <v>5160011000</v>
      </c>
      <c r="D12" t="s">
        <v>13</v>
      </c>
      <c r="E12">
        <v>14992.05</v>
      </c>
      <c r="F12" t="s">
        <v>77</v>
      </c>
      <c r="G12" s="102">
        <v>45730</v>
      </c>
      <c r="H12" t="s">
        <v>78</v>
      </c>
      <c r="I12" s="48" t="s">
        <v>1347</v>
      </c>
      <c r="K12" s="48" t="s">
        <v>1348</v>
      </c>
      <c r="L12" s="48">
        <v>2826</v>
      </c>
      <c r="M12" s="48" t="s">
        <v>104</v>
      </c>
      <c r="Q12" s="3">
        <f t="shared" si="0"/>
        <v>14992.05</v>
      </c>
    </row>
    <row r="13" spans="1:32" ht="29" x14ac:dyDescent="0.35">
      <c r="A13" t="s">
        <v>0</v>
      </c>
      <c r="B13" t="s">
        <v>434</v>
      </c>
      <c r="C13">
        <v>5160011000</v>
      </c>
      <c r="D13" t="s">
        <v>13</v>
      </c>
      <c r="E13">
        <v>13172.16</v>
      </c>
      <c r="F13" t="s">
        <v>77</v>
      </c>
      <c r="G13" s="102">
        <v>45708</v>
      </c>
      <c r="H13" t="s">
        <v>78</v>
      </c>
      <c r="I13" s="48" t="s">
        <v>1180</v>
      </c>
      <c r="K13" s="48" t="s">
        <v>1181</v>
      </c>
      <c r="L13" s="48">
        <v>2101</v>
      </c>
      <c r="M13" s="48" t="s">
        <v>1182</v>
      </c>
      <c r="Q13" s="3">
        <f t="shared" si="0"/>
        <v>13172.16</v>
      </c>
    </row>
    <row r="14" spans="1:32" ht="29" x14ac:dyDescent="0.35">
      <c r="A14" t="s">
        <v>0</v>
      </c>
      <c r="B14" t="s">
        <v>434</v>
      </c>
      <c r="C14">
        <v>5160011000</v>
      </c>
      <c r="D14" t="s">
        <v>13</v>
      </c>
      <c r="E14">
        <v>9330.2800000000007</v>
      </c>
      <c r="F14" t="s">
        <v>77</v>
      </c>
      <c r="G14" s="102">
        <v>45664</v>
      </c>
      <c r="H14" t="s">
        <v>78</v>
      </c>
      <c r="I14" s="48" t="s">
        <v>905</v>
      </c>
      <c r="K14" s="48" t="s">
        <v>456</v>
      </c>
      <c r="L14" s="48" t="s">
        <v>906</v>
      </c>
      <c r="M14" s="48" t="s">
        <v>106</v>
      </c>
      <c r="Q14" s="3">
        <f t="shared" si="0"/>
        <v>9330.2800000000007</v>
      </c>
    </row>
    <row r="15" spans="1:32" ht="29" x14ac:dyDescent="0.35">
      <c r="A15" t="s">
        <v>0</v>
      </c>
      <c r="B15" t="s">
        <v>434</v>
      </c>
      <c r="C15">
        <v>5160011000</v>
      </c>
      <c r="D15" t="s">
        <v>13</v>
      </c>
      <c r="E15">
        <v>9330.2800000000007</v>
      </c>
      <c r="F15" t="s">
        <v>77</v>
      </c>
      <c r="G15" s="102">
        <v>45664</v>
      </c>
      <c r="H15" t="s">
        <v>78</v>
      </c>
      <c r="I15" s="48" t="s">
        <v>905</v>
      </c>
      <c r="K15" s="48" t="s">
        <v>457</v>
      </c>
      <c r="L15" s="48" t="s">
        <v>906</v>
      </c>
      <c r="M15" s="48" t="s">
        <v>106</v>
      </c>
      <c r="Q15" s="3">
        <f t="shared" si="0"/>
        <v>9330.2800000000007</v>
      </c>
    </row>
    <row r="16" spans="1:32" ht="29" x14ac:dyDescent="0.35">
      <c r="A16" t="s">
        <v>0</v>
      </c>
      <c r="B16" t="s">
        <v>434</v>
      </c>
      <c r="C16">
        <v>5160011000</v>
      </c>
      <c r="D16" t="s">
        <v>13</v>
      </c>
      <c r="E16">
        <v>9330.2800000000007</v>
      </c>
      <c r="F16" t="s">
        <v>77</v>
      </c>
      <c r="G16" s="102">
        <v>45664</v>
      </c>
      <c r="H16" t="s">
        <v>78</v>
      </c>
      <c r="I16" s="48" t="s">
        <v>905</v>
      </c>
      <c r="K16" s="48" t="s">
        <v>458</v>
      </c>
      <c r="L16" s="48" t="s">
        <v>906</v>
      </c>
      <c r="M16" s="48" t="s">
        <v>106</v>
      </c>
      <c r="Q16" s="3">
        <f t="shared" si="0"/>
        <v>9330.2800000000007</v>
      </c>
    </row>
    <row r="17" spans="1:22" ht="58" x14ac:dyDescent="0.35">
      <c r="A17" t="s">
        <v>27</v>
      </c>
      <c r="B17" t="s">
        <v>434</v>
      </c>
      <c r="C17">
        <v>5160011000</v>
      </c>
      <c r="D17" t="s">
        <v>13</v>
      </c>
      <c r="E17">
        <v>9100.01</v>
      </c>
      <c r="F17" t="s">
        <v>77</v>
      </c>
      <c r="G17" s="102">
        <v>45744</v>
      </c>
      <c r="H17" t="s">
        <v>79</v>
      </c>
      <c r="I17" s="48" t="s">
        <v>91</v>
      </c>
      <c r="J17" s="48" t="s">
        <v>1623</v>
      </c>
      <c r="O17" t="s">
        <v>1624</v>
      </c>
      <c r="Q17" s="3">
        <f t="shared" si="0"/>
        <v>9100.01</v>
      </c>
      <c r="S17" s="61" t="s">
        <v>44</v>
      </c>
      <c r="T17" t="s">
        <v>54</v>
      </c>
      <c r="U17" t="str">
        <f>B17</f>
        <v>AU032046</v>
      </c>
      <c r="V17" s="3">
        <f>E17</f>
        <v>9100.01</v>
      </c>
    </row>
    <row r="18" spans="1:22" ht="29" x14ac:dyDescent="0.35">
      <c r="A18" t="s">
        <v>0</v>
      </c>
      <c r="B18" t="s">
        <v>434</v>
      </c>
      <c r="C18">
        <v>5160011000</v>
      </c>
      <c r="D18" t="s">
        <v>13</v>
      </c>
      <c r="E18">
        <v>7683.76</v>
      </c>
      <c r="F18" t="s">
        <v>77</v>
      </c>
      <c r="G18" s="102">
        <v>45698</v>
      </c>
      <c r="H18" t="s">
        <v>78</v>
      </c>
      <c r="I18" s="48" t="s">
        <v>1055</v>
      </c>
      <c r="K18" s="48" t="s">
        <v>1056</v>
      </c>
      <c r="L18" s="48" t="s">
        <v>1057</v>
      </c>
      <c r="M18" s="48" t="s">
        <v>1058</v>
      </c>
      <c r="Q18" s="3">
        <f t="shared" si="0"/>
        <v>7683.76</v>
      </c>
    </row>
    <row r="19" spans="1:22" ht="43.5" x14ac:dyDescent="0.35">
      <c r="A19" t="s">
        <v>0</v>
      </c>
      <c r="B19" t="s">
        <v>431</v>
      </c>
      <c r="C19">
        <v>5160011000</v>
      </c>
      <c r="D19" t="s">
        <v>13</v>
      </c>
      <c r="E19">
        <v>5499.65</v>
      </c>
      <c r="F19" t="s">
        <v>77</v>
      </c>
      <c r="G19" s="102">
        <v>45664</v>
      </c>
      <c r="H19" t="s">
        <v>78</v>
      </c>
      <c r="I19" s="48" t="s">
        <v>884</v>
      </c>
      <c r="K19" s="48" t="s">
        <v>885</v>
      </c>
      <c r="L19" s="48" t="s">
        <v>886</v>
      </c>
      <c r="M19" s="48" t="s">
        <v>449</v>
      </c>
      <c r="Q19" s="3">
        <f t="shared" si="0"/>
        <v>5499.65</v>
      </c>
      <c r="S19" s="61" t="s">
        <v>44</v>
      </c>
      <c r="T19" t="s">
        <v>54</v>
      </c>
      <c r="U19" t="str">
        <f>B19</f>
        <v>AU032051</v>
      </c>
      <c r="V19" s="3">
        <f>E19</f>
        <v>5499.65</v>
      </c>
    </row>
    <row r="20" spans="1:22" ht="58" x14ac:dyDescent="0.35">
      <c r="A20" t="s">
        <v>0</v>
      </c>
      <c r="B20" t="s">
        <v>434</v>
      </c>
      <c r="C20">
        <v>5160011000</v>
      </c>
      <c r="D20" t="s">
        <v>13</v>
      </c>
      <c r="E20">
        <v>5488.4</v>
      </c>
      <c r="F20" t="s">
        <v>77</v>
      </c>
      <c r="G20" s="102">
        <v>45677</v>
      </c>
      <c r="H20" t="s">
        <v>78</v>
      </c>
      <c r="I20" s="48" t="s">
        <v>958</v>
      </c>
      <c r="K20" s="48" t="s">
        <v>959</v>
      </c>
      <c r="L20" s="48">
        <v>412</v>
      </c>
      <c r="M20" s="48" t="s">
        <v>960</v>
      </c>
      <c r="Q20" s="3">
        <f t="shared" si="0"/>
        <v>5488.4</v>
      </c>
    </row>
    <row r="21" spans="1:22" ht="29" x14ac:dyDescent="0.35">
      <c r="A21" t="s">
        <v>0</v>
      </c>
      <c r="B21" t="s">
        <v>434</v>
      </c>
      <c r="C21">
        <v>5160011000</v>
      </c>
      <c r="D21" t="s">
        <v>13</v>
      </c>
      <c r="E21">
        <v>4989.45</v>
      </c>
      <c r="F21" t="s">
        <v>77</v>
      </c>
      <c r="G21" s="102">
        <v>45706</v>
      </c>
      <c r="H21" t="s">
        <v>78</v>
      </c>
      <c r="I21" s="48" t="s">
        <v>1118</v>
      </c>
      <c r="K21" s="48" t="s">
        <v>1119</v>
      </c>
      <c r="L21" s="48">
        <v>2063</v>
      </c>
      <c r="M21" s="48" t="s">
        <v>519</v>
      </c>
      <c r="Q21" s="3">
        <f t="shared" si="0"/>
        <v>4989.45</v>
      </c>
    </row>
    <row r="22" spans="1:22" ht="58" x14ac:dyDescent="0.35">
      <c r="A22" t="s">
        <v>0</v>
      </c>
      <c r="B22" t="s">
        <v>434</v>
      </c>
      <c r="C22">
        <v>5160011000</v>
      </c>
      <c r="D22" t="s">
        <v>13</v>
      </c>
      <c r="E22">
        <v>4390.72</v>
      </c>
      <c r="F22" t="s">
        <v>77</v>
      </c>
      <c r="G22" s="102">
        <v>45677</v>
      </c>
      <c r="H22" t="s">
        <v>78</v>
      </c>
      <c r="I22" s="48" t="s">
        <v>963</v>
      </c>
      <c r="K22" s="48" t="s">
        <v>964</v>
      </c>
      <c r="L22" s="48">
        <v>610</v>
      </c>
      <c r="M22" s="48" t="s">
        <v>965</v>
      </c>
      <c r="Q22" s="3">
        <f t="shared" si="0"/>
        <v>4390.72</v>
      </c>
    </row>
    <row r="23" spans="1:22" ht="43.5" x14ac:dyDescent="0.35">
      <c r="A23" t="s">
        <v>0</v>
      </c>
      <c r="B23" t="s">
        <v>434</v>
      </c>
      <c r="C23">
        <v>5160011000</v>
      </c>
      <c r="D23" t="s">
        <v>13</v>
      </c>
      <c r="E23">
        <v>4390.72</v>
      </c>
      <c r="F23" t="s">
        <v>77</v>
      </c>
      <c r="G23" s="102">
        <v>45677</v>
      </c>
      <c r="H23" t="s">
        <v>78</v>
      </c>
      <c r="I23" s="48" t="s">
        <v>966</v>
      </c>
      <c r="K23" s="48" t="s">
        <v>964</v>
      </c>
      <c r="L23" s="48">
        <v>610</v>
      </c>
      <c r="M23" s="48" t="s">
        <v>561</v>
      </c>
      <c r="Q23" s="3">
        <f t="shared" si="0"/>
        <v>4390.72</v>
      </c>
    </row>
    <row r="24" spans="1:22" ht="58" x14ac:dyDescent="0.35">
      <c r="A24" t="s">
        <v>0</v>
      </c>
      <c r="B24" t="s">
        <v>434</v>
      </c>
      <c r="C24">
        <v>5160011000</v>
      </c>
      <c r="D24" t="s">
        <v>13</v>
      </c>
      <c r="E24">
        <v>-4390.72</v>
      </c>
      <c r="F24" t="s">
        <v>77</v>
      </c>
      <c r="G24" s="102">
        <v>45679</v>
      </c>
      <c r="H24" t="s">
        <v>78</v>
      </c>
      <c r="I24" s="48" t="s">
        <v>963</v>
      </c>
      <c r="K24" s="48" t="s">
        <v>964</v>
      </c>
      <c r="L24" s="48">
        <v>610</v>
      </c>
      <c r="M24" s="48" t="s">
        <v>965</v>
      </c>
      <c r="Q24" s="3">
        <f t="shared" si="0"/>
        <v>4390.72</v>
      </c>
    </row>
    <row r="25" spans="1:22" ht="29" x14ac:dyDescent="0.35">
      <c r="A25" t="s">
        <v>0</v>
      </c>
      <c r="B25" t="s">
        <v>434</v>
      </c>
      <c r="C25">
        <v>5160011000</v>
      </c>
      <c r="D25" t="s">
        <v>13</v>
      </c>
      <c r="E25">
        <v>4379.74</v>
      </c>
      <c r="F25" t="s">
        <v>77</v>
      </c>
      <c r="G25" s="102">
        <v>45705</v>
      </c>
      <c r="H25" t="s">
        <v>78</v>
      </c>
      <c r="I25" s="48" t="s">
        <v>1103</v>
      </c>
      <c r="K25" s="48" t="s">
        <v>1104</v>
      </c>
      <c r="L25" s="48">
        <v>2774</v>
      </c>
      <c r="M25" s="48" t="s">
        <v>104</v>
      </c>
      <c r="Q25" s="3">
        <f t="shared" si="0"/>
        <v>4379.74</v>
      </c>
    </row>
    <row r="26" spans="1:22" ht="43.5" x14ac:dyDescent="0.35">
      <c r="A26" t="s">
        <v>0</v>
      </c>
      <c r="B26" t="s">
        <v>434</v>
      </c>
      <c r="C26">
        <v>5160011000</v>
      </c>
      <c r="D26" t="s">
        <v>13</v>
      </c>
      <c r="E26">
        <v>4008.73</v>
      </c>
      <c r="F26" t="s">
        <v>77</v>
      </c>
      <c r="G26" s="102">
        <v>45706</v>
      </c>
      <c r="H26" t="s">
        <v>78</v>
      </c>
      <c r="I26" s="48" t="s">
        <v>1137</v>
      </c>
      <c r="K26" s="48" t="s">
        <v>1138</v>
      </c>
      <c r="L26" s="48" t="s">
        <v>1139</v>
      </c>
      <c r="M26" s="48" t="s">
        <v>122</v>
      </c>
      <c r="Q26" s="3">
        <f t="shared" si="0"/>
        <v>4008.73</v>
      </c>
    </row>
    <row r="27" spans="1:22" ht="29" x14ac:dyDescent="0.35">
      <c r="A27" t="s">
        <v>27</v>
      </c>
      <c r="B27" t="s">
        <v>434</v>
      </c>
      <c r="C27">
        <v>5160011000</v>
      </c>
      <c r="D27" t="s">
        <v>13</v>
      </c>
      <c r="E27">
        <v>3264</v>
      </c>
      <c r="F27" t="s">
        <v>77</v>
      </c>
      <c r="G27" s="102">
        <v>45734</v>
      </c>
      <c r="H27" t="s">
        <v>79</v>
      </c>
      <c r="I27" s="48" t="s">
        <v>129</v>
      </c>
      <c r="J27" s="48" t="s">
        <v>1595</v>
      </c>
      <c r="O27" t="s">
        <v>573</v>
      </c>
      <c r="Q27" s="3">
        <f t="shared" si="0"/>
        <v>3264</v>
      </c>
    </row>
    <row r="28" spans="1:22" ht="29" x14ac:dyDescent="0.35">
      <c r="A28" t="s">
        <v>0</v>
      </c>
      <c r="B28" t="s">
        <v>434</v>
      </c>
      <c r="C28">
        <v>5160011000</v>
      </c>
      <c r="D28" t="s">
        <v>13</v>
      </c>
      <c r="E28">
        <v>3128.39</v>
      </c>
      <c r="F28" t="s">
        <v>77</v>
      </c>
      <c r="G28" s="102">
        <v>45726</v>
      </c>
      <c r="H28" t="s">
        <v>78</v>
      </c>
      <c r="I28" s="48" t="s">
        <v>1306</v>
      </c>
      <c r="K28" s="48" t="s">
        <v>1307</v>
      </c>
      <c r="L28" s="48">
        <v>425990</v>
      </c>
      <c r="M28" s="48" t="s">
        <v>1308</v>
      </c>
      <c r="Q28" s="3">
        <f t="shared" si="0"/>
        <v>3128.39</v>
      </c>
    </row>
    <row r="29" spans="1:22" ht="29" x14ac:dyDescent="0.35">
      <c r="A29" t="s">
        <v>0</v>
      </c>
      <c r="B29" t="s">
        <v>434</v>
      </c>
      <c r="C29">
        <v>5160011000</v>
      </c>
      <c r="D29" t="s">
        <v>13</v>
      </c>
      <c r="E29">
        <v>3017.12</v>
      </c>
      <c r="F29" t="s">
        <v>77</v>
      </c>
      <c r="G29" s="102">
        <v>45664</v>
      </c>
      <c r="H29" t="s">
        <v>78</v>
      </c>
      <c r="I29" s="48" t="s">
        <v>890</v>
      </c>
      <c r="K29" s="48" t="s">
        <v>891</v>
      </c>
      <c r="L29" s="48" t="s">
        <v>892</v>
      </c>
      <c r="M29" s="48" t="s">
        <v>569</v>
      </c>
      <c r="Q29" s="3">
        <f t="shared" si="0"/>
        <v>3017.12</v>
      </c>
      <c r="S29" s="61" t="s">
        <v>44</v>
      </c>
      <c r="T29" t="s">
        <v>54</v>
      </c>
      <c r="U29" t="str">
        <f>B29</f>
        <v>AU032046</v>
      </c>
      <c r="V29" s="3">
        <f>E29</f>
        <v>3017.12</v>
      </c>
    </row>
    <row r="30" spans="1:22" ht="29" x14ac:dyDescent="0.35">
      <c r="A30" t="s">
        <v>0</v>
      </c>
      <c r="B30" t="s">
        <v>434</v>
      </c>
      <c r="C30">
        <v>5160011000</v>
      </c>
      <c r="D30" t="s">
        <v>13</v>
      </c>
      <c r="E30">
        <v>3000</v>
      </c>
      <c r="F30" t="s">
        <v>77</v>
      </c>
      <c r="G30" s="102">
        <v>45720</v>
      </c>
      <c r="H30" t="s">
        <v>78</v>
      </c>
      <c r="I30" s="48" t="s">
        <v>1246</v>
      </c>
      <c r="K30" s="48" t="s">
        <v>1247</v>
      </c>
      <c r="L30" s="48" t="s">
        <v>1248</v>
      </c>
      <c r="M30" s="48" t="s">
        <v>1249</v>
      </c>
      <c r="Q30" s="3">
        <f t="shared" si="0"/>
        <v>3000</v>
      </c>
    </row>
    <row r="31" spans="1:22" ht="87" x14ac:dyDescent="0.35">
      <c r="A31" t="s">
        <v>0</v>
      </c>
      <c r="B31" t="s">
        <v>434</v>
      </c>
      <c r="C31">
        <v>5160011000</v>
      </c>
      <c r="D31" t="s">
        <v>13</v>
      </c>
      <c r="E31">
        <v>2893.88</v>
      </c>
      <c r="F31" t="s">
        <v>77</v>
      </c>
      <c r="G31" s="102">
        <v>45734</v>
      </c>
      <c r="H31" t="s">
        <v>78</v>
      </c>
      <c r="I31" s="48" t="s">
        <v>1377</v>
      </c>
      <c r="K31" s="48" t="s">
        <v>1378</v>
      </c>
      <c r="L31" s="48">
        <v>3390</v>
      </c>
      <c r="M31" s="48" t="s">
        <v>1379</v>
      </c>
      <c r="Q31" s="3">
        <f t="shared" si="0"/>
        <v>2893.88</v>
      </c>
      <c r="S31" s="61" t="s">
        <v>1661</v>
      </c>
    </row>
    <row r="32" spans="1:22" ht="29" x14ac:dyDescent="0.35">
      <c r="A32" t="s">
        <v>0</v>
      </c>
      <c r="B32" t="s">
        <v>434</v>
      </c>
      <c r="C32">
        <v>5160011000</v>
      </c>
      <c r="D32" t="s">
        <v>13</v>
      </c>
      <c r="E32">
        <v>2870</v>
      </c>
      <c r="F32" t="s">
        <v>77</v>
      </c>
      <c r="G32" s="102">
        <v>45674</v>
      </c>
      <c r="H32" t="s">
        <v>78</v>
      </c>
      <c r="I32" s="48" t="s">
        <v>952</v>
      </c>
      <c r="K32" s="48" t="s">
        <v>953</v>
      </c>
      <c r="L32" s="48" t="s">
        <v>954</v>
      </c>
      <c r="M32" s="48" t="s">
        <v>955</v>
      </c>
      <c r="Q32" s="3">
        <f t="shared" si="0"/>
        <v>2870</v>
      </c>
    </row>
    <row r="33" spans="1:30" ht="43.5" x14ac:dyDescent="0.35">
      <c r="A33" t="s">
        <v>0</v>
      </c>
      <c r="B33" t="s">
        <v>434</v>
      </c>
      <c r="C33">
        <v>5160011000</v>
      </c>
      <c r="D33" t="s">
        <v>13</v>
      </c>
      <c r="E33">
        <v>2802.22</v>
      </c>
      <c r="F33" t="s">
        <v>77</v>
      </c>
      <c r="G33" s="102">
        <v>45706</v>
      </c>
      <c r="H33" t="s">
        <v>78</v>
      </c>
      <c r="I33" s="48" t="s">
        <v>1123</v>
      </c>
      <c r="K33" s="48" t="s">
        <v>1124</v>
      </c>
      <c r="L33" s="48" t="s">
        <v>1125</v>
      </c>
      <c r="M33" s="48" t="s">
        <v>105</v>
      </c>
      <c r="Q33" s="3">
        <f t="shared" si="0"/>
        <v>2802.22</v>
      </c>
    </row>
    <row r="34" spans="1:30" ht="43.5" x14ac:dyDescent="0.35">
      <c r="A34" t="s">
        <v>0</v>
      </c>
      <c r="B34" t="s">
        <v>434</v>
      </c>
      <c r="C34">
        <v>5160011000</v>
      </c>
      <c r="D34" t="s">
        <v>13</v>
      </c>
      <c r="E34">
        <v>2744.2</v>
      </c>
      <c r="F34" t="s">
        <v>77</v>
      </c>
      <c r="G34" s="102">
        <v>45698</v>
      </c>
      <c r="H34" t="s">
        <v>78</v>
      </c>
      <c r="I34" s="48" t="s">
        <v>1052</v>
      </c>
      <c r="K34" s="48" t="s">
        <v>545</v>
      </c>
      <c r="L34" s="48" t="s">
        <v>1053</v>
      </c>
      <c r="M34" s="48" t="s">
        <v>1054</v>
      </c>
      <c r="Q34" s="3">
        <f t="shared" si="0"/>
        <v>2744.2</v>
      </c>
    </row>
    <row r="35" spans="1:30" ht="58" x14ac:dyDescent="0.35">
      <c r="A35" t="s">
        <v>0</v>
      </c>
      <c r="B35" t="s">
        <v>431</v>
      </c>
      <c r="C35">
        <v>5160011000</v>
      </c>
      <c r="D35" t="s">
        <v>13</v>
      </c>
      <c r="E35">
        <v>2692.96</v>
      </c>
      <c r="F35" t="s">
        <v>77</v>
      </c>
      <c r="G35" s="102">
        <v>45701</v>
      </c>
      <c r="H35" t="s">
        <v>78</v>
      </c>
      <c r="I35" s="48" t="s">
        <v>1088</v>
      </c>
      <c r="K35" s="48" t="s">
        <v>1089</v>
      </c>
      <c r="L35" s="48" t="s">
        <v>571</v>
      </c>
      <c r="M35" s="48" t="s">
        <v>572</v>
      </c>
      <c r="Q35" s="3">
        <f t="shared" si="0"/>
        <v>2692.96</v>
      </c>
    </row>
    <row r="36" spans="1:30" ht="58" x14ac:dyDescent="0.35">
      <c r="A36" t="s">
        <v>0</v>
      </c>
      <c r="B36" t="s">
        <v>434</v>
      </c>
      <c r="C36">
        <v>5160011000</v>
      </c>
      <c r="D36" t="s">
        <v>13</v>
      </c>
      <c r="E36">
        <v>2500</v>
      </c>
      <c r="F36" t="s">
        <v>77</v>
      </c>
      <c r="G36" s="102">
        <v>45691</v>
      </c>
      <c r="H36" t="s">
        <v>78</v>
      </c>
      <c r="I36" s="48" t="s">
        <v>1016</v>
      </c>
      <c r="K36" s="48" t="s">
        <v>1017</v>
      </c>
      <c r="L36" s="48">
        <v>1000</v>
      </c>
      <c r="M36" s="48" t="s">
        <v>1018</v>
      </c>
      <c r="Q36" s="3">
        <f t="shared" si="0"/>
        <v>2500</v>
      </c>
    </row>
    <row r="37" spans="1:30" ht="43.5" x14ac:dyDescent="0.35">
      <c r="A37" t="s">
        <v>0</v>
      </c>
      <c r="B37" t="s">
        <v>434</v>
      </c>
      <c r="C37">
        <v>5160011000</v>
      </c>
      <c r="D37" t="s">
        <v>13</v>
      </c>
      <c r="E37">
        <v>2195.36</v>
      </c>
      <c r="F37" t="s">
        <v>77</v>
      </c>
      <c r="G37" s="102">
        <v>45701</v>
      </c>
      <c r="H37" t="s">
        <v>78</v>
      </c>
      <c r="I37" s="48" t="s">
        <v>1084</v>
      </c>
      <c r="K37" s="48" t="s">
        <v>1085</v>
      </c>
      <c r="L37" s="48" t="s">
        <v>1086</v>
      </c>
      <c r="M37" s="48" t="s">
        <v>1087</v>
      </c>
      <c r="Q37" s="3">
        <f t="shared" si="0"/>
        <v>2195.36</v>
      </c>
      <c r="AD37" s="26"/>
    </row>
    <row r="38" spans="1:30" ht="29" x14ac:dyDescent="0.35">
      <c r="A38" t="s">
        <v>0</v>
      </c>
      <c r="B38" t="s">
        <v>434</v>
      </c>
      <c r="C38">
        <v>5160011000</v>
      </c>
      <c r="D38" t="s">
        <v>13</v>
      </c>
      <c r="E38">
        <v>2195.36</v>
      </c>
      <c r="F38" t="s">
        <v>77</v>
      </c>
      <c r="G38" s="102">
        <v>45734</v>
      </c>
      <c r="H38" t="s">
        <v>78</v>
      </c>
      <c r="I38" s="48" t="s">
        <v>1392</v>
      </c>
      <c r="K38" s="48" t="s">
        <v>1393</v>
      </c>
      <c r="L38" s="48" t="s">
        <v>1394</v>
      </c>
      <c r="M38" s="48" t="s">
        <v>107</v>
      </c>
      <c r="Q38" s="3">
        <f t="shared" si="0"/>
        <v>2195.36</v>
      </c>
    </row>
    <row r="39" spans="1:30" ht="87" x14ac:dyDescent="0.35">
      <c r="A39" t="s">
        <v>27</v>
      </c>
      <c r="B39" t="s">
        <v>321</v>
      </c>
      <c r="C39">
        <v>5160011000</v>
      </c>
      <c r="D39" t="s">
        <v>13</v>
      </c>
      <c r="E39">
        <v>2180</v>
      </c>
      <c r="F39" t="s">
        <v>77</v>
      </c>
      <c r="G39" s="102">
        <v>45740</v>
      </c>
      <c r="H39" t="s">
        <v>79</v>
      </c>
      <c r="I39" s="48" t="s">
        <v>1609</v>
      </c>
      <c r="J39" s="48" t="s">
        <v>1610</v>
      </c>
      <c r="O39" t="s">
        <v>672</v>
      </c>
      <c r="Q39" s="3">
        <f t="shared" si="0"/>
        <v>2180</v>
      </c>
    </row>
    <row r="40" spans="1:30" ht="43.5" x14ac:dyDescent="0.35">
      <c r="A40" t="s">
        <v>27</v>
      </c>
      <c r="B40" t="s">
        <v>434</v>
      </c>
      <c r="C40">
        <v>5160011000</v>
      </c>
      <c r="D40" t="s">
        <v>13</v>
      </c>
      <c r="E40">
        <v>2035.76</v>
      </c>
      <c r="F40" t="s">
        <v>77</v>
      </c>
      <c r="G40" s="102">
        <v>45664</v>
      </c>
      <c r="H40" t="s">
        <v>78</v>
      </c>
      <c r="I40" s="48" t="s">
        <v>1412</v>
      </c>
      <c r="K40" s="48" t="s">
        <v>1413</v>
      </c>
      <c r="L40" s="48">
        <v>18230</v>
      </c>
      <c r="M40" s="48" t="s">
        <v>1414</v>
      </c>
      <c r="Q40" s="3">
        <f t="shared" si="0"/>
        <v>2035.76</v>
      </c>
    </row>
    <row r="41" spans="1:30" ht="29" x14ac:dyDescent="0.35">
      <c r="A41" t="s">
        <v>0</v>
      </c>
      <c r="B41" t="s">
        <v>434</v>
      </c>
      <c r="C41">
        <v>5160011000</v>
      </c>
      <c r="D41" t="s">
        <v>13</v>
      </c>
      <c r="E41">
        <v>2000</v>
      </c>
      <c r="F41" t="s">
        <v>77</v>
      </c>
      <c r="G41" s="102">
        <v>45730</v>
      </c>
      <c r="H41" t="s">
        <v>78</v>
      </c>
      <c r="I41" s="48" t="s">
        <v>1344</v>
      </c>
      <c r="K41" s="48" t="s">
        <v>1345</v>
      </c>
      <c r="L41" s="48">
        <v>101</v>
      </c>
      <c r="M41" s="48" t="s">
        <v>1346</v>
      </c>
      <c r="Q41" s="3">
        <f t="shared" si="0"/>
        <v>2000</v>
      </c>
    </row>
    <row r="42" spans="1:30" ht="43.5" x14ac:dyDescent="0.35">
      <c r="A42" t="s">
        <v>0</v>
      </c>
      <c r="B42" t="s">
        <v>434</v>
      </c>
      <c r="C42">
        <v>5160011000</v>
      </c>
      <c r="D42" t="s">
        <v>13</v>
      </c>
      <c r="E42">
        <v>1975.97</v>
      </c>
      <c r="F42" t="s">
        <v>77</v>
      </c>
      <c r="G42" s="102">
        <v>45732</v>
      </c>
      <c r="H42" t="s">
        <v>78</v>
      </c>
      <c r="I42" s="48" t="s">
        <v>1362</v>
      </c>
      <c r="K42" s="48" t="s">
        <v>1369</v>
      </c>
      <c r="L42" s="48" t="s">
        <v>1364</v>
      </c>
      <c r="M42" s="48" t="s">
        <v>1365</v>
      </c>
      <c r="Q42" s="3">
        <f t="shared" si="0"/>
        <v>1975.97</v>
      </c>
    </row>
    <row r="43" spans="1:30" ht="29" x14ac:dyDescent="0.35">
      <c r="A43" t="s">
        <v>0</v>
      </c>
      <c r="B43" t="s">
        <v>434</v>
      </c>
      <c r="C43">
        <v>5160011000</v>
      </c>
      <c r="D43" t="s">
        <v>13</v>
      </c>
      <c r="E43">
        <v>1892.4</v>
      </c>
      <c r="F43" t="s">
        <v>77</v>
      </c>
      <c r="G43" s="102">
        <v>45674</v>
      </c>
      <c r="H43" t="s">
        <v>78</v>
      </c>
      <c r="I43" s="48" t="s">
        <v>948</v>
      </c>
      <c r="K43" s="48" t="s">
        <v>949</v>
      </c>
      <c r="L43" s="48" t="s">
        <v>950</v>
      </c>
      <c r="M43" s="48" t="s">
        <v>951</v>
      </c>
      <c r="Q43" s="3">
        <f t="shared" si="0"/>
        <v>1892.4</v>
      </c>
    </row>
    <row r="44" spans="1:30" ht="29" x14ac:dyDescent="0.35">
      <c r="A44" t="s">
        <v>27</v>
      </c>
      <c r="B44" t="s">
        <v>339</v>
      </c>
      <c r="C44">
        <v>5160011000</v>
      </c>
      <c r="D44" t="s">
        <v>13</v>
      </c>
      <c r="E44">
        <v>1820</v>
      </c>
      <c r="F44" t="s">
        <v>77</v>
      </c>
      <c r="G44" s="102">
        <v>45670</v>
      </c>
      <c r="H44" t="s">
        <v>79</v>
      </c>
      <c r="I44" s="48" t="s">
        <v>502</v>
      </c>
      <c r="J44" s="48" t="s">
        <v>1429</v>
      </c>
      <c r="O44" t="s">
        <v>1430</v>
      </c>
      <c r="Q44" s="3">
        <f t="shared" si="0"/>
        <v>1820</v>
      </c>
      <c r="S44" s="61" t="s">
        <v>44</v>
      </c>
      <c r="T44" t="s">
        <v>54</v>
      </c>
      <c r="U44" t="str">
        <f>B44</f>
        <v>AU030213</v>
      </c>
      <c r="V44" s="3">
        <f>E44</f>
        <v>1820</v>
      </c>
    </row>
    <row r="45" spans="1:30" ht="29" x14ac:dyDescent="0.35">
      <c r="A45" t="s">
        <v>0</v>
      </c>
      <c r="B45" t="s">
        <v>434</v>
      </c>
      <c r="C45">
        <v>5160011000</v>
      </c>
      <c r="D45" t="s">
        <v>13</v>
      </c>
      <c r="E45">
        <v>1737.7</v>
      </c>
      <c r="F45" t="s">
        <v>77</v>
      </c>
      <c r="G45" s="102">
        <v>45723</v>
      </c>
      <c r="H45" t="s">
        <v>78</v>
      </c>
      <c r="I45" s="48" t="s">
        <v>1266</v>
      </c>
      <c r="K45" s="48" t="s">
        <v>1267</v>
      </c>
      <c r="L45" s="48">
        <v>19</v>
      </c>
      <c r="M45" s="48" t="s">
        <v>1268</v>
      </c>
      <c r="Q45" s="3">
        <f t="shared" si="0"/>
        <v>1737.7</v>
      </c>
    </row>
    <row r="46" spans="1:30" x14ac:dyDescent="0.35">
      <c r="A46" t="s">
        <v>0</v>
      </c>
      <c r="B46" t="s">
        <v>434</v>
      </c>
      <c r="C46">
        <v>5160011000</v>
      </c>
      <c r="D46" t="s">
        <v>13</v>
      </c>
      <c r="E46">
        <v>1646.52</v>
      </c>
      <c r="F46" t="s">
        <v>77</v>
      </c>
      <c r="G46" s="102">
        <v>45706</v>
      </c>
      <c r="H46" t="s">
        <v>78</v>
      </c>
      <c r="I46" s="48" t="s">
        <v>1133</v>
      </c>
      <c r="K46" s="48" t="s">
        <v>1134</v>
      </c>
      <c r="L46" s="48" t="s">
        <v>1135</v>
      </c>
      <c r="M46" s="48" t="s">
        <v>1136</v>
      </c>
      <c r="Q46" s="3">
        <f t="shared" si="0"/>
        <v>1646.52</v>
      </c>
    </row>
    <row r="47" spans="1:30" ht="43.5" x14ac:dyDescent="0.35">
      <c r="A47" t="s">
        <v>0</v>
      </c>
      <c r="B47" t="s">
        <v>434</v>
      </c>
      <c r="C47">
        <v>5160011000</v>
      </c>
      <c r="D47" t="s">
        <v>13</v>
      </c>
      <c r="E47">
        <v>-1643.64</v>
      </c>
      <c r="F47" t="s">
        <v>77</v>
      </c>
      <c r="G47" s="102">
        <v>45705</v>
      </c>
      <c r="H47" t="s">
        <v>395</v>
      </c>
      <c r="I47" s="48" t="s">
        <v>1108</v>
      </c>
      <c r="K47" s="48" t="s">
        <v>1109</v>
      </c>
      <c r="L47" s="48" t="s">
        <v>1110</v>
      </c>
      <c r="M47" s="48" t="s">
        <v>1111</v>
      </c>
      <c r="Q47" s="3">
        <f t="shared" si="0"/>
        <v>1643.64</v>
      </c>
    </row>
    <row r="48" spans="1:30" ht="58" x14ac:dyDescent="0.35">
      <c r="A48" t="s">
        <v>0</v>
      </c>
      <c r="B48" t="s">
        <v>434</v>
      </c>
      <c r="C48">
        <v>5160011000</v>
      </c>
      <c r="D48" t="s">
        <v>13</v>
      </c>
      <c r="E48">
        <v>1600</v>
      </c>
      <c r="F48" t="s">
        <v>77</v>
      </c>
      <c r="G48" s="102">
        <v>45723</v>
      </c>
      <c r="H48" t="s">
        <v>78</v>
      </c>
      <c r="I48" s="48" t="s">
        <v>1283</v>
      </c>
      <c r="K48" s="48" t="s">
        <v>1284</v>
      </c>
      <c r="L48" s="48" t="s">
        <v>1285</v>
      </c>
      <c r="M48" s="48" t="s">
        <v>1286</v>
      </c>
      <c r="Q48" s="3">
        <f t="shared" si="0"/>
        <v>1600</v>
      </c>
    </row>
    <row r="49" spans="1:22" ht="29" x14ac:dyDescent="0.35">
      <c r="A49" t="s">
        <v>0</v>
      </c>
      <c r="B49" t="s">
        <v>434</v>
      </c>
      <c r="C49">
        <v>5160011000</v>
      </c>
      <c r="D49" t="s">
        <v>13</v>
      </c>
      <c r="E49">
        <v>1572.38</v>
      </c>
      <c r="F49" t="s">
        <v>77</v>
      </c>
      <c r="G49" s="102">
        <v>45706</v>
      </c>
      <c r="H49" t="s">
        <v>78</v>
      </c>
      <c r="I49" s="48" t="s">
        <v>1120</v>
      </c>
      <c r="K49" s="48" t="s">
        <v>1121</v>
      </c>
      <c r="L49" s="48">
        <v>241118</v>
      </c>
      <c r="M49" s="48" t="s">
        <v>104</v>
      </c>
      <c r="Q49" s="3">
        <f t="shared" si="0"/>
        <v>1572.38</v>
      </c>
    </row>
    <row r="50" spans="1:22" ht="43.5" x14ac:dyDescent="0.35">
      <c r="A50" t="s">
        <v>0</v>
      </c>
      <c r="B50" t="s">
        <v>434</v>
      </c>
      <c r="C50">
        <v>5160011000</v>
      </c>
      <c r="D50" t="s">
        <v>13</v>
      </c>
      <c r="E50">
        <v>1521.78</v>
      </c>
      <c r="F50" t="s">
        <v>77</v>
      </c>
      <c r="G50" s="102">
        <v>45719</v>
      </c>
      <c r="H50" t="s">
        <v>78</v>
      </c>
      <c r="I50" s="48" t="s">
        <v>1209</v>
      </c>
      <c r="K50" s="48" t="s">
        <v>1210</v>
      </c>
      <c r="L50" s="48">
        <v>2025058</v>
      </c>
      <c r="M50" s="48" t="s">
        <v>1211</v>
      </c>
      <c r="Q50" s="3">
        <f t="shared" si="0"/>
        <v>1521.78</v>
      </c>
    </row>
    <row r="51" spans="1:22" ht="58" x14ac:dyDescent="0.35">
      <c r="A51" t="s">
        <v>27</v>
      </c>
      <c r="B51" t="s">
        <v>434</v>
      </c>
      <c r="C51">
        <v>5160011000</v>
      </c>
      <c r="D51" t="s">
        <v>13</v>
      </c>
      <c r="E51">
        <v>1397.13</v>
      </c>
      <c r="F51" t="s">
        <v>77</v>
      </c>
      <c r="G51" s="102">
        <v>45744</v>
      </c>
      <c r="H51" t="s">
        <v>79</v>
      </c>
      <c r="I51" s="48" t="s">
        <v>711</v>
      </c>
      <c r="K51" s="48" t="s">
        <v>1627</v>
      </c>
      <c r="O51" t="s">
        <v>1628</v>
      </c>
      <c r="Q51" s="3">
        <f t="shared" si="0"/>
        <v>1397.13</v>
      </c>
      <c r="S51" s="61" t="s">
        <v>44</v>
      </c>
      <c r="T51" t="s">
        <v>54</v>
      </c>
      <c r="U51" t="str">
        <f>B51</f>
        <v>AU032046</v>
      </c>
      <c r="V51" s="3">
        <f>E51</f>
        <v>1397.13</v>
      </c>
    </row>
    <row r="52" spans="1:22" ht="43.5" x14ac:dyDescent="0.35">
      <c r="A52" t="s">
        <v>27</v>
      </c>
      <c r="B52" t="s">
        <v>339</v>
      </c>
      <c r="C52">
        <v>5160011000</v>
      </c>
      <c r="D52" t="s">
        <v>13</v>
      </c>
      <c r="E52">
        <v>1321.35</v>
      </c>
      <c r="F52" t="s">
        <v>77</v>
      </c>
      <c r="G52" s="102">
        <v>45678</v>
      </c>
      <c r="H52" t="s">
        <v>79</v>
      </c>
      <c r="I52" s="48" t="s">
        <v>495</v>
      </c>
      <c r="K52" s="48" t="s">
        <v>1464</v>
      </c>
      <c r="O52" t="s">
        <v>1465</v>
      </c>
      <c r="Q52" s="3">
        <f t="shared" si="0"/>
        <v>1321.35</v>
      </c>
      <c r="S52" s="61" t="s">
        <v>44</v>
      </c>
      <c r="T52" t="s">
        <v>54</v>
      </c>
      <c r="U52" t="str">
        <f>B52</f>
        <v>AU030213</v>
      </c>
      <c r="V52" s="3">
        <f>E52</f>
        <v>1321.35</v>
      </c>
    </row>
    <row r="53" spans="1:22" ht="29" x14ac:dyDescent="0.35">
      <c r="A53" t="s">
        <v>0</v>
      </c>
      <c r="B53" t="s">
        <v>434</v>
      </c>
      <c r="C53">
        <v>5160011000</v>
      </c>
      <c r="D53" t="s">
        <v>13</v>
      </c>
      <c r="E53">
        <v>1317.22</v>
      </c>
      <c r="F53" t="s">
        <v>77</v>
      </c>
      <c r="G53" s="102">
        <v>45706</v>
      </c>
      <c r="H53" t="s">
        <v>78</v>
      </c>
      <c r="I53" s="48" t="s">
        <v>1122</v>
      </c>
      <c r="K53" s="48" t="s">
        <v>114</v>
      </c>
      <c r="L53" s="48">
        <v>2650</v>
      </c>
      <c r="M53" s="48" t="s">
        <v>115</v>
      </c>
      <c r="Q53" s="3">
        <f t="shared" si="0"/>
        <v>1317.22</v>
      </c>
    </row>
    <row r="54" spans="1:22" ht="43.5" x14ac:dyDescent="0.35">
      <c r="A54" t="s">
        <v>27</v>
      </c>
      <c r="B54" t="s">
        <v>434</v>
      </c>
      <c r="C54">
        <v>5160011000</v>
      </c>
      <c r="D54" t="s">
        <v>13</v>
      </c>
      <c r="E54">
        <v>1241.82</v>
      </c>
      <c r="F54" t="s">
        <v>77</v>
      </c>
      <c r="G54" s="102">
        <v>45744</v>
      </c>
      <c r="H54" t="s">
        <v>79</v>
      </c>
      <c r="I54" s="48" t="s">
        <v>392</v>
      </c>
      <c r="K54" s="48" t="s">
        <v>1625</v>
      </c>
      <c r="O54" t="s">
        <v>1626</v>
      </c>
      <c r="Q54" s="3">
        <f t="shared" si="0"/>
        <v>1241.82</v>
      </c>
      <c r="S54" s="61" t="s">
        <v>44</v>
      </c>
      <c r="T54" t="s">
        <v>54</v>
      </c>
      <c r="U54" t="str">
        <f>B54</f>
        <v>AU032046</v>
      </c>
      <c r="V54" s="3">
        <f>E54</f>
        <v>1241.82</v>
      </c>
    </row>
    <row r="55" spans="1:22" ht="43.5" x14ac:dyDescent="0.35">
      <c r="A55" t="s">
        <v>0</v>
      </c>
      <c r="B55" t="s">
        <v>434</v>
      </c>
      <c r="C55">
        <v>5160011000</v>
      </c>
      <c r="D55" t="s">
        <v>13</v>
      </c>
      <c r="E55">
        <v>1197.47</v>
      </c>
      <c r="F55" t="s">
        <v>77</v>
      </c>
      <c r="G55" s="102">
        <v>45740</v>
      </c>
      <c r="H55" t="s">
        <v>78</v>
      </c>
      <c r="I55" s="48" t="s">
        <v>1401</v>
      </c>
      <c r="K55" s="48" t="s">
        <v>1402</v>
      </c>
      <c r="L55" s="48">
        <v>1052656</v>
      </c>
      <c r="M55" s="48" t="s">
        <v>556</v>
      </c>
      <c r="Q55" s="3">
        <f t="shared" si="0"/>
        <v>1197.47</v>
      </c>
    </row>
    <row r="56" spans="1:22" ht="29" x14ac:dyDescent="0.35">
      <c r="A56" t="s">
        <v>27</v>
      </c>
      <c r="B56" t="s">
        <v>434</v>
      </c>
      <c r="C56">
        <v>5160011000</v>
      </c>
      <c r="D56" t="s">
        <v>13</v>
      </c>
      <c r="E56">
        <v>1102.27</v>
      </c>
      <c r="F56" t="s">
        <v>77</v>
      </c>
      <c r="G56" s="102">
        <v>45679</v>
      </c>
      <c r="H56" t="s">
        <v>79</v>
      </c>
      <c r="I56" s="48" t="s">
        <v>1471</v>
      </c>
      <c r="K56" s="48" t="s">
        <v>1472</v>
      </c>
      <c r="O56" t="s">
        <v>1473</v>
      </c>
      <c r="Q56" s="3">
        <f t="shared" si="0"/>
        <v>1102.27</v>
      </c>
      <c r="S56" s="61" t="s">
        <v>44</v>
      </c>
      <c r="T56" t="s">
        <v>54</v>
      </c>
      <c r="U56" t="str">
        <f>B56</f>
        <v>AU032046</v>
      </c>
      <c r="V56" s="3">
        <f>E56</f>
        <v>1102.27</v>
      </c>
    </row>
    <row r="57" spans="1:22" ht="58" x14ac:dyDescent="0.35">
      <c r="A57" t="s">
        <v>0</v>
      </c>
      <c r="B57" t="s">
        <v>434</v>
      </c>
      <c r="C57">
        <v>5160011000</v>
      </c>
      <c r="D57" t="s">
        <v>13</v>
      </c>
      <c r="E57">
        <v>1097.68</v>
      </c>
      <c r="F57" t="s">
        <v>77</v>
      </c>
      <c r="G57" s="102">
        <v>45734</v>
      </c>
      <c r="H57" t="s">
        <v>78</v>
      </c>
      <c r="I57" s="48" t="s">
        <v>1386</v>
      </c>
      <c r="K57" s="48" t="s">
        <v>1387</v>
      </c>
      <c r="L57" s="48" t="s">
        <v>1388</v>
      </c>
      <c r="M57" s="48" t="s">
        <v>1389</v>
      </c>
      <c r="Q57" s="3">
        <f t="shared" si="0"/>
        <v>1097.68</v>
      </c>
    </row>
    <row r="58" spans="1:22" ht="58" x14ac:dyDescent="0.35">
      <c r="A58" t="s">
        <v>27</v>
      </c>
      <c r="B58" t="s">
        <v>434</v>
      </c>
      <c r="C58">
        <v>5160011000</v>
      </c>
      <c r="D58" t="s">
        <v>13</v>
      </c>
      <c r="E58">
        <v>1097.68</v>
      </c>
      <c r="F58" t="s">
        <v>77</v>
      </c>
      <c r="G58" s="102">
        <v>45709</v>
      </c>
      <c r="H58" t="s">
        <v>78</v>
      </c>
      <c r="I58" s="48" t="s">
        <v>1514</v>
      </c>
      <c r="K58" s="48" t="s">
        <v>1515</v>
      </c>
      <c r="L58" s="48" t="s">
        <v>528</v>
      </c>
      <c r="M58" s="48" t="s">
        <v>1516</v>
      </c>
      <c r="Q58" s="3">
        <f t="shared" si="0"/>
        <v>1097.68</v>
      </c>
    </row>
    <row r="59" spans="1:22" ht="43.5" x14ac:dyDescent="0.35">
      <c r="A59" t="s">
        <v>0</v>
      </c>
      <c r="B59" t="s">
        <v>434</v>
      </c>
      <c r="C59">
        <v>5160011000</v>
      </c>
      <c r="D59" t="s">
        <v>13</v>
      </c>
      <c r="E59">
        <v>1096.58</v>
      </c>
      <c r="F59" t="s">
        <v>77</v>
      </c>
      <c r="G59" s="102">
        <v>45706</v>
      </c>
      <c r="H59" t="s">
        <v>78</v>
      </c>
      <c r="I59" s="48" t="s">
        <v>1126</v>
      </c>
      <c r="K59" s="48" t="s">
        <v>1127</v>
      </c>
      <c r="L59" s="48" t="s">
        <v>636</v>
      </c>
      <c r="M59" s="48" t="s">
        <v>1128</v>
      </c>
      <c r="Q59" s="3">
        <f t="shared" si="0"/>
        <v>1096.58</v>
      </c>
    </row>
    <row r="60" spans="1:22" ht="29" x14ac:dyDescent="0.35">
      <c r="A60" t="s">
        <v>0</v>
      </c>
      <c r="B60" t="s">
        <v>434</v>
      </c>
      <c r="C60">
        <v>5160011000</v>
      </c>
      <c r="D60" t="s">
        <v>13</v>
      </c>
      <c r="E60">
        <v>1071.3399999999999</v>
      </c>
      <c r="F60" t="s">
        <v>77</v>
      </c>
      <c r="G60" s="102">
        <v>45665</v>
      </c>
      <c r="H60" t="s">
        <v>78</v>
      </c>
      <c r="I60" s="48" t="s">
        <v>908</v>
      </c>
      <c r="K60" s="48" t="s">
        <v>909</v>
      </c>
      <c r="L60" s="48">
        <v>13259</v>
      </c>
      <c r="M60" s="48" t="s">
        <v>113</v>
      </c>
      <c r="Q60" s="3">
        <f t="shared" si="0"/>
        <v>1071.3399999999999</v>
      </c>
    </row>
    <row r="61" spans="1:22" ht="29" x14ac:dyDescent="0.35">
      <c r="A61" t="s">
        <v>27</v>
      </c>
      <c r="B61" t="s">
        <v>323</v>
      </c>
      <c r="C61">
        <v>5160011000</v>
      </c>
      <c r="D61" t="s">
        <v>13</v>
      </c>
      <c r="E61">
        <v>1061.82</v>
      </c>
      <c r="F61" t="s">
        <v>77</v>
      </c>
      <c r="G61" s="102">
        <v>45726</v>
      </c>
      <c r="H61" t="s">
        <v>79</v>
      </c>
      <c r="I61" s="48" t="s">
        <v>190</v>
      </c>
      <c r="J61" s="48" t="s">
        <v>1549</v>
      </c>
      <c r="M61" s="48" t="s">
        <v>531</v>
      </c>
      <c r="O61" t="s">
        <v>1550</v>
      </c>
      <c r="Q61" s="3">
        <f t="shared" si="0"/>
        <v>1061.82</v>
      </c>
    </row>
    <row r="62" spans="1:22" ht="29" x14ac:dyDescent="0.35">
      <c r="A62" t="s">
        <v>27</v>
      </c>
      <c r="B62" t="s">
        <v>434</v>
      </c>
      <c r="C62">
        <v>5160011000</v>
      </c>
      <c r="D62" t="s">
        <v>13</v>
      </c>
      <c r="E62">
        <v>1018.23</v>
      </c>
      <c r="F62" t="s">
        <v>77</v>
      </c>
      <c r="G62" s="102">
        <v>45679</v>
      </c>
      <c r="H62" t="s">
        <v>79</v>
      </c>
      <c r="I62" s="48" t="s">
        <v>465</v>
      </c>
      <c r="K62" s="48" t="s">
        <v>1469</v>
      </c>
      <c r="M62" s="48" t="s">
        <v>466</v>
      </c>
      <c r="O62" t="s">
        <v>1470</v>
      </c>
      <c r="Q62" s="3">
        <f t="shared" si="0"/>
        <v>1018.23</v>
      </c>
    </row>
    <row r="63" spans="1:22" ht="43.5" x14ac:dyDescent="0.35">
      <c r="A63" t="s">
        <v>0</v>
      </c>
      <c r="B63" t="s">
        <v>434</v>
      </c>
      <c r="C63">
        <v>5160011000</v>
      </c>
      <c r="D63" t="s">
        <v>13</v>
      </c>
      <c r="E63">
        <v>1002.73</v>
      </c>
      <c r="F63" t="s">
        <v>77</v>
      </c>
      <c r="G63" s="102">
        <v>45691</v>
      </c>
      <c r="H63" t="s">
        <v>78</v>
      </c>
      <c r="I63" s="48" t="s">
        <v>1030</v>
      </c>
      <c r="K63" s="48" t="s">
        <v>1031</v>
      </c>
      <c r="L63" s="48">
        <v>269</v>
      </c>
      <c r="M63" s="48" t="s">
        <v>112</v>
      </c>
      <c r="Q63" s="3">
        <f t="shared" si="0"/>
        <v>1002.73</v>
      </c>
    </row>
    <row r="64" spans="1:22" ht="29" x14ac:dyDescent="0.35">
      <c r="A64" t="s">
        <v>0</v>
      </c>
      <c r="B64" t="s">
        <v>434</v>
      </c>
      <c r="C64">
        <v>5160011000</v>
      </c>
      <c r="D64" t="s">
        <v>13</v>
      </c>
      <c r="E64">
        <v>1000</v>
      </c>
      <c r="F64" t="s">
        <v>77</v>
      </c>
      <c r="G64" s="102">
        <v>45723</v>
      </c>
      <c r="H64" t="s">
        <v>78</v>
      </c>
      <c r="I64" s="48" t="s">
        <v>1296</v>
      </c>
      <c r="K64" s="48" t="s">
        <v>1297</v>
      </c>
      <c r="L64" s="48" t="s">
        <v>1298</v>
      </c>
      <c r="M64" s="48" t="s">
        <v>527</v>
      </c>
      <c r="Q64" s="3">
        <f t="shared" si="0"/>
        <v>1000</v>
      </c>
    </row>
    <row r="65" spans="1:22" ht="43.5" x14ac:dyDescent="0.35">
      <c r="A65" t="s">
        <v>0</v>
      </c>
      <c r="B65" t="s">
        <v>434</v>
      </c>
      <c r="C65">
        <v>5160011000</v>
      </c>
      <c r="D65" t="s">
        <v>13</v>
      </c>
      <c r="E65">
        <v>997.89</v>
      </c>
      <c r="F65" t="s">
        <v>77</v>
      </c>
      <c r="G65" s="102">
        <v>45691</v>
      </c>
      <c r="H65" t="s">
        <v>78</v>
      </c>
      <c r="I65" s="48" t="s">
        <v>1019</v>
      </c>
      <c r="K65" s="48" t="s">
        <v>1020</v>
      </c>
      <c r="L65" s="48">
        <v>1327563</v>
      </c>
      <c r="M65" s="48" t="s">
        <v>1021</v>
      </c>
      <c r="Q65" s="3">
        <f t="shared" si="0"/>
        <v>997.89</v>
      </c>
    </row>
    <row r="66" spans="1:22" ht="58" x14ac:dyDescent="0.35">
      <c r="A66" t="s">
        <v>0</v>
      </c>
      <c r="B66" t="s">
        <v>434</v>
      </c>
      <c r="C66">
        <v>5160011000</v>
      </c>
      <c r="D66" t="s">
        <v>13</v>
      </c>
      <c r="E66">
        <v>995</v>
      </c>
      <c r="F66" t="s">
        <v>77</v>
      </c>
      <c r="G66" s="102">
        <v>45705</v>
      </c>
      <c r="H66" t="s">
        <v>78</v>
      </c>
      <c r="I66" s="48" t="s">
        <v>1096</v>
      </c>
      <c r="K66" s="48" t="s">
        <v>1097</v>
      </c>
      <c r="L66" s="48">
        <v>19468</v>
      </c>
      <c r="M66" s="48" t="s">
        <v>1098</v>
      </c>
      <c r="Q66" s="3">
        <f t="shared" si="0"/>
        <v>995</v>
      </c>
    </row>
    <row r="67" spans="1:22" ht="29" x14ac:dyDescent="0.35">
      <c r="A67" t="s">
        <v>0</v>
      </c>
      <c r="B67" t="s">
        <v>434</v>
      </c>
      <c r="C67">
        <v>5160011000</v>
      </c>
      <c r="D67" t="s">
        <v>13</v>
      </c>
      <c r="E67">
        <v>990</v>
      </c>
      <c r="F67" t="s">
        <v>77</v>
      </c>
      <c r="G67" s="102">
        <v>45706</v>
      </c>
      <c r="H67" t="s">
        <v>78</v>
      </c>
      <c r="I67" s="48" t="s">
        <v>1129</v>
      </c>
      <c r="K67" s="48" t="s">
        <v>1130</v>
      </c>
      <c r="L67" s="48" t="s">
        <v>1131</v>
      </c>
      <c r="M67" s="48" t="s">
        <v>1132</v>
      </c>
      <c r="Q67" s="3">
        <f t="shared" si="0"/>
        <v>990</v>
      </c>
    </row>
    <row r="68" spans="1:22" ht="43.5" x14ac:dyDescent="0.35">
      <c r="A68" t="s">
        <v>0</v>
      </c>
      <c r="B68" t="s">
        <v>434</v>
      </c>
      <c r="C68">
        <v>5160011000</v>
      </c>
      <c r="D68" t="s">
        <v>13</v>
      </c>
      <c r="E68">
        <v>987.91</v>
      </c>
      <c r="F68" t="s">
        <v>77</v>
      </c>
      <c r="G68" s="102">
        <v>45674</v>
      </c>
      <c r="H68" t="s">
        <v>78</v>
      </c>
      <c r="I68" s="48" t="s">
        <v>941</v>
      </c>
      <c r="K68" s="48" t="s">
        <v>942</v>
      </c>
      <c r="L68" s="48">
        <v>250006</v>
      </c>
      <c r="M68" s="48" t="s">
        <v>943</v>
      </c>
      <c r="Q68" s="3">
        <f t="shared" si="0"/>
        <v>987.91</v>
      </c>
    </row>
    <row r="69" spans="1:22" ht="43.5" x14ac:dyDescent="0.35">
      <c r="A69" t="s">
        <v>0</v>
      </c>
      <c r="B69" t="s">
        <v>434</v>
      </c>
      <c r="C69">
        <v>5160011000</v>
      </c>
      <c r="D69" t="s">
        <v>13</v>
      </c>
      <c r="E69">
        <v>987.91</v>
      </c>
      <c r="F69" t="s">
        <v>77</v>
      </c>
      <c r="G69" s="102">
        <v>45701</v>
      </c>
      <c r="H69" t="s">
        <v>78</v>
      </c>
      <c r="I69" s="48" t="s">
        <v>1081</v>
      </c>
      <c r="K69" s="48" t="s">
        <v>1082</v>
      </c>
      <c r="L69" s="186">
        <v>77433</v>
      </c>
      <c r="M69" s="48" t="s">
        <v>1083</v>
      </c>
      <c r="Q69" s="3">
        <f t="shared" si="0"/>
        <v>987.91</v>
      </c>
    </row>
    <row r="70" spans="1:22" ht="43.5" x14ac:dyDescent="0.35">
      <c r="A70" t="s">
        <v>27</v>
      </c>
      <c r="B70" t="s">
        <v>434</v>
      </c>
      <c r="C70">
        <v>5160011000</v>
      </c>
      <c r="D70" t="s">
        <v>13</v>
      </c>
      <c r="E70">
        <v>987.91</v>
      </c>
      <c r="F70" t="s">
        <v>77</v>
      </c>
      <c r="G70" s="102">
        <v>45691</v>
      </c>
      <c r="H70" t="s">
        <v>78</v>
      </c>
      <c r="I70" s="48" t="s">
        <v>1477</v>
      </c>
      <c r="K70" s="48" t="s">
        <v>1478</v>
      </c>
      <c r="L70" s="48" t="s">
        <v>1479</v>
      </c>
      <c r="M70" s="48" t="s">
        <v>88</v>
      </c>
      <c r="Q70" s="3">
        <f t="shared" si="0"/>
        <v>987.91</v>
      </c>
    </row>
    <row r="71" spans="1:22" ht="43.5" x14ac:dyDescent="0.35">
      <c r="A71" t="s">
        <v>27</v>
      </c>
      <c r="B71" t="s">
        <v>434</v>
      </c>
      <c r="C71">
        <v>5160011000</v>
      </c>
      <c r="D71" t="s">
        <v>13</v>
      </c>
      <c r="E71">
        <v>987.91</v>
      </c>
      <c r="F71" t="s">
        <v>77</v>
      </c>
      <c r="G71" s="102">
        <v>45691</v>
      </c>
      <c r="H71" t="s">
        <v>78</v>
      </c>
      <c r="I71" s="48" t="s">
        <v>1480</v>
      </c>
      <c r="K71" s="48" t="s">
        <v>1481</v>
      </c>
      <c r="L71" s="48" t="s">
        <v>1482</v>
      </c>
      <c r="M71" s="48" t="s">
        <v>88</v>
      </c>
      <c r="Q71" s="3">
        <f t="shared" si="0"/>
        <v>987.91</v>
      </c>
    </row>
    <row r="72" spans="1:22" ht="43.5" x14ac:dyDescent="0.35">
      <c r="A72" t="s">
        <v>27</v>
      </c>
      <c r="B72" t="s">
        <v>339</v>
      </c>
      <c r="C72">
        <v>5160011000</v>
      </c>
      <c r="D72" t="s">
        <v>13</v>
      </c>
      <c r="E72">
        <v>957.99</v>
      </c>
      <c r="F72" t="s">
        <v>77</v>
      </c>
      <c r="G72" s="102">
        <v>45744</v>
      </c>
      <c r="H72" t="s">
        <v>79</v>
      </c>
      <c r="I72" s="48" t="s">
        <v>495</v>
      </c>
      <c r="J72" s="48" t="s">
        <v>1633</v>
      </c>
      <c r="M72" t="s">
        <v>1465</v>
      </c>
      <c r="Q72" s="3">
        <f t="shared" ref="Q72:Q135" si="1">ABS(E72)</f>
        <v>957.99</v>
      </c>
      <c r="S72" s="61" t="s">
        <v>44</v>
      </c>
      <c r="T72" t="s">
        <v>54</v>
      </c>
      <c r="U72" t="str">
        <f t="shared" ref="U72:U75" si="2">B72</f>
        <v>AU030213</v>
      </c>
      <c r="V72" s="3">
        <f t="shared" ref="V72:V75" si="3">E72</f>
        <v>957.99</v>
      </c>
    </row>
    <row r="73" spans="1:22" ht="43.5" x14ac:dyDescent="0.35">
      <c r="A73" t="s">
        <v>27</v>
      </c>
      <c r="B73" t="s">
        <v>434</v>
      </c>
      <c r="C73">
        <v>5160011000</v>
      </c>
      <c r="D73" t="s">
        <v>13</v>
      </c>
      <c r="E73">
        <v>921.45</v>
      </c>
      <c r="F73" t="s">
        <v>77</v>
      </c>
      <c r="G73" s="102">
        <v>45733</v>
      </c>
      <c r="H73" t="s">
        <v>79</v>
      </c>
      <c r="I73" s="48" t="s">
        <v>1573</v>
      </c>
      <c r="J73" s="48" t="s">
        <v>1574</v>
      </c>
      <c r="M73" t="s">
        <v>1576</v>
      </c>
      <c r="Q73" s="3">
        <f t="shared" si="1"/>
        <v>921.45</v>
      </c>
      <c r="S73" s="61" t="s">
        <v>44</v>
      </c>
      <c r="T73" t="s">
        <v>54</v>
      </c>
      <c r="U73" t="str">
        <f t="shared" si="2"/>
        <v>AU032046</v>
      </c>
      <c r="V73" s="3">
        <f t="shared" si="3"/>
        <v>921.45</v>
      </c>
    </row>
    <row r="74" spans="1:22" ht="58" x14ac:dyDescent="0.35">
      <c r="A74" t="s">
        <v>27</v>
      </c>
      <c r="B74" t="s">
        <v>382</v>
      </c>
      <c r="C74">
        <v>5160011000</v>
      </c>
      <c r="D74" t="s">
        <v>13</v>
      </c>
      <c r="E74">
        <v>921.18</v>
      </c>
      <c r="F74" t="s">
        <v>77</v>
      </c>
      <c r="G74" s="102">
        <v>45726</v>
      </c>
      <c r="H74" t="s">
        <v>79</v>
      </c>
      <c r="I74" s="48" t="s">
        <v>1553</v>
      </c>
      <c r="J74" s="48" t="s">
        <v>1554</v>
      </c>
      <c r="M74" t="s">
        <v>1555</v>
      </c>
      <c r="Q74" s="3">
        <f t="shared" si="1"/>
        <v>921.18</v>
      </c>
      <c r="S74" s="61" t="s">
        <v>44</v>
      </c>
      <c r="T74" t="s">
        <v>54</v>
      </c>
      <c r="U74" t="str">
        <f t="shared" si="2"/>
        <v>AU030214</v>
      </c>
      <c r="V74" s="3">
        <f t="shared" si="3"/>
        <v>921.18</v>
      </c>
    </row>
    <row r="75" spans="1:22" ht="43.5" x14ac:dyDescent="0.35">
      <c r="A75" t="s">
        <v>27</v>
      </c>
      <c r="B75" t="s">
        <v>339</v>
      </c>
      <c r="C75">
        <v>5160011000</v>
      </c>
      <c r="D75" t="s">
        <v>13</v>
      </c>
      <c r="E75">
        <v>916.7</v>
      </c>
      <c r="F75" t="s">
        <v>77</v>
      </c>
      <c r="G75" s="102">
        <v>45678</v>
      </c>
      <c r="H75" t="s">
        <v>79</v>
      </c>
      <c r="I75" s="48" t="s">
        <v>495</v>
      </c>
      <c r="J75" s="48" t="s">
        <v>1466</v>
      </c>
      <c r="O75" t="s">
        <v>1430</v>
      </c>
      <c r="Q75" s="3">
        <f t="shared" si="1"/>
        <v>916.7</v>
      </c>
      <c r="S75" s="61" t="s">
        <v>44</v>
      </c>
      <c r="T75" t="s">
        <v>54</v>
      </c>
      <c r="U75" t="str">
        <f t="shared" si="2"/>
        <v>AU030213</v>
      </c>
      <c r="V75" s="3">
        <f t="shared" si="3"/>
        <v>916.7</v>
      </c>
    </row>
    <row r="76" spans="1:22" ht="29" x14ac:dyDescent="0.35">
      <c r="A76" t="s">
        <v>0</v>
      </c>
      <c r="B76" t="s">
        <v>434</v>
      </c>
      <c r="C76">
        <v>5160011000</v>
      </c>
      <c r="D76" t="s">
        <v>13</v>
      </c>
      <c r="E76">
        <v>900</v>
      </c>
      <c r="F76" t="s">
        <v>77</v>
      </c>
      <c r="G76" s="102">
        <v>45691</v>
      </c>
      <c r="H76" t="s">
        <v>78</v>
      </c>
      <c r="I76" s="48" t="s">
        <v>1032</v>
      </c>
      <c r="K76" s="48" t="s">
        <v>1033</v>
      </c>
      <c r="L76" s="48">
        <v>5025</v>
      </c>
      <c r="M76" s="48" t="s">
        <v>1034</v>
      </c>
      <c r="Q76" s="3">
        <f t="shared" si="1"/>
        <v>900</v>
      </c>
    </row>
    <row r="77" spans="1:22" ht="43.5" x14ac:dyDescent="0.35">
      <c r="A77" t="s">
        <v>0</v>
      </c>
      <c r="B77" t="s">
        <v>530</v>
      </c>
      <c r="C77">
        <v>5160011000</v>
      </c>
      <c r="D77" t="s">
        <v>13</v>
      </c>
      <c r="E77">
        <v>900</v>
      </c>
      <c r="F77" t="s">
        <v>77</v>
      </c>
      <c r="G77" s="102">
        <v>45708</v>
      </c>
      <c r="H77" t="s">
        <v>78</v>
      </c>
      <c r="I77" s="48" t="s">
        <v>1176</v>
      </c>
      <c r="K77" s="48" t="s">
        <v>1177</v>
      </c>
      <c r="L77" s="48" t="s">
        <v>1178</v>
      </c>
      <c r="M77" s="48" t="s">
        <v>1179</v>
      </c>
      <c r="Q77" s="3">
        <f t="shared" si="1"/>
        <v>900</v>
      </c>
    </row>
    <row r="78" spans="1:22" ht="29" x14ac:dyDescent="0.35">
      <c r="A78" t="s">
        <v>0</v>
      </c>
      <c r="B78" t="s">
        <v>434</v>
      </c>
      <c r="C78">
        <v>5160011000</v>
      </c>
      <c r="D78" t="s">
        <v>13</v>
      </c>
      <c r="E78">
        <v>828.75</v>
      </c>
      <c r="F78" t="s">
        <v>77</v>
      </c>
      <c r="G78" s="102">
        <v>45706</v>
      </c>
      <c r="H78" t="s">
        <v>78</v>
      </c>
      <c r="I78" s="48" t="s">
        <v>1150</v>
      </c>
      <c r="K78" s="48" t="s">
        <v>1151</v>
      </c>
      <c r="L78" s="48" t="s">
        <v>1152</v>
      </c>
      <c r="M78" s="48" t="s">
        <v>116</v>
      </c>
      <c r="Q78" s="3">
        <f t="shared" si="1"/>
        <v>828.75</v>
      </c>
    </row>
    <row r="79" spans="1:22" ht="29" x14ac:dyDescent="0.35">
      <c r="A79" t="s">
        <v>0</v>
      </c>
      <c r="B79" t="s">
        <v>434</v>
      </c>
      <c r="C79">
        <v>5160011000</v>
      </c>
      <c r="D79" t="s">
        <v>13</v>
      </c>
      <c r="E79">
        <v>828.75</v>
      </c>
      <c r="F79" t="s">
        <v>77</v>
      </c>
      <c r="G79" s="102">
        <v>45706</v>
      </c>
      <c r="H79" t="s">
        <v>78</v>
      </c>
      <c r="I79" s="48" t="s">
        <v>1150</v>
      </c>
      <c r="K79" s="48" t="s">
        <v>1153</v>
      </c>
      <c r="L79" s="48" t="s">
        <v>1152</v>
      </c>
      <c r="M79" s="48" t="s">
        <v>116</v>
      </c>
      <c r="Q79" s="3">
        <f t="shared" si="1"/>
        <v>828.75</v>
      </c>
    </row>
    <row r="80" spans="1:22" ht="43.5" x14ac:dyDescent="0.35">
      <c r="A80" t="s">
        <v>0</v>
      </c>
      <c r="B80" t="s">
        <v>434</v>
      </c>
      <c r="C80">
        <v>5160011000</v>
      </c>
      <c r="D80" t="s">
        <v>13</v>
      </c>
      <c r="E80">
        <v>823.26</v>
      </c>
      <c r="F80" t="s">
        <v>77</v>
      </c>
      <c r="G80" s="102">
        <v>45699</v>
      </c>
      <c r="H80" t="s">
        <v>78</v>
      </c>
      <c r="I80" s="48" t="s">
        <v>1068</v>
      </c>
      <c r="K80" s="48" t="s">
        <v>1069</v>
      </c>
      <c r="L80" s="48" t="s">
        <v>1070</v>
      </c>
      <c r="M80" s="48" t="s">
        <v>1071</v>
      </c>
      <c r="Q80" s="3">
        <f t="shared" si="1"/>
        <v>823.26</v>
      </c>
    </row>
    <row r="81" spans="1:22" ht="29" x14ac:dyDescent="0.35">
      <c r="A81" t="s">
        <v>0</v>
      </c>
      <c r="B81" t="s">
        <v>434</v>
      </c>
      <c r="C81">
        <v>5160011000</v>
      </c>
      <c r="D81" t="s">
        <v>13</v>
      </c>
      <c r="E81">
        <v>800</v>
      </c>
      <c r="F81" t="s">
        <v>77</v>
      </c>
      <c r="G81" s="102">
        <v>45723</v>
      </c>
      <c r="H81" t="s">
        <v>78</v>
      </c>
      <c r="I81" s="48" t="s">
        <v>1280</v>
      </c>
      <c r="K81" s="48" t="s">
        <v>1273</v>
      </c>
      <c r="L81" s="48" t="s">
        <v>1281</v>
      </c>
      <c r="M81" s="48" t="s">
        <v>1282</v>
      </c>
      <c r="Q81" s="3">
        <f t="shared" si="1"/>
        <v>800</v>
      </c>
    </row>
    <row r="82" spans="1:22" ht="43.5" x14ac:dyDescent="0.35">
      <c r="A82" t="s">
        <v>0</v>
      </c>
      <c r="B82" t="s">
        <v>434</v>
      </c>
      <c r="C82">
        <v>5160011000</v>
      </c>
      <c r="D82" t="s">
        <v>13</v>
      </c>
      <c r="E82">
        <v>750</v>
      </c>
      <c r="F82" t="s">
        <v>77</v>
      </c>
      <c r="G82" s="102">
        <v>45691</v>
      </c>
      <c r="H82" t="s">
        <v>78</v>
      </c>
      <c r="I82" s="48" t="s">
        <v>1022</v>
      </c>
      <c r="K82" s="48" t="s">
        <v>1023</v>
      </c>
      <c r="L82" s="48">
        <v>198</v>
      </c>
      <c r="M82" s="48" t="s">
        <v>1024</v>
      </c>
      <c r="Q82" s="3">
        <f t="shared" si="1"/>
        <v>750</v>
      </c>
    </row>
    <row r="83" spans="1:22" ht="29" x14ac:dyDescent="0.35">
      <c r="A83" t="s">
        <v>0</v>
      </c>
      <c r="B83" t="s">
        <v>434</v>
      </c>
      <c r="C83">
        <v>5160011000</v>
      </c>
      <c r="D83" t="s">
        <v>13</v>
      </c>
      <c r="E83">
        <v>684.95</v>
      </c>
      <c r="F83" t="s">
        <v>77</v>
      </c>
      <c r="G83" s="102">
        <v>45723</v>
      </c>
      <c r="H83" t="s">
        <v>78</v>
      </c>
      <c r="I83" s="48" t="s">
        <v>1277</v>
      </c>
      <c r="K83" s="48" t="s">
        <v>1278</v>
      </c>
      <c r="L83" s="48">
        <v>33862</v>
      </c>
      <c r="M83" s="48" t="s">
        <v>494</v>
      </c>
      <c r="Q83" s="3">
        <f t="shared" si="1"/>
        <v>684.95</v>
      </c>
    </row>
    <row r="84" spans="1:22" ht="29" x14ac:dyDescent="0.35">
      <c r="A84" t="s">
        <v>0</v>
      </c>
      <c r="B84" t="s">
        <v>434</v>
      </c>
      <c r="C84">
        <v>5160011000</v>
      </c>
      <c r="D84" t="s">
        <v>13</v>
      </c>
      <c r="E84">
        <v>670.68</v>
      </c>
      <c r="F84" t="s">
        <v>77</v>
      </c>
      <c r="G84" s="102">
        <v>45705</v>
      </c>
      <c r="H84" t="s">
        <v>78</v>
      </c>
      <c r="I84" s="48" t="s">
        <v>1099</v>
      </c>
      <c r="K84" s="48" t="s">
        <v>1100</v>
      </c>
      <c r="L84" s="48">
        <v>66992</v>
      </c>
      <c r="M84" s="48" t="s">
        <v>110</v>
      </c>
      <c r="Q84" s="3">
        <f t="shared" si="1"/>
        <v>670.68</v>
      </c>
    </row>
    <row r="85" spans="1:22" ht="29" x14ac:dyDescent="0.35">
      <c r="A85" t="s">
        <v>0</v>
      </c>
      <c r="B85" t="s">
        <v>434</v>
      </c>
      <c r="C85">
        <v>5160011000</v>
      </c>
      <c r="D85" t="s">
        <v>13</v>
      </c>
      <c r="E85">
        <v>647.63</v>
      </c>
      <c r="F85" t="s">
        <v>77</v>
      </c>
      <c r="G85" s="102">
        <v>45722</v>
      </c>
      <c r="H85" t="s">
        <v>78</v>
      </c>
      <c r="I85" s="48" t="s">
        <v>1260</v>
      </c>
      <c r="K85" s="48" t="s">
        <v>1261</v>
      </c>
      <c r="L85" s="48" t="s">
        <v>1262</v>
      </c>
      <c r="M85" s="48" t="s">
        <v>1263</v>
      </c>
      <c r="Q85" s="3">
        <f t="shared" si="1"/>
        <v>647.63</v>
      </c>
    </row>
    <row r="86" spans="1:22" ht="72.5" x14ac:dyDescent="0.35">
      <c r="A86" t="s">
        <v>27</v>
      </c>
      <c r="B86" t="s">
        <v>607</v>
      </c>
      <c r="C86">
        <v>5160011000</v>
      </c>
      <c r="D86" t="s">
        <v>13</v>
      </c>
      <c r="E86">
        <v>611.20000000000005</v>
      </c>
      <c r="F86" t="s">
        <v>77</v>
      </c>
      <c r="G86" s="102">
        <v>45670</v>
      </c>
      <c r="H86" t="s">
        <v>79</v>
      </c>
      <c r="I86" s="48" t="s">
        <v>1425</v>
      </c>
      <c r="J86" s="48" t="s">
        <v>1426</v>
      </c>
      <c r="O86" t="s">
        <v>1427</v>
      </c>
      <c r="Q86" s="3">
        <f t="shared" si="1"/>
        <v>611.20000000000005</v>
      </c>
      <c r="S86" s="61" t="s">
        <v>44</v>
      </c>
      <c r="T86" t="s">
        <v>54</v>
      </c>
      <c r="U86" t="str">
        <f>B86</f>
        <v>AU030431</v>
      </c>
      <c r="V86" s="3">
        <f>E86</f>
        <v>611.20000000000005</v>
      </c>
    </row>
    <row r="87" spans="1:22" ht="43.5" x14ac:dyDescent="0.35">
      <c r="A87" t="s">
        <v>27</v>
      </c>
      <c r="B87" t="s">
        <v>434</v>
      </c>
      <c r="C87">
        <v>5160011000</v>
      </c>
      <c r="D87" t="s">
        <v>13</v>
      </c>
      <c r="E87">
        <v>593.45000000000005</v>
      </c>
      <c r="F87" t="s">
        <v>77</v>
      </c>
      <c r="G87" s="102">
        <v>45734</v>
      </c>
      <c r="H87" t="s">
        <v>79</v>
      </c>
      <c r="I87" s="48" t="s">
        <v>129</v>
      </c>
      <c r="J87" s="48" t="s">
        <v>1591</v>
      </c>
      <c r="O87" t="s">
        <v>573</v>
      </c>
      <c r="Q87" s="3">
        <f t="shared" si="1"/>
        <v>593.45000000000005</v>
      </c>
      <c r="S87" s="61" t="s">
        <v>44</v>
      </c>
      <c r="T87" t="s">
        <v>54</v>
      </c>
      <c r="U87" t="str">
        <f>B87</f>
        <v>AU032046</v>
      </c>
      <c r="V87" s="3">
        <f>E87</f>
        <v>593.45000000000005</v>
      </c>
    </row>
    <row r="88" spans="1:22" ht="29" x14ac:dyDescent="0.35">
      <c r="A88" t="s">
        <v>27</v>
      </c>
      <c r="B88" t="s">
        <v>434</v>
      </c>
      <c r="C88">
        <v>5160011000</v>
      </c>
      <c r="D88" t="s">
        <v>13</v>
      </c>
      <c r="E88">
        <v>589.4</v>
      </c>
      <c r="F88" t="s">
        <v>77</v>
      </c>
      <c r="G88" s="102">
        <v>45678</v>
      </c>
      <c r="H88" t="s">
        <v>79</v>
      </c>
      <c r="I88" s="48" t="s">
        <v>1448</v>
      </c>
      <c r="J88" s="48" t="s">
        <v>1449</v>
      </c>
      <c r="O88" t="s">
        <v>1450</v>
      </c>
      <c r="Q88" s="3">
        <f t="shared" si="1"/>
        <v>589.4</v>
      </c>
    </row>
    <row r="89" spans="1:22" ht="43.5" x14ac:dyDescent="0.35">
      <c r="A89" t="s">
        <v>0</v>
      </c>
      <c r="B89" t="s">
        <v>434</v>
      </c>
      <c r="C89">
        <v>5160011000</v>
      </c>
      <c r="D89" t="s">
        <v>13</v>
      </c>
      <c r="E89">
        <v>588.36</v>
      </c>
      <c r="F89" t="s">
        <v>77</v>
      </c>
      <c r="G89" s="102">
        <v>45732</v>
      </c>
      <c r="H89" t="s">
        <v>78</v>
      </c>
      <c r="I89" s="48" t="s">
        <v>1362</v>
      </c>
      <c r="K89" s="48" t="s">
        <v>1363</v>
      </c>
      <c r="L89" s="48" t="s">
        <v>1364</v>
      </c>
      <c r="M89" s="48" t="s">
        <v>1365</v>
      </c>
      <c r="Q89" s="3">
        <f t="shared" si="1"/>
        <v>588.36</v>
      </c>
    </row>
    <row r="90" spans="1:22" ht="29" x14ac:dyDescent="0.35">
      <c r="A90" t="s">
        <v>0</v>
      </c>
      <c r="B90" t="s">
        <v>434</v>
      </c>
      <c r="C90">
        <v>5160011000</v>
      </c>
      <c r="D90" t="s">
        <v>13</v>
      </c>
      <c r="E90">
        <v>548.84</v>
      </c>
      <c r="F90" t="s">
        <v>77</v>
      </c>
      <c r="G90" s="102">
        <v>45674</v>
      </c>
      <c r="H90" t="s">
        <v>78</v>
      </c>
      <c r="I90" s="48" t="s">
        <v>944</v>
      </c>
      <c r="K90" s="48" t="s">
        <v>945</v>
      </c>
      <c r="L90" s="48" t="s">
        <v>946</v>
      </c>
      <c r="M90" s="48" t="s">
        <v>947</v>
      </c>
      <c r="Q90" s="3">
        <f t="shared" si="1"/>
        <v>548.84</v>
      </c>
    </row>
    <row r="91" spans="1:22" ht="43.5" x14ac:dyDescent="0.35">
      <c r="A91" t="s">
        <v>0</v>
      </c>
      <c r="B91" t="s">
        <v>434</v>
      </c>
      <c r="C91">
        <v>5160011000</v>
      </c>
      <c r="D91" t="s">
        <v>13</v>
      </c>
      <c r="E91">
        <v>548.84</v>
      </c>
      <c r="F91" t="s">
        <v>77</v>
      </c>
      <c r="G91" s="102">
        <v>45730</v>
      </c>
      <c r="H91" t="s">
        <v>78</v>
      </c>
      <c r="I91" s="48" t="s">
        <v>1340</v>
      </c>
      <c r="K91" s="48" t="s">
        <v>1341</v>
      </c>
      <c r="L91" s="48" t="s">
        <v>1342</v>
      </c>
      <c r="M91" s="48" t="s">
        <v>1343</v>
      </c>
      <c r="Q91" s="3">
        <f t="shared" si="1"/>
        <v>548.84</v>
      </c>
    </row>
    <row r="92" spans="1:22" ht="43.5" x14ac:dyDescent="0.35">
      <c r="A92" t="s">
        <v>0</v>
      </c>
      <c r="B92" t="s">
        <v>434</v>
      </c>
      <c r="C92">
        <v>5160011000</v>
      </c>
      <c r="D92" t="s">
        <v>13</v>
      </c>
      <c r="E92">
        <v>548.84</v>
      </c>
      <c r="F92" t="s">
        <v>77</v>
      </c>
      <c r="G92" s="102">
        <v>45734</v>
      </c>
      <c r="H92" t="s">
        <v>78</v>
      </c>
      <c r="I92" s="48" t="s">
        <v>1383</v>
      </c>
      <c r="K92" s="48" t="s">
        <v>1384</v>
      </c>
      <c r="L92" s="48">
        <v>3617</v>
      </c>
      <c r="M92" s="48" t="s">
        <v>1385</v>
      </c>
      <c r="Q92" s="3">
        <f t="shared" si="1"/>
        <v>548.84</v>
      </c>
    </row>
    <row r="93" spans="1:22" ht="43.5" x14ac:dyDescent="0.35">
      <c r="A93" t="s">
        <v>0</v>
      </c>
      <c r="B93" t="s">
        <v>434</v>
      </c>
      <c r="C93">
        <v>5160011000</v>
      </c>
      <c r="D93" t="s">
        <v>13</v>
      </c>
      <c r="E93">
        <v>500</v>
      </c>
      <c r="F93" t="s">
        <v>77</v>
      </c>
      <c r="G93" s="102">
        <v>45691</v>
      </c>
      <c r="H93" t="s">
        <v>78</v>
      </c>
      <c r="I93" s="48" t="s">
        <v>1027</v>
      </c>
      <c r="K93" s="48" t="s">
        <v>1028</v>
      </c>
      <c r="L93" s="48">
        <v>2522</v>
      </c>
      <c r="M93" s="48" t="s">
        <v>1029</v>
      </c>
      <c r="Q93" s="3">
        <f t="shared" si="1"/>
        <v>500</v>
      </c>
    </row>
    <row r="94" spans="1:22" ht="29" x14ac:dyDescent="0.35">
      <c r="A94" t="s">
        <v>0</v>
      </c>
      <c r="B94" t="s">
        <v>339</v>
      </c>
      <c r="C94">
        <v>5160011000</v>
      </c>
      <c r="D94" t="s">
        <v>13</v>
      </c>
      <c r="E94">
        <v>500</v>
      </c>
      <c r="F94" t="s">
        <v>77</v>
      </c>
      <c r="G94" s="102">
        <v>45698</v>
      </c>
      <c r="H94" t="s">
        <v>78</v>
      </c>
      <c r="I94" s="48" t="s">
        <v>1048</v>
      </c>
      <c r="K94" s="48" t="s">
        <v>1049</v>
      </c>
      <c r="L94" s="48" t="s">
        <v>1050</v>
      </c>
      <c r="M94" s="48" t="s">
        <v>1051</v>
      </c>
      <c r="Q94" s="3">
        <f t="shared" si="1"/>
        <v>500</v>
      </c>
    </row>
    <row r="95" spans="1:22" ht="29" x14ac:dyDescent="0.35">
      <c r="A95" t="s">
        <v>0</v>
      </c>
      <c r="B95" t="s">
        <v>434</v>
      </c>
      <c r="C95">
        <v>5160011000</v>
      </c>
      <c r="D95" t="s">
        <v>13</v>
      </c>
      <c r="E95">
        <v>500</v>
      </c>
      <c r="F95" t="s">
        <v>77</v>
      </c>
      <c r="G95" s="102">
        <v>45699</v>
      </c>
      <c r="H95" t="s">
        <v>78</v>
      </c>
      <c r="I95" s="48" t="s">
        <v>1065</v>
      </c>
      <c r="K95" s="48" t="s">
        <v>1066</v>
      </c>
      <c r="L95" s="48">
        <v>125</v>
      </c>
      <c r="M95" s="48" t="s">
        <v>1067</v>
      </c>
      <c r="Q95" s="3">
        <f t="shared" si="1"/>
        <v>500</v>
      </c>
    </row>
    <row r="96" spans="1:22" ht="43.5" x14ac:dyDescent="0.35">
      <c r="A96" t="s">
        <v>0</v>
      </c>
      <c r="B96" t="s">
        <v>434</v>
      </c>
      <c r="C96">
        <v>5160011000</v>
      </c>
      <c r="D96" t="s">
        <v>13</v>
      </c>
      <c r="E96">
        <v>500</v>
      </c>
      <c r="F96" t="s">
        <v>77</v>
      </c>
      <c r="G96" s="102">
        <v>45699</v>
      </c>
      <c r="H96" t="s">
        <v>78</v>
      </c>
      <c r="I96" s="48" t="s">
        <v>1072</v>
      </c>
      <c r="K96" s="48" t="s">
        <v>1073</v>
      </c>
      <c r="L96" s="48" t="s">
        <v>1074</v>
      </c>
      <c r="M96" s="48" t="s">
        <v>1075</v>
      </c>
      <c r="Q96" s="3">
        <f t="shared" si="1"/>
        <v>500</v>
      </c>
    </row>
    <row r="97" spans="1:17" ht="29" x14ac:dyDescent="0.35">
      <c r="A97" t="s">
        <v>0</v>
      </c>
      <c r="B97" t="s">
        <v>434</v>
      </c>
      <c r="C97">
        <v>5160011000</v>
      </c>
      <c r="D97" t="s">
        <v>13</v>
      </c>
      <c r="E97">
        <v>500</v>
      </c>
      <c r="F97" t="s">
        <v>77</v>
      </c>
      <c r="G97" s="102">
        <v>45701</v>
      </c>
      <c r="H97" t="s">
        <v>78</v>
      </c>
      <c r="I97" s="48" t="s">
        <v>1078</v>
      </c>
      <c r="K97" s="48" t="s">
        <v>1079</v>
      </c>
      <c r="L97" s="48">
        <v>661</v>
      </c>
      <c r="M97" s="48" t="s">
        <v>1080</v>
      </c>
      <c r="Q97" s="3">
        <f t="shared" si="1"/>
        <v>500</v>
      </c>
    </row>
    <row r="98" spans="1:17" ht="29" x14ac:dyDescent="0.35">
      <c r="A98" t="s">
        <v>0</v>
      </c>
      <c r="B98" t="s">
        <v>434</v>
      </c>
      <c r="C98">
        <v>5160011000</v>
      </c>
      <c r="D98" t="s">
        <v>13</v>
      </c>
      <c r="E98">
        <v>500</v>
      </c>
      <c r="F98" t="s">
        <v>77</v>
      </c>
      <c r="G98" s="102">
        <v>45723</v>
      </c>
      <c r="H98" t="s">
        <v>78</v>
      </c>
      <c r="I98" s="48" t="s">
        <v>1272</v>
      </c>
      <c r="K98" s="48" t="s">
        <v>1273</v>
      </c>
      <c r="L98" s="48">
        <v>245</v>
      </c>
      <c r="M98" s="48" t="s">
        <v>1274</v>
      </c>
      <c r="Q98" s="3">
        <f t="shared" si="1"/>
        <v>500</v>
      </c>
    </row>
    <row r="99" spans="1:17" ht="43.5" x14ac:dyDescent="0.35">
      <c r="A99" t="s">
        <v>0</v>
      </c>
      <c r="B99" t="s">
        <v>434</v>
      </c>
      <c r="C99">
        <v>5160011000</v>
      </c>
      <c r="D99" t="s">
        <v>13</v>
      </c>
      <c r="E99">
        <v>500</v>
      </c>
      <c r="F99" t="s">
        <v>77</v>
      </c>
      <c r="G99" s="102">
        <v>45723</v>
      </c>
      <c r="H99" t="s">
        <v>78</v>
      </c>
      <c r="I99" s="48" t="s">
        <v>1275</v>
      </c>
      <c r="K99" s="48" t="s">
        <v>1276</v>
      </c>
      <c r="L99" s="48">
        <v>25026</v>
      </c>
      <c r="M99" s="48" t="s">
        <v>520</v>
      </c>
      <c r="Q99" s="3">
        <f t="shared" si="1"/>
        <v>500</v>
      </c>
    </row>
    <row r="100" spans="1:17" ht="29" x14ac:dyDescent="0.35">
      <c r="A100" t="s">
        <v>0</v>
      </c>
      <c r="B100" t="s">
        <v>434</v>
      </c>
      <c r="C100">
        <v>5160011000</v>
      </c>
      <c r="D100" t="s">
        <v>13</v>
      </c>
      <c r="E100">
        <v>500</v>
      </c>
      <c r="F100" t="s">
        <v>77</v>
      </c>
      <c r="G100" s="102">
        <v>45723</v>
      </c>
      <c r="H100" t="s">
        <v>78</v>
      </c>
      <c r="I100" s="48" t="s">
        <v>1287</v>
      </c>
      <c r="K100" s="48" t="s">
        <v>1288</v>
      </c>
      <c r="L100" s="48" t="s">
        <v>1289</v>
      </c>
      <c r="M100" s="48" t="s">
        <v>1136</v>
      </c>
      <c r="Q100" s="3">
        <f t="shared" si="1"/>
        <v>500</v>
      </c>
    </row>
    <row r="101" spans="1:17" ht="43.5" x14ac:dyDescent="0.35">
      <c r="A101" t="s">
        <v>0</v>
      </c>
      <c r="B101" t="s">
        <v>434</v>
      </c>
      <c r="C101">
        <v>5160011000</v>
      </c>
      <c r="D101" t="s">
        <v>13</v>
      </c>
      <c r="E101">
        <v>500</v>
      </c>
      <c r="F101" t="s">
        <v>77</v>
      </c>
      <c r="G101" s="102">
        <v>45726</v>
      </c>
      <c r="H101" t="s">
        <v>78</v>
      </c>
      <c r="I101" s="48" t="s">
        <v>1309</v>
      </c>
      <c r="K101" s="48" t="s">
        <v>1310</v>
      </c>
      <c r="L101" s="48">
        <v>11</v>
      </c>
      <c r="M101" s="48" t="s">
        <v>512</v>
      </c>
      <c r="Q101" s="3">
        <f t="shared" si="1"/>
        <v>500</v>
      </c>
    </row>
    <row r="102" spans="1:17" ht="29" x14ac:dyDescent="0.35">
      <c r="A102" t="s">
        <v>0</v>
      </c>
      <c r="B102" t="s">
        <v>434</v>
      </c>
      <c r="C102">
        <v>5160011000</v>
      </c>
      <c r="D102" t="s">
        <v>13</v>
      </c>
      <c r="E102">
        <v>500</v>
      </c>
      <c r="F102" t="s">
        <v>77</v>
      </c>
      <c r="G102" s="102">
        <v>45726</v>
      </c>
      <c r="H102" t="s">
        <v>78</v>
      </c>
      <c r="I102" s="48" t="s">
        <v>1315</v>
      </c>
      <c r="K102" s="48" t="s">
        <v>1316</v>
      </c>
      <c r="L102" s="48" t="s">
        <v>1317</v>
      </c>
      <c r="M102" s="48" t="s">
        <v>521</v>
      </c>
      <c r="Q102" s="3">
        <f t="shared" si="1"/>
        <v>500</v>
      </c>
    </row>
    <row r="103" spans="1:17" ht="58" x14ac:dyDescent="0.35">
      <c r="A103" t="s">
        <v>0</v>
      </c>
      <c r="B103" t="s">
        <v>434</v>
      </c>
      <c r="C103">
        <v>5160011000</v>
      </c>
      <c r="D103" t="s">
        <v>13</v>
      </c>
      <c r="E103">
        <v>500</v>
      </c>
      <c r="F103" t="s">
        <v>77</v>
      </c>
      <c r="G103" s="102">
        <v>45729</v>
      </c>
      <c r="H103" t="s">
        <v>78</v>
      </c>
      <c r="I103" s="48" t="s">
        <v>1327</v>
      </c>
      <c r="K103" s="48" t="s">
        <v>1328</v>
      </c>
      <c r="L103" s="48" t="s">
        <v>1329</v>
      </c>
      <c r="M103" s="48" t="s">
        <v>1330</v>
      </c>
      <c r="Q103" s="3">
        <f t="shared" si="1"/>
        <v>500</v>
      </c>
    </row>
    <row r="104" spans="1:17" ht="43.5" x14ac:dyDescent="0.35">
      <c r="A104" t="s">
        <v>27</v>
      </c>
      <c r="B104" t="s">
        <v>434</v>
      </c>
      <c r="C104">
        <v>5160011000</v>
      </c>
      <c r="D104" t="s">
        <v>13</v>
      </c>
      <c r="E104">
        <v>500</v>
      </c>
      <c r="F104" t="s">
        <v>77</v>
      </c>
      <c r="G104" s="102">
        <v>45705</v>
      </c>
      <c r="H104" t="s">
        <v>78</v>
      </c>
      <c r="I104" s="48" t="s">
        <v>1500</v>
      </c>
      <c r="K104" s="48" t="s">
        <v>1501</v>
      </c>
      <c r="L104" s="48">
        <v>3083</v>
      </c>
      <c r="M104" s="48" t="s">
        <v>525</v>
      </c>
      <c r="Q104" s="3">
        <f t="shared" si="1"/>
        <v>500</v>
      </c>
    </row>
    <row r="105" spans="1:17" ht="29" x14ac:dyDescent="0.35">
      <c r="A105" t="s">
        <v>27</v>
      </c>
      <c r="B105" t="s">
        <v>434</v>
      </c>
      <c r="C105">
        <v>5160011000</v>
      </c>
      <c r="D105" t="s">
        <v>13</v>
      </c>
      <c r="E105">
        <v>500</v>
      </c>
      <c r="F105" t="s">
        <v>77</v>
      </c>
      <c r="G105" s="102">
        <v>45744</v>
      </c>
      <c r="H105" t="s">
        <v>79</v>
      </c>
      <c r="I105" s="48" t="s">
        <v>1620</v>
      </c>
      <c r="J105" s="48" t="s">
        <v>1621</v>
      </c>
      <c r="O105" t="s">
        <v>1622</v>
      </c>
      <c r="Q105" s="3">
        <f t="shared" si="1"/>
        <v>500</v>
      </c>
    </row>
    <row r="106" spans="1:17" ht="29" x14ac:dyDescent="0.35">
      <c r="A106" t="s">
        <v>0</v>
      </c>
      <c r="B106" t="s">
        <v>434</v>
      </c>
      <c r="C106">
        <v>5160011000</v>
      </c>
      <c r="D106" t="s">
        <v>13</v>
      </c>
      <c r="E106">
        <v>498.95</v>
      </c>
      <c r="F106" t="s">
        <v>77</v>
      </c>
      <c r="G106" s="102">
        <v>45702</v>
      </c>
      <c r="H106" t="s">
        <v>78</v>
      </c>
      <c r="I106" s="48" t="s">
        <v>1091</v>
      </c>
      <c r="K106" s="48" t="s">
        <v>1092</v>
      </c>
      <c r="L106" s="48">
        <v>21</v>
      </c>
      <c r="M106" s="48" t="s">
        <v>1093</v>
      </c>
      <c r="Q106" s="3">
        <f t="shared" si="1"/>
        <v>498.95</v>
      </c>
    </row>
    <row r="107" spans="1:17" ht="43.5" x14ac:dyDescent="0.35">
      <c r="A107" t="s">
        <v>0</v>
      </c>
      <c r="B107" t="s">
        <v>434</v>
      </c>
      <c r="C107">
        <v>5160011000</v>
      </c>
      <c r="D107" t="s">
        <v>13</v>
      </c>
      <c r="E107">
        <v>498.95</v>
      </c>
      <c r="F107" t="s">
        <v>77</v>
      </c>
      <c r="G107" s="102">
        <v>45723</v>
      </c>
      <c r="H107" t="s">
        <v>78</v>
      </c>
      <c r="I107" s="48" t="s">
        <v>1299</v>
      </c>
      <c r="K107" s="48" t="s">
        <v>1300</v>
      </c>
      <c r="L107" s="48" t="s">
        <v>1301</v>
      </c>
      <c r="M107" s="48" t="s">
        <v>1302</v>
      </c>
      <c r="Q107" s="3">
        <f t="shared" si="1"/>
        <v>498.95</v>
      </c>
    </row>
    <row r="108" spans="1:17" ht="43.5" x14ac:dyDescent="0.35">
      <c r="A108" t="s">
        <v>0</v>
      </c>
      <c r="B108" t="s">
        <v>434</v>
      </c>
      <c r="C108">
        <v>5160011000</v>
      </c>
      <c r="D108" t="s">
        <v>13</v>
      </c>
      <c r="E108">
        <v>480.19</v>
      </c>
      <c r="F108" t="s">
        <v>77</v>
      </c>
      <c r="G108" s="102">
        <v>45720</v>
      </c>
      <c r="H108" t="s">
        <v>78</v>
      </c>
      <c r="I108" s="48" t="s">
        <v>1224</v>
      </c>
      <c r="K108" s="48" t="s">
        <v>1225</v>
      </c>
      <c r="L108" s="48">
        <v>2100986</v>
      </c>
      <c r="M108" s="48" t="s">
        <v>81</v>
      </c>
      <c r="Q108" s="3">
        <f t="shared" si="1"/>
        <v>480.19</v>
      </c>
    </row>
    <row r="109" spans="1:17" ht="43.5" x14ac:dyDescent="0.35">
      <c r="A109" t="s">
        <v>27</v>
      </c>
      <c r="B109" t="s">
        <v>434</v>
      </c>
      <c r="C109">
        <v>5160011000</v>
      </c>
      <c r="D109" t="s">
        <v>13</v>
      </c>
      <c r="E109">
        <v>465.95</v>
      </c>
      <c r="F109" t="s">
        <v>77</v>
      </c>
      <c r="G109" s="102">
        <v>45747</v>
      </c>
      <c r="H109" t="s">
        <v>79</v>
      </c>
      <c r="I109" s="48" t="s">
        <v>625</v>
      </c>
      <c r="J109" s="48" t="s">
        <v>1634</v>
      </c>
      <c r="O109" t="s">
        <v>284</v>
      </c>
      <c r="Q109" s="3">
        <f t="shared" si="1"/>
        <v>465.95</v>
      </c>
    </row>
    <row r="110" spans="1:17" ht="43.5" x14ac:dyDescent="0.35">
      <c r="A110" t="s">
        <v>0</v>
      </c>
      <c r="B110" t="s">
        <v>434</v>
      </c>
      <c r="C110">
        <v>5160011000</v>
      </c>
      <c r="D110" t="s">
        <v>13</v>
      </c>
      <c r="E110">
        <v>464.32</v>
      </c>
      <c r="F110" t="s">
        <v>77</v>
      </c>
      <c r="G110" s="102">
        <v>45732</v>
      </c>
      <c r="H110" t="s">
        <v>78</v>
      </c>
      <c r="I110" s="48" t="s">
        <v>1362</v>
      </c>
      <c r="K110" s="48" t="s">
        <v>1366</v>
      </c>
      <c r="L110" s="48" t="s">
        <v>1364</v>
      </c>
      <c r="M110" s="48" t="s">
        <v>1365</v>
      </c>
      <c r="Q110" s="3">
        <f t="shared" si="1"/>
        <v>464.32</v>
      </c>
    </row>
    <row r="111" spans="1:17" ht="29" x14ac:dyDescent="0.35">
      <c r="A111" t="s">
        <v>0</v>
      </c>
      <c r="B111" t="s">
        <v>434</v>
      </c>
      <c r="C111">
        <v>5160011000</v>
      </c>
      <c r="D111" t="s">
        <v>13</v>
      </c>
      <c r="E111">
        <v>450.05</v>
      </c>
      <c r="F111" t="s">
        <v>77</v>
      </c>
      <c r="G111" s="102">
        <v>45691</v>
      </c>
      <c r="H111" t="s">
        <v>78</v>
      </c>
      <c r="I111" s="48" t="s">
        <v>1025</v>
      </c>
      <c r="K111" s="48" t="s">
        <v>1026</v>
      </c>
      <c r="L111" s="48">
        <v>2410232</v>
      </c>
      <c r="M111" s="48" t="s">
        <v>104</v>
      </c>
      <c r="Q111" s="3">
        <f t="shared" si="1"/>
        <v>450.05</v>
      </c>
    </row>
    <row r="112" spans="1:17" ht="43.5" x14ac:dyDescent="0.35">
      <c r="A112" t="s">
        <v>0</v>
      </c>
      <c r="B112" t="s">
        <v>434</v>
      </c>
      <c r="C112">
        <v>5160011000</v>
      </c>
      <c r="D112" t="s">
        <v>13</v>
      </c>
      <c r="E112">
        <v>414.92</v>
      </c>
      <c r="F112" t="s">
        <v>77</v>
      </c>
      <c r="G112" s="102">
        <v>45732</v>
      </c>
      <c r="H112" t="s">
        <v>78</v>
      </c>
      <c r="I112" s="48" t="s">
        <v>1362</v>
      </c>
      <c r="K112" s="48" t="s">
        <v>1367</v>
      </c>
      <c r="L112" s="48" t="s">
        <v>1364</v>
      </c>
      <c r="M112" s="48" t="s">
        <v>1365</v>
      </c>
      <c r="Q112" s="3">
        <f t="shared" si="1"/>
        <v>414.92</v>
      </c>
    </row>
    <row r="113" spans="1:22" ht="29" x14ac:dyDescent="0.35">
      <c r="A113" t="s">
        <v>0</v>
      </c>
      <c r="B113" t="s">
        <v>434</v>
      </c>
      <c r="C113">
        <v>5160011000</v>
      </c>
      <c r="D113" t="s">
        <v>13</v>
      </c>
      <c r="E113">
        <v>410.59</v>
      </c>
      <c r="F113" t="s">
        <v>77</v>
      </c>
      <c r="G113" s="102">
        <v>45706</v>
      </c>
      <c r="H113" t="s">
        <v>78</v>
      </c>
      <c r="I113" s="48" t="s">
        <v>1154</v>
      </c>
      <c r="K113" s="48" t="s">
        <v>1155</v>
      </c>
      <c r="L113" s="48" t="s">
        <v>1156</v>
      </c>
      <c r="M113" s="48" t="s">
        <v>106</v>
      </c>
      <c r="Q113" s="3">
        <f t="shared" si="1"/>
        <v>410.59</v>
      </c>
    </row>
    <row r="114" spans="1:22" ht="29" x14ac:dyDescent="0.35">
      <c r="A114" t="s">
        <v>0</v>
      </c>
      <c r="B114" t="s">
        <v>434</v>
      </c>
      <c r="C114">
        <v>5160011000</v>
      </c>
      <c r="D114" t="s">
        <v>13</v>
      </c>
      <c r="E114">
        <v>410.58</v>
      </c>
      <c r="F114" t="s">
        <v>77</v>
      </c>
      <c r="G114" s="102">
        <v>45706</v>
      </c>
      <c r="H114" t="s">
        <v>78</v>
      </c>
      <c r="I114" s="48" t="s">
        <v>1154</v>
      </c>
      <c r="K114" s="48" t="s">
        <v>1157</v>
      </c>
      <c r="L114" s="48" t="s">
        <v>1156</v>
      </c>
      <c r="M114" s="48" t="s">
        <v>106</v>
      </c>
      <c r="Q114" s="3">
        <f t="shared" si="1"/>
        <v>410.58</v>
      </c>
    </row>
    <row r="115" spans="1:22" ht="43.5" x14ac:dyDescent="0.35">
      <c r="A115" t="s">
        <v>0</v>
      </c>
      <c r="B115" t="s">
        <v>434</v>
      </c>
      <c r="C115">
        <v>5160011000</v>
      </c>
      <c r="D115" t="s">
        <v>13</v>
      </c>
      <c r="E115">
        <v>407.13</v>
      </c>
      <c r="F115" t="s">
        <v>77</v>
      </c>
      <c r="G115" s="102">
        <v>45720</v>
      </c>
      <c r="H115" t="s">
        <v>78</v>
      </c>
      <c r="I115" s="48" t="s">
        <v>1234</v>
      </c>
      <c r="K115" s="48" t="s">
        <v>1235</v>
      </c>
      <c r="L115" s="48">
        <v>2101518</v>
      </c>
      <c r="M115" s="48" t="s">
        <v>81</v>
      </c>
      <c r="Q115" s="3">
        <f t="shared" si="1"/>
        <v>407.13</v>
      </c>
    </row>
    <row r="116" spans="1:22" ht="43.5" x14ac:dyDescent="0.35">
      <c r="A116" t="s">
        <v>0</v>
      </c>
      <c r="B116" t="s">
        <v>434</v>
      </c>
      <c r="C116">
        <v>5160011000</v>
      </c>
      <c r="D116" t="s">
        <v>13</v>
      </c>
      <c r="E116">
        <v>400</v>
      </c>
      <c r="F116" t="s">
        <v>77</v>
      </c>
      <c r="G116" s="102">
        <v>45664</v>
      </c>
      <c r="H116" t="s">
        <v>78</v>
      </c>
      <c r="I116" s="48" t="s">
        <v>876</v>
      </c>
      <c r="K116" s="48" t="s">
        <v>877</v>
      </c>
      <c r="L116" s="48">
        <v>2024054</v>
      </c>
      <c r="M116" s="48" t="s">
        <v>878</v>
      </c>
      <c r="Q116" s="3">
        <f t="shared" si="1"/>
        <v>400</v>
      </c>
    </row>
    <row r="117" spans="1:22" ht="29" x14ac:dyDescent="0.35">
      <c r="A117" t="s">
        <v>27</v>
      </c>
      <c r="B117" t="s">
        <v>434</v>
      </c>
      <c r="C117">
        <v>5160011000</v>
      </c>
      <c r="D117" t="s">
        <v>13</v>
      </c>
      <c r="E117">
        <v>363.21</v>
      </c>
      <c r="F117" t="s">
        <v>77</v>
      </c>
      <c r="G117" s="102">
        <v>45734</v>
      </c>
      <c r="H117" t="s">
        <v>79</v>
      </c>
      <c r="I117" s="48" t="s">
        <v>129</v>
      </c>
      <c r="J117" s="48" t="s">
        <v>1598</v>
      </c>
      <c r="O117" t="s">
        <v>1599</v>
      </c>
      <c r="Q117" s="3">
        <f t="shared" si="1"/>
        <v>363.21</v>
      </c>
    </row>
    <row r="118" spans="1:22" ht="43.5" x14ac:dyDescent="0.35">
      <c r="A118" t="s">
        <v>27</v>
      </c>
      <c r="B118" t="s">
        <v>361</v>
      </c>
      <c r="C118">
        <v>5160011000</v>
      </c>
      <c r="D118" t="s">
        <v>13</v>
      </c>
      <c r="E118">
        <v>354.55</v>
      </c>
      <c r="F118" t="s">
        <v>77</v>
      </c>
      <c r="G118" s="102">
        <v>45726</v>
      </c>
      <c r="H118" t="s">
        <v>79</v>
      </c>
      <c r="I118" s="48" t="s">
        <v>506</v>
      </c>
      <c r="J118" s="48" t="s">
        <v>1562</v>
      </c>
      <c r="O118" t="s">
        <v>1563</v>
      </c>
      <c r="Q118" s="3">
        <f t="shared" si="1"/>
        <v>354.55</v>
      </c>
    </row>
    <row r="119" spans="1:22" ht="29" x14ac:dyDescent="0.35">
      <c r="A119" t="s">
        <v>0</v>
      </c>
      <c r="B119" t="s">
        <v>434</v>
      </c>
      <c r="C119">
        <v>5160011000</v>
      </c>
      <c r="D119" t="s">
        <v>13</v>
      </c>
      <c r="E119">
        <v>350</v>
      </c>
      <c r="F119" t="s">
        <v>77</v>
      </c>
      <c r="G119" s="102">
        <v>45706</v>
      </c>
      <c r="H119" t="s">
        <v>78</v>
      </c>
      <c r="I119" s="48" t="s">
        <v>1115</v>
      </c>
      <c r="K119" s="48" t="s">
        <v>1116</v>
      </c>
      <c r="L119" s="48">
        <v>1691</v>
      </c>
      <c r="M119" s="48" t="s">
        <v>1117</v>
      </c>
      <c r="Q119" s="3">
        <f t="shared" si="1"/>
        <v>350</v>
      </c>
    </row>
    <row r="120" spans="1:22" ht="43.5" x14ac:dyDescent="0.35">
      <c r="A120" t="s">
        <v>0</v>
      </c>
      <c r="B120" t="s">
        <v>434</v>
      </c>
      <c r="C120">
        <v>5160011000</v>
      </c>
      <c r="D120" t="s">
        <v>13</v>
      </c>
      <c r="E120">
        <v>-339.99</v>
      </c>
      <c r="F120" t="s">
        <v>77</v>
      </c>
      <c r="G120" s="102">
        <v>45732</v>
      </c>
      <c r="H120" t="s">
        <v>78</v>
      </c>
      <c r="I120" s="48" t="s">
        <v>1362</v>
      </c>
      <c r="K120" s="48" t="s">
        <v>1370</v>
      </c>
      <c r="L120" s="48" t="s">
        <v>1364</v>
      </c>
      <c r="M120" s="48" t="s">
        <v>1365</v>
      </c>
      <c r="Q120" s="3">
        <f t="shared" si="1"/>
        <v>339.99</v>
      </c>
    </row>
    <row r="121" spans="1:22" ht="29" x14ac:dyDescent="0.35">
      <c r="A121" t="s">
        <v>27</v>
      </c>
      <c r="B121" t="s">
        <v>321</v>
      </c>
      <c r="C121">
        <v>5160011000</v>
      </c>
      <c r="D121" t="s">
        <v>13</v>
      </c>
      <c r="E121">
        <v>331.77</v>
      </c>
      <c r="F121" t="s">
        <v>77</v>
      </c>
      <c r="G121" s="102">
        <v>45740</v>
      </c>
      <c r="H121" t="s">
        <v>79</v>
      </c>
      <c r="I121" s="48" t="s">
        <v>514</v>
      </c>
      <c r="J121" s="48" t="s">
        <v>1605</v>
      </c>
      <c r="O121" t="s">
        <v>303</v>
      </c>
      <c r="Q121" s="3">
        <f t="shared" si="1"/>
        <v>331.77</v>
      </c>
    </row>
    <row r="122" spans="1:22" ht="43.5" x14ac:dyDescent="0.35">
      <c r="A122" t="s">
        <v>0</v>
      </c>
      <c r="B122" t="s">
        <v>434</v>
      </c>
      <c r="C122">
        <v>5160011000</v>
      </c>
      <c r="D122" t="s">
        <v>13</v>
      </c>
      <c r="E122">
        <v>329.3</v>
      </c>
      <c r="F122" t="s">
        <v>77</v>
      </c>
      <c r="G122" s="102">
        <v>45709</v>
      </c>
      <c r="H122" t="s">
        <v>78</v>
      </c>
      <c r="I122" s="48" t="s">
        <v>1194</v>
      </c>
      <c r="K122" s="48" t="s">
        <v>1195</v>
      </c>
      <c r="L122" s="48" t="s">
        <v>1196</v>
      </c>
      <c r="M122" s="48" t="s">
        <v>1197</v>
      </c>
      <c r="Q122" s="3">
        <f t="shared" si="1"/>
        <v>329.3</v>
      </c>
      <c r="S122" s="61" t="s">
        <v>44</v>
      </c>
      <c r="T122" t="s">
        <v>54</v>
      </c>
      <c r="U122" t="str">
        <f>B122</f>
        <v>AU032046</v>
      </c>
      <c r="V122" s="3">
        <f>E122</f>
        <v>329.3</v>
      </c>
    </row>
    <row r="123" spans="1:22" ht="29" x14ac:dyDescent="0.35">
      <c r="A123" t="s">
        <v>0</v>
      </c>
      <c r="B123" t="s">
        <v>434</v>
      </c>
      <c r="C123">
        <v>5160011000</v>
      </c>
      <c r="D123" t="s">
        <v>13</v>
      </c>
      <c r="E123">
        <v>324.69</v>
      </c>
      <c r="F123" t="s">
        <v>77</v>
      </c>
      <c r="G123" s="102">
        <v>45734</v>
      </c>
      <c r="H123" t="s">
        <v>78</v>
      </c>
      <c r="I123" s="48" t="s">
        <v>1380</v>
      </c>
      <c r="K123" s="48" t="s">
        <v>535</v>
      </c>
      <c r="L123" s="48">
        <v>13361</v>
      </c>
      <c r="M123" s="48" t="s">
        <v>113</v>
      </c>
      <c r="Q123" s="3">
        <f t="shared" si="1"/>
        <v>324.69</v>
      </c>
    </row>
    <row r="124" spans="1:22" ht="72.5" x14ac:dyDescent="0.35">
      <c r="A124" t="s">
        <v>27</v>
      </c>
      <c r="B124" t="s">
        <v>434</v>
      </c>
      <c r="C124">
        <v>5160011000</v>
      </c>
      <c r="D124" t="s">
        <v>13</v>
      </c>
      <c r="E124">
        <v>316.31</v>
      </c>
      <c r="F124" t="s">
        <v>77</v>
      </c>
      <c r="G124" s="102">
        <v>45679</v>
      </c>
      <c r="H124" t="s">
        <v>79</v>
      </c>
      <c r="I124" s="48" t="s">
        <v>1471</v>
      </c>
      <c r="J124" s="48" t="s">
        <v>1474</v>
      </c>
      <c r="O124" t="s">
        <v>1475</v>
      </c>
      <c r="Q124" s="3">
        <f t="shared" si="1"/>
        <v>316.31</v>
      </c>
      <c r="S124" s="61" t="s">
        <v>44</v>
      </c>
      <c r="T124" t="s">
        <v>54</v>
      </c>
      <c r="U124" t="str">
        <f>B124</f>
        <v>AU032046</v>
      </c>
      <c r="V124" s="3">
        <f>E124</f>
        <v>316.31</v>
      </c>
    </row>
    <row r="125" spans="1:22" ht="29" x14ac:dyDescent="0.35">
      <c r="A125" t="s">
        <v>0</v>
      </c>
      <c r="B125" t="s">
        <v>434</v>
      </c>
      <c r="C125">
        <v>5160011000</v>
      </c>
      <c r="D125" t="s">
        <v>13</v>
      </c>
      <c r="E125">
        <v>300</v>
      </c>
      <c r="F125" t="s">
        <v>77</v>
      </c>
      <c r="G125" s="102">
        <v>45730</v>
      </c>
      <c r="H125" t="s">
        <v>78</v>
      </c>
      <c r="I125" s="48" t="s">
        <v>1334</v>
      </c>
      <c r="K125" s="48" t="s">
        <v>1335</v>
      </c>
      <c r="L125" s="48">
        <v>814</v>
      </c>
      <c r="M125" s="48" t="s">
        <v>1336</v>
      </c>
      <c r="Q125" s="3">
        <f t="shared" si="1"/>
        <v>300</v>
      </c>
    </row>
    <row r="126" spans="1:22" ht="29" x14ac:dyDescent="0.35">
      <c r="A126" t="s">
        <v>0</v>
      </c>
      <c r="B126" t="s">
        <v>434</v>
      </c>
      <c r="C126">
        <v>5160011000</v>
      </c>
      <c r="D126" t="s">
        <v>13</v>
      </c>
      <c r="E126">
        <v>300</v>
      </c>
      <c r="F126" t="s">
        <v>77</v>
      </c>
      <c r="G126" s="102">
        <v>45730</v>
      </c>
      <c r="H126" t="s">
        <v>78</v>
      </c>
      <c r="I126" s="48" t="s">
        <v>1351</v>
      </c>
      <c r="K126" s="48" t="s">
        <v>1352</v>
      </c>
      <c r="L126" s="48" t="s">
        <v>1353</v>
      </c>
      <c r="M126" s="48" t="s">
        <v>526</v>
      </c>
      <c r="Q126" s="3">
        <f t="shared" si="1"/>
        <v>300</v>
      </c>
    </row>
    <row r="127" spans="1:22" ht="29" x14ac:dyDescent="0.35">
      <c r="A127" t="s">
        <v>27</v>
      </c>
      <c r="B127" t="s">
        <v>530</v>
      </c>
      <c r="C127">
        <v>5160011000</v>
      </c>
      <c r="D127" t="s">
        <v>13</v>
      </c>
      <c r="E127">
        <v>300</v>
      </c>
      <c r="F127" t="s">
        <v>77</v>
      </c>
      <c r="G127" s="102">
        <v>45698</v>
      </c>
      <c r="H127" t="s">
        <v>79</v>
      </c>
      <c r="I127" s="48" t="s">
        <v>133</v>
      </c>
      <c r="J127" s="48" t="s">
        <v>1493</v>
      </c>
      <c r="O127" t="s">
        <v>1494</v>
      </c>
      <c r="Q127" s="3">
        <f t="shared" si="1"/>
        <v>300</v>
      </c>
    </row>
    <row r="128" spans="1:22" ht="43.5" x14ac:dyDescent="0.35">
      <c r="A128" t="s">
        <v>27</v>
      </c>
      <c r="B128" t="s">
        <v>434</v>
      </c>
      <c r="C128">
        <v>5160011000</v>
      </c>
      <c r="D128" t="s">
        <v>13</v>
      </c>
      <c r="E128">
        <v>299.23</v>
      </c>
      <c r="F128" t="s">
        <v>77</v>
      </c>
      <c r="G128" s="102">
        <v>45747</v>
      </c>
      <c r="H128" t="s">
        <v>79</v>
      </c>
      <c r="I128" s="48" t="s">
        <v>134</v>
      </c>
      <c r="J128" s="48" t="s">
        <v>1641</v>
      </c>
      <c r="O128" t="s">
        <v>269</v>
      </c>
      <c r="Q128" s="3">
        <f t="shared" si="1"/>
        <v>299.23</v>
      </c>
    </row>
    <row r="129" spans="1:30" ht="43.5" x14ac:dyDescent="0.35">
      <c r="A129" t="s">
        <v>0</v>
      </c>
      <c r="B129" t="s">
        <v>434</v>
      </c>
      <c r="C129">
        <v>5160011000</v>
      </c>
      <c r="D129" t="s">
        <v>13</v>
      </c>
      <c r="E129">
        <v>296.37</v>
      </c>
      <c r="F129" t="s">
        <v>77</v>
      </c>
      <c r="G129" s="102">
        <v>45732</v>
      </c>
      <c r="H129" t="s">
        <v>78</v>
      </c>
      <c r="I129" s="48" t="s">
        <v>1362</v>
      </c>
      <c r="K129" s="48" t="s">
        <v>1368</v>
      </c>
      <c r="L129" s="48" t="s">
        <v>1364</v>
      </c>
      <c r="M129" s="48" t="s">
        <v>1365</v>
      </c>
      <c r="Q129" s="3">
        <f t="shared" si="1"/>
        <v>296.37</v>
      </c>
    </row>
    <row r="130" spans="1:30" ht="29" x14ac:dyDescent="0.35">
      <c r="A130" t="s">
        <v>0</v>
      </c>
      <c r="B130" t="s">
        <v>434</v>
      </c>
      <c r="C130">
        <v>5160011000</v>
      </c>
      <c r="D130" t="s">
        <v>13</v>
      </c>
      <c r="E130">
        <v>294.23</v>
      </c>
      <c r="F130" t="s">
        <v>77</v>
      </c>
      <c r="G130" s="102">
        <v>45698</v>
      </c>
      <c r="H130" t="s">
        <v>78</v>
      </c>
      <c r="I130" s="48" t="s">
        <v>1045</v>
      </c>
      <c r="K130" s="48" t="s">
        <v>1046</v>
      </c>
      <c r="L130" s="48">
        <v>240830</v>
      </c>
      <c r="M130" s="48" t="s">
        <v>104</v>
      </c>
      <c r="Q130" s="3">
        <f t="shared" si="1"/>
        <v>294.23</v>
      </c>
      <c r="AD130" s="26"/>
    </row>
    <row r="131" spans="1:30" ht="29" x14ac:dyDescent="0.35">
      <c r="A131" t="s">
        <v>0</v>
      </c>
      <c r="B131" t="s">
        <v>434</v>
      </c>
      <c r="C131">
        <v>5160011000</v>
      </c>
      <c r="D131" t="s">
        <v>13</v>
      </c>
      <c r="E131">
        <v>282.52</v>
      </c>
      <c r="F131" t="s">
        <v>77</v>
      </c>
      <c r="G131" s="102">
        <v>45705</v>
      </c>
      <c r="H131" t="s">
        <v>78</v>
      </c>
      <c r="I131" s="48" t="s">
        <v>1101</v>
      </c>
      <c r="K131" s="48" t="s">
        <v>1102</v>
      </c>
      <c r="L131" s="48">
        <v>2411301</v>
      </c>
      <c r="M131" s="48" t="s">
        <v>104</v>
      </c>
      <c r="Q131" s="3">
        <f t="shared" si="1"/>
        <v>282.52</v>
      </c>
    </row>
    <row r="132" spans="1:30" ht="29" x14ac:dyDescent="0.35">
      <c r="A132" t="s">
        <v>27</v>
      </c>
      <c r="B132" t="s">
        <v>321</v>
      </c>
      <c r="C132">
        <v>5160011000</v>
      </c>
      <c r="D132" t="s">
        <v>13</v>
      </c>
      <c r="E132">
        <v>277.58999999999997</v>
      </c>
      <c r="F132" t="s">
        <v>77</v>
      </c>
      <c r="G132" s="102">
        <v>45740</v>
      </c>
      <c r="H132" t="s">
        <v>79</v>
      </c>
      <c r="I132" s="48" t="s">
        <v>226</v>
      </c>
      <c r="J132" s="48" t="s">
        <v>1608</v>
      </c>
      <c r="O132" t="s">
        <v>282</v>
      </c>
      <c r="Q132" s="3">
        <f t="shared" si="1"/>
        <v>277.58999999999997</v>
      </c>
    </row>
    <row r="133" spans="1:30" ht="58" x14ac:dyDescent="0.35">
      <c r="A133" t="s">
        <v>27</v>
      </c>
      <c r="B133" t="s">
        <v>434</v>
      </c>
      <c r="C133">
        <v>5160011000</v>
      </c>
      <c r="D133" t="s">
        <v>13</v>
      </c>
      <c r="E133">
        <v>272.73</v>
      </c>
      <c r="F133" t="s">
        <v>77</v>
      </c>
      <c r="G133" s="102">
        <v>45714</v>
      </c>
      <c r="H133" t="s">
        <v>79</v>
      </c>
      <c r="I133" s="48" t="s">
        <v>1521</v>
      </c>
      <c r="J133" s="48" t="s">
        <v>1522</v>
      </c>
      <c r="O133" t="s">
        <v>1523</v>
      </c>
      <c r="Q133" s="3">
        <f t="shared" si="1"/>
        <v>272.73</v>
      </c>
      <c r="S133" s="61" t="s">
        <v>581</v>
      </c>
    </row>
    <row r="134" spans="1:30" ht="43.5" x14ac:dyDescent="0.35">
      <c r="A134" t="s">
        <v>0</v>
      </c>
      <c r="B134" t="s">
        <v>434</v>
      </c>
      <c r="C134">
        <v>5160011000</v>
      </c>
      <c r="D134" t="s">
        <v>13</v>
      </c>
      <c r="E134">
        <v>269.43</v>
      </c>
      <c r="F134" t="s">
        <v>77</v>
      </c>
      <c r="G134" s="102">
        <v>45734</v>
      </c>
      <c r="H134" t="s">
        <v>78</v>
      </c>
      <c r="I134" s="48" t="s">
        <v>1381</v>
      </c>
      <c r="K134" s="48" t="s">
        <v>1382</v>
      </c>
      <c r="L134" s="48">
        <v>13704</v>
      </c>
      <c r="M134" s="48" t="s">
        <v>566</v>
      </c>
      <c r="Q134" s="3">
        <f t="shared" si="1"/>
        <v>269.43</v>
      </c>
    </row>
    <row r="135" spans="1:30" ht="29" x14ac:dyDescent="0.35">
      <c r="A135" t="s">
        <v>27</v>
      </c>
      <c r="B135" t="s">
        <v>385</v>
      </c>
      <c r="C135">
        <v>5160011000</v>
      </c>
      <c r="D135" t="s">
        <v>13</v>
      </c>
      <c r="E135">
        <v>261.5</v>
      </c>
      <c r="F135" t="s">
        <v>77</v>
      </c>
      <c r="G135" s="102">
        <v>45707</v>
      </c>
      <c r="H135" t="s">
        <v>79</v>
      </c>
      <c r="I135" s="48" t="s">
        <v>534</v>
      </c>
      <c r="J135" s="48" t="s">
        <v>1511</v>
      </c>
      <c r="O135" t="s">
        <v>1512</v>
      </c>
      <c r="Q135" s="3">
        <f t="shared" si="1"/>
        <v>261.5</v>
      </c>
      <c r="S135" s="61" t="s">
        <v>44</v>
      </c>
      <c r="T135" t="s">
        <v>54</v>
      </c>
      <c r="U135" t="str">
        <f>B135</f>
        <v>AU030423</v>
      </c>
      <c r="V135" s="3">
        <f>E135</f>
        <v>261.5</v>
      </c>
    </row>
    <row r="136" spans="1:30" ht="43.5" x14ac:dyDescent="0.35">
      <c r="A136" t="s">
        <v>27</v>
      </c>
      <c r="B136" t="s">
        <v>492</v>
      </c>
      <c r="C136">
        <v>5160011000</v>
      </c>
      <c r="D136" t="s">
        <v>13</v>
      </c>
      <c r="E136">
        <v>260</v>
      </c>
      <c r="F136" t="s">
        <v>77</v>
      </c>
      <c r="G136" s="102">
        <v>45733</v>
      </c>
      <c r="H136" t="s">
        <v>79</v>
      </c>
      <c r="I136" s="48" t="s">
        <v>1570</v>
      </c>
      <c r="J136" s="48" t="s">
        <v>1571</v>
      </c>
      <c r="O136" t="s">
        <v>493</v>
      </c>
      <c r="Q136" s="3">
        <f t="shared" ref="Q136:Q199" si="4">ABS(E136)</f>
        <v>260</v>
      </c>
    </row>
    <row r="137" spans="1:30" ht="29" x14ac:dyDescent="0.35">
      <c r="A137" t="s">
        <v>0</v>
      </c>
      <c r="B137" t="s">
        <v>434</v>
      </c>
      <c r="C137">
        <v>5160011000</v>
      </c>
      <c r="D137" t="s">
        <v>13</v>
      </c>
      <c r="E137">
        <v>259.49</v>
      </c>
      <c r="F137" t="s">
        <v>77</v>
      </c>
      <c r="G137" s="102">
        <v>45659</v>
      </c>
      <c r="H137" t="s">
        <v>78</v>
      </c>
      <c r="I137" s="48" t="s">
        <v>567</v>
      </c>
      <c r="K137" s="48" t="s">
        <v>568</v>
      </c>
      <c r="L137" s="48">
        <v>66714</v>
      </c>
      <c r="M137" s="48" t="s">
        <v>110</v>
      </c>
      <c r="Q137" s="3">
        <f t="shared" si="4"/>
        <v>259.49</v>
      </c>
    </row>
    <row r="138" spans="1:30" ht="29" x14ac:dyDescent="0.35">
      <c r="A138" t="s">
        <v>27</v>
      </c>
      <c r="B138" t="s">
        <v>323</v>
      </c>
      <c r="C138">
        <v>5160011000</v>
      </c>
      <c r="D138" t="s">
        <v>13</v>
      </c>
      <c r="E138">
        <v>258.17</v>
      </c>
      <c r="F138" t="s">
        <v>77</v>
      </c>
      <c r="G138" s="102">
        <v>45712</v>
      </c>
      <c r="H138" t="s">
        <v>79</v>
      </c>
      <c r="I138" s="48" t="s">
        <v>125</v>
      </c>
      <c r="J138" s="48" t="s">
        <v>1517</v>
      </c>
      <c r="O138" t="s">
        <v>1518</v>
      </c>
      <c r="Q138" s="3">
        <f t="shared" si="4"/>
        <v>258.17</v>
      </c>
    </row>
    <row r="139" spans="1:30" ht="43.5" x14ac:dyDescent="0.35">
      <c r="A139" t="s">
        <v>27</v>
      </c>
      <c r="B139" t="s">
        <v>434</v>
      </c>
      <c r="C139">
        <v>5160011000</v>
      </c>
      <c r="D139" t="s">
        <v>13</v>
      </c>
      <c r="E139">
        <v>253.06</v>
      </c>
      <c r="F139" t="s">
        <v>77</v>
      </c>
      <c r="G139" s="102">
        <v>45733</v>
      </c>
      <c r="H139" t="s">
        <v>79</v>
      </c>
      <c r="I139" s="48" t="s">
        <v>543</v>
      </c>
      <c r="J139" s="48" t="s">
        <v>1572</v>
      </c>
      <c r="O139" t="s">
        <v>524</v>
      </c>
      <c r="Q139" s="3">
        <f t="shared" si="4"/>
        <v>253.06</v>
      </c>
    </row>
    <row r="140" spans="1:30" ht="29" x14ac:dyDescent="0.35">
      <c r="A140" t="s">
        <v>0</v>
      </c>
      <c r="B140" t="s">
        <v>434</v>
      </c>
      <c r="C140">
        <v>5160011000</v>
      </c>
      <c r="D140" t="s">
        <v>13</v>
      </c>
      <c r="E140">
        <v>249.47</v>
      </c>
      <c r="F140" t="s">
        <v>77</v>
      </c>
      <c r="G140" s="102">
        <v>45730</v>
      </c>
      <c r="H140" t="s">
        <v>78</v>
      </c>
      <c r="I140" s="48" t="s">
        <v>1337</v>
      </c>
      <c r="K140" s="48" t="s">
        <v>1338</v>
      </c>
      <c r="L140" s="48">
        <v>1202530921183</v>
      </c>
      <c r="M140" s="48" t="s">
        <v>1339</v>
      </c>
      <c r="Q140" s="3">
        <f t="shared" si="4"/>
        <v>249.47</v>
      </c>
    </row>
    <row r="141" spans="1:30" ht="43.5" x14ac:dyDescent="0.35">
      <c r="A141" t="s">
        <v>27</v>
      </c>
      <c r="B141" t="s">
        <v>434</v>
      </c>
      <c r="C141">
        <v>5160011000</v>
      </c>
      <c r="D141" t="s">
        <v>13</v>
      </c>
      <c r="E141">
        <v>224.55</v>
      </c>
      <c r="F141" t="s">
        <v>77</v>
      </c>
      <c r="G141" s="102">
        <v>45714</v>
      </c>
      <c r="H141" t="s">
        <v>79</v>
      </c>
      <c r="I141" s="48" t="s">
        <v>551</v>
      </c>
      <c r="J141" s="48" t="s">
        <v>1520</v>
      </c>
      <c r="O141" t="s">
        <v>517</v>
      </c>
      <c r="Q141" s="3">
        <f t="shared" si="4"/>
        <v>224.55</v>
      </c>
      <c r="S141" s="61" t="s">
        <v>44</v>
      </c>
      <c r="T141" t="s">
        <v>54</v>
      </c>
      <c r="U141" t="str">
        <f>B141</f>
        <v>AU032046</v>
      </c>
      <c r="V141" s="3">
        <f>E141</f>
        <v>224.55</v>
      </c>
    </row>
    <row r="142" spans="1:30" ht="43.5" x14ac:dyDescent="0.35">
      <c r="A142" t="s">
        <v>0</v>
      </c>
      <c r="B142" t="s">
        <v>434</v>
      </c>
      <c r="C142">
        <v>5160011000</v>
      </c>
      <c r="D142" t="s">
        <v>13</v>
      </c>
      <c r="E142">
        <v>218.76</v>
      </c>
      <c r="F142" t="s">
        <v>77</v>
      </c>
      <c r="G142" s="102">
        <v>45720</v>
      </c>
      <c r="H142" t="s">
        <v>78</v>
      </c>
      <c r="I142" s="48" t="s">
        <v>1226</v>
      </c>
      <c r="K142" s="48" t="s">
        <v>1227</v>
      </c>
      <c r="L142" s="48">
        <v>2101012</v>
      </c>
      <c r="M142" s="48" t="s">
        <v>81</v>
      </c>
      <c r="Q142" s="3">
        <f t="shared" si="4"/>
        <v>218.76</v>
      </c>
    </row>
    <row r="143" spans="1:30" ht="43.5" x14ac:dyDescent="0.35">
      <c r="A143" t="s">
        <v>0</v>
      </c>
      <c r="B143" t="s">
        <v>434</v>
      </c>
      <c r="C143">
        <v>5160011000</v>
      </c>
      <c r="D143" t="s">
        <v>13</v>
      </c>
      <c r="E143">
        <v>214.37</v>
      </c>
      <c r="F143" t="s">
        <v>77</v>
      </c>
      <c r="G143" s="102">
        <v>45720</v>
      </c>
      <c r="H143" t="s">
        <v>78</v>
      </c>
      <c r="I143" s="48" t="s">
        <v>1232</v>
      </c>
      <c r="K143" s="48" t="s">
        <v>1233</v>
      </c>
      <c r="L143" s="48">
        <v>2101516</v>
      </c>
      <c r="M143" s="48" t="s">
        <v>81</v>
      </c>
      <c r="Q143" s="3">
        <f t="shared" si="4"/>
        <v>214.37</v>
      </c>
    </row>
    <row r="144" spans="1:30" ht="29" x14ac:dyDescent="0.35">
      <c r="A144" t="s">
        <v>27</v>
      </c>
      <c r="B144" t="s">
        <v>434</v>
      </c>
      <c r="C144">
        <v>5160011000</v>
      </c>
      <c r="D144" t="s">
        <v>13</v>
      </c>
      <c r="E144">
        <v>-209.09</v>
      </c>
      <c r="F144" t="s">
        <v>77</v>
      </c>
      <c r="G144" s="102">
        <v>45734</v>
      </c>
      <c r="H144" t="s">
        <v>79</v>
      </c>
      <c r="I144" s="48" t="s">
        <v>129</v>
      </c>
      <c r="J144" s="48" t="s">
        <v>1593</v>
      </c>
      <c r="O144" t="s">
        <v>573</v>
      </c>
      <c r="Q144" s="3">
        <f t="shared" si="4"/>
        <v>209.09</v>
      </c>
    </row>
    <row r="145" spans="1:22" ht="29" x14ac:dyDescent="0.35">
      <c r="A145" t="s">
        <v>27</v>
      </c>
      <c r="B145" t="s">
        <v>434</v>
      </c>
      <c r="C145">
        <v>5160011000</v>
      </c>
      <c r="D145" t="s">
        <v>13</v>
      </c>
      <c r="E145">
        <v>-209.09</v>
      </c>
      <c r="F145" t="s">
        <v>77</v>
      </c>
      <c r="G145" s="102">
        <v>45734</v>
      </c>
      <c r="H145" t="s">
        <v>79</v>
      </c>
      <c r="I145" s="48" t="s">
        <v>129</v>
      </c>
      <c r="J145" s="48" t="s">
        <v>1594</v>
      </c>
      <c r="O145" t="s">
        <v>573</v>
      </c>
      <c r="Q145" s="3">
        <f t="shared" si="4"/>
        <v>209.09</v>
      </c>
    </row>
    <row r="146" spans="1:22" ht="43.5" x14ac:dyDescent="0.35">
      <c r="A146" t="s">
        <v>27</v>
      </c>
      <c r="B146" t="s">
        <v>434</v>
      </c>
      <c r="C146">
        <v>5160011000</v>
      </c>
      <c r="D146" t="s">
        <v>13</v>
      </c>
      <c r="E146">
        <v>-209.09</v>
      </c>
      <c r="F146" t="s">
        <v>77</v>
      </c>
      <c r="G146" s="102">
        <v>45734</v>
      </c>
      <c r="H146" t="s">
        <v>79</v>
      </c>
      <c r="I146" s="48" t="s">
        <v>129</v>
      </c>
      <c r="J146" s="48" t="s">
        <v>1596</v>
      </c>
      <c r="O146" t="s">
        <v>573</v>
      </c>
      <c r="Q146" s="3">
        <f t="shared" si="4"/>
        <v>209.09</v>
      </c>
    </row>
    <row r="147" spans="1:22" ht="29" x14ac:dyDescent="0.35">
      <c r="A147" t="s">
        <v>27</v>
      </c>
      <c r="B147" t="s">
        <v>434</v>
      </c>
      <c r="C147">
        <v>5160011000</v>
      </c>
      <c r="D147" t="s">
        <v>13</v>
      </c>
      <c r="E147">
        <v>-209.09</v>
      </c>
      <c r="F147" t="s">
        <v>77</v>
      </c>
      <c r="G147" s="102">
        <v>45734</v>
      </c>
      <c r="H147" t="s">
        <v>79</v>
      </c>
      <c r="I147" s="48" t="s">
        <v>129</v>
      </c>
      <c r="J147" s="48" t="s">
        <v>1597</v>
      </c>
      <c r="O147" t="s">
        <v>573</v>
      </c>
      <c r="Q147" s="3">
        <f t="shared" si="4"/>
        <v>209.09</v>
      </c>
    </row>
    <row r="148" spans="1:22" ht="43.5" x14ac:dyDescent="0.35">
      <c r="A148" t="s">
        <v>27</v>
      </c>
      <c r="B148" t="s">
        <v>339</v>
      </c>
      <c r="C148">
        <v>5160011000</v>
      </c>
      <c r="D148" t="s">
        <v>13</v>
      </c>
      <c r="E148">
        <v>200.91</v>
      </c>
      <c r="F148" t="s">
        <v>77</v>
      </c>
      <c r="G148" s="102">
        <v>45670</v>
      </c>
      <c r="H148" t="s">
        <v>79</v>
      </c>
      <c r="I148" s="48" t="s">
        <v>711</v>
      </c>
      <c r="J148" s="48" t="s">
        <v>1422</v>
      </c>
      <c r="O148" t="s">
        <v>1424</v>
      </c>
      <c r="Q148" s="3">
        <f t="shared" si="4"/>
        <v>200.91</v>
      </c>
      <c r="S148" s="61" t="s">
        <v>44</v>
      </c>
      <c r="T148" t="s">
        <v>54</v>
      </c>
      <c r="U148" t="str">
        <f>B148</f>
        <v>AU030213</v>
      </c>
      <c r="V148" s="3">
        <f>E148</f>
        <v>200.91</v>
      </c>
    </row>
    <row r="149" spans="1:22" ht="29" x14ac:dyDescent="0.35">
      <c r="A149" t="s">
        <v>0</v>
      </c>
      <c r="B149" t="s">
        <v>434</v>
      </c>
      <c r="C149">
        <v>5160011000</v>
      </c>
      <c r="D149" t="s">
        <v>13</v>
      </c>
      <c r="E149">
        <v>200</v>
      </c>
      <c r="F149" t="s">
        <v>77</v>
      </c>
      <c r="G149" s="102">
        <v>45730</v>
      </c>
      <c r="H149" t="s">
        <v>78</v>
      </c>
      <c r="I149" s="48" t="s">
        <v>1357</v>
      </c>
      <c r="K149" s="48" t="s">
        <v>1358</v>
      </c>
      <c r="L149" s="48" t="s">
        <v>1359</v>
      </c>
      <c r="M149" s="48" t="s">
        <v>1360</v>
      </c>
      <c r="Q149" s="3">
        <f t="shared" si="4"/>
        <v>200</v>
      </c>
    </row>
    <row r="150" spans="1:22" ht="43.5" x14ac:dyDescent="0.35">
      <c r="A150" t="s">
        <v>27</v>
      </c>
      <c r="B150" t="s">
        <v>434</v>
      </c>
      <c r="C150">
        <v>5160011000</v>
      </c>
      <c r="D150" t="s">
        <v>13</v>
      </c>
      <c r="E150">
        <v>196</v>
      </c>
      <c r="F150" t="s">
        <v>77</v>
      </c>
      <c r="G150" s="102">
        <v>45733</v>
      </c>
      <c r="H150" t="s">
        <v>79</v>
      </c>
      <c r="I150" s="48" t="s">
        <v>1573</v>
      </c>
      <c r="J150" s="48" t="s">
        <v>1574</v>
      </c>
      <c r="O150" t="s">
        <v>712</v>
      </c>
      <c r="Q150" s="3">
        <f t="shared" si="4"/>
        <v>196</v>
      </c>
      <c r="S150" s="61" t="s">
        <v>44</v>
      </c>
      <c r="T150" t="s">
        <v>54</v>
      </c>
      <c r="U150" t="str">
        <f>B150</f>
        <v>AU032046</v>
      </c>
      <c r="V150" s="3">
        <f>E150</f>
        <v>196</v>
      </c>
    </row>
    <row r="151" spans="1:22" ht="29" x14ac:dyDescent="0.35">
      <c r="A151" t="s">
        <v>27</v>
      </c>
      <c r="B151" t="s">
        <v>434</v>
      </c>
      <c r="C151">
        <v>5160011000</v>
      </c>
      <c r="D151" t="s">
        <v>13</v>
      </c>
      <c r="E151">
        <v>185.25</v>
      </c>
      <c r="F151" t="s">
        <v>77</v>
      </c>
      <c r="G151" s="102">
        <v>45678</v>
      </c>
      <c r="H151" t="s">
        <v>79</v>
      </c>
      <c r="I151" s="48" t="s">
        <v>1448</v>
      </c>
      <c r="J151" s="48" t="s">
        <v>1452</v>
      </c>
      <c r="O151" t="s">
        <v>1450</v>
      </c>
      <c r="Q151" s="3">
        <f t="shared" si="4"/>
        <v>185.25</v>
      </c>
    </row>
    <row r="152" spans="1:22" ht="29" x14ac:dyDescent="0.35">
      <c r="A152" t="s">
        <v>0</v>
      </c>
      <c r="B152" t="s">
        <v>430</v>
      </c>
      <c r="C152">
        <v>5160011000</v>
      </c>
      <c r="D152" t="s">
        <v>13</v>
      </c>
      <c r="E152">
        <v>179.84</v>
      </c>
      <c r="F152" t="s">
        <v>77</v>
      </c>
      <c r="G152" s="102">
        <v>45733</v>
      </c>
      <c r="H152" t="s">
        <v>78</v>
      </c>
      <c r="I152" s="48" t="s">
        <v>1372</v>
      </c>
      <c r="K152" s="48" t="s">
        <v>1373</v>
      </c>
      <c r="L152" s="48">
        <v>1013805868</v>
      </c>
      <c r="M152" s="48" t="s">
        <v>109</v>
      </c>
      <c r="Q152" s="3">
        <f t="shared" si="4"/>
        <v>179.84</v>
      </c>
    </row>
    <row r="153" spans="1:22" ht="72.5" x14ac:dyDescent="0.35">
      <c r="A153" t="s">
        <v>27</v>
      </c>
      <c r="B153" t="s">
        <v>434</v>
      </c>
      <c r="C153">
        <v>5160011000</v>
      </c>
      <c r="D153" t="s">
        <v>13</v>
      </c>
      <c r="E153">
        <v>172.73</v>
      </c>
      <c r="F153" t="s">
        <v>77</v>
      </c>
      <c r="G153" s="102">
        <v>45747</v>
      </c>
      <c r="H153" t="s">
        <v>79</v>
      </c>
      <c r="I153" s="48" t="s">
        <v>174</v>
      </c>
      <c r="J153" s="48" t="s">
        <v>1642</v>
      </c>
      <c r="O153" t="s">
        <v>1643</v>
      </c>
      <c r="Q153" s="3">
        <f t="shared" si="4"/>
        <v>172.73</v>
      </c>
      <c r="S153" s="61" t="s">
        <v>44</v>
      </c>
      <c r="T153" t="s">
        <v>54</v>
      </c>
      <c r="U153" t="str">
        <f t="shared" ref="U153:U162" si="5">B153</f>
        <v>AU032046</v>
      </c>
      <c r="V153" s="3">
        <f t="shared" ref="V153:V162" si="6">E153</f>
        <v>172.73</v>
      </c>
    </row>
    <row r="154" spans="1:22" ht="72.5" x14ac:dyDescent="0.35">
      <c r="A154" t="s">
        <v>27</v>
      </c>
      <c r="B154" t="s">
        <v>434</v>
      </c>
      <c r="C154">
        <v>5160011000</v>
      </c>
      <c r="D154" t="s">
        <v>13</v>
      </c>
      <c r="E154">
        <v>172.73</v>
      </c>
      <c r="F154" t="s">
        <v>77</v>
      </c>
      <c r="G154" s="102">
        <v>45747</v>
      </c>
      <c r="H154" t="s">
        <v>79</v>
      </c>
      <c r="I154" s="48" t="s">
        <v>174</v>
      </c>
      <c r="J154" s="48" t="s">
        <v>1644</v>
      </c>
      <c r="O154" t="s">
        <v>1643</v>
      </c>
      <c r="Q154" s="3">
        <f t="shared" si="4"/>
        <v>172.73</v>
      </c>
      <c r="S154" s="61" t="s">
        <v>44</v>
      </c>
      <c r="T154" t="s">
        <v>54</v>
      </c>
      <c r="U154" t="str">
        <f t="shared" si="5"/>
        <v>AU032046</v>
      </c>
      <c r="V154" s="3">
        <f t="shared" si="6"/>
        <v>172.73</v>
      </c>
    </row>
    <row r="155" spans="1:22" ht="72.5" x14ac:dyDescent="0.35">
      <c r="A155" t="s">
        <v>27</v>
      </c>
      <c r="B155" t="s">
        <v>434</v>
      </c>
      <c r="C155">
        <v>5160011000</v>
      </c>
      <c r="D155" t="s">
        <v>13</v>
      </c>
      <c r="E155">
        <v>172.73</v>
      </c>
      <c r="F155" t="s">
        <v>77</v>
      </c>
      <c r="G155" s="102">
        <v>45747</v>
      </c>
      <c r="H155" t="s">
        <v>79</v>
      </c>
      <c r="I155" s="48" t="s">
        <v>174</v>
      </c>
      <c r="J155" s="48" t="s">
        <v>1645</v>
      </c>
      <c r="O155" t="s">
        <v>1643</v>
      </c>
      <c r="Q155" s="3">
        <f t="shared" si="4"/>
        <v>172.73</v>
      </c>
      <c r="S155" s="61" t="s">
        <v>44</v>
      </c>
      <c r="T155" t="s">
        <v>54</v>
      </c>
      <c r="U155" t="str">
        <f t="shared" si="5"/>
        <v>AU032046</v>
      </c>
      <c r="V155" s="3">
        <f t="shared" si="6"/>
        <v>172.73</v>
      </c>
    </row>
    <row r="156" spans="1:22" ht="72.5" x14ac:dyDescent="0.35">
      <c r="A156" t="s">
        <v>27</v>
      </c>
      <c r="B156" t="s">
        <v>434</v>
      </c>
      <c r="C156">
        <v>5160011000</v>
      </c>
      <c r="D156" t="s">
        <v>13</v>
      </c>
      <c r="E156">
        <v>172.73</v>
      </c>
      <c r="F156" t="s">
        <v>77</v>
      </c>
      <c r="G156" s="102">
        <v>45747</v>
      </c>
      <c r="H156" t="s">
        <v>79</v>
      </c>
      <c r="I156" s="48" t="s">
        <v>174</v>
      </c>
      <c r="J156" s="48" t="s">
        <v>1646</v>
      </c>
      <c r="O156" t="s">
        <v>1643</v>
      </c>
      <c r="Q156" s="3">
        <f t="shared" si="4"/>
        <v>172.73</v>
      </c>
      <c r="S156" s="61" t="s">
        <v>44</v>
      </c>
      <c r="T156" t="s">
        <v>54</v>
      </c>
      <c r="U156" t="str">
        <f t="shared" si="5"/>
        <v>AU032046</v>
      </c>
      <c r="V156" s="3">
        <f t="shared" si="6"/>
        <v>172.73</v>
      </c>
    </row>
    <row r="157" spans="1:22" ht="72.5" x14ac:dyDescent="0.35">
      <c r="A157" t="s">
        <v>27</v>
      </c>
      <c r="B157" t="s">
        <v>434</v>
      </c>
      <c r="C157">
        <v>5160011000</v>
      </c>
      <c r="D157" t="s">
        <v>13</v>
      </c>
      <c r="E157">
        <v>172.73</v>
      </c>
      <c r="F157" t="s">
        <v>77</v>
      </c>
      <c r="G157" s="102">
        <v>45747</v>
      </c>
      <c r="H157" t="s">
        <v>79</v>
      </c>
      <c r="I157" s="48" t="s">
        <v>174</v>
      </c>
      <c r="J157" s="48" t="s">
        <v>1647</v>
      </c>
      <c r="O157" t="s">
        <v>1643</v>
      </c>
      <c r="Q157" s="3">
        <f t="shared" si="4"/>
        <v>172.73</v>
      </c>
      <c r="S157" s="61" t="s">
        <v>44</v>
      </c>
      <c r="T157" t="s">
        <v>54</v>
      </c>
      <c r="U157" t="str">
        <f t="shared" si="5"/>
        <v>AU032046</v>
      </c>
      <c r="V157" s="3">
        <f t="shared" si="6"/>
        <v>172.73</v>
      </c>
    </row>
    <row r="158" spans="1:22" ht="72.5" x14ac:dyDescent="0.35">
      <c r="A158" t="s">
        <v>27</v>
      </c>
      <c r="B158" t="s">
        <v>434</v>
      </c>
      <c r="C158">
        <v>5160011000</v>
      </c>
      <c r="D158" t="s">
        <v>13</v>
      </c>
      <c r="E158">
        <v>172.73</v>
      </c>
      <c r="F158" t="s">
        <v>77</v>
      </c>
      <c r="G158" s="102">
        <v>45747</v>
      </c>
      <c r="H158" t="s">
        <v>79</v>
      </c>
      <c r="I158" s="48" t="s">
        <v>174</v>
      </c>
      <c r="J158" s="48" t="s">
        <v>1648</v>
      </c>
      <c r="O158" t="s">
        <v>1643</v>
      </c>
      <c r="Q158" s="3">
        <f t="shared" si="4"/>
        <v>172.73</v>
      </c>
      <c r="S158" s="61" t="s">
        <v>44</v>
      </c>
      <c r="T158" t="s">
        <v>54</v>
      </c>
      <c r="U158" t="str">
        <f t="shared" si="5"/>
        <v>AU032046</v>
      </c>
      <c r="V158" s="3">
        <f t="shared" si="6"/>
        <v>172.73</v>
      </c>
    </row>
    <row r="159" spans="1:22" ht="72.5" x14ac:dyDescent="0.35">
      <c r="A159" t="s">
        <v>27</v>
      </c>
      <c r="B159" t="s">
        <v>434</v>
      </c>
      <c r="C159">
        <v>5160011000</v>
      </c>
      <c r="D159" t="s">
        <v>13</v>
      </c>
      <c r="E159">
        <v>172.73</v>
      </c>
      <c r="F159" t="s">
        <v>77</v>
      </c>
      <c r="G159" s="102">
        <v>45747</v>
      </c>
      <c r="H159" t="s">
        <v>79</v>
      </c>
      <c r="I159" s="48" t="s">
        <v>174</v>
      </c>
      <c r="J159" s="48" t="s">
        <v>1649</v>
      </c>
      <c r="O159" t="s">
        <v>1643</v>
      </c>
      <c r="Q159" s="3">
        <f t="shared" si="4"/>
        <v>172.73</v>
      </c>
      <c r="S159" s="61" t="s">
        <v>44</v>
      </c>
      <c r="T159" t="s">
        <v>54</v>
      </c>
      <c r="U159" t="str">
        <f t="shared" si="5"/>
        <v>AU032046</v>
      </c>
      <c r="V159" s="3">
        <f t="shared" si="6"/>
        <v>172.73</v>
      </c>
    </row>
    <row r="160" spans="1:22" ht="72.5" x14ac:dyDescent="0.35">
      <c r="A160" t="s">
        <v>27</v>
      </c>
      <c r="B160" t="s">
        <v>434</v>
      </c>
      <c r="C160">
        <v>5160011000</v>
      </c>
      <c r="D160" t="s">
        <v>13</v>
      </c>
      <c r="E160">
        <v>172.73</v>
      </c>
      <c r="F160" t="s">
        <v>77</v>
      </c>
      <c r="G160" s="102">
        <v>45747</v>
      </c>
      <c r="H160" t="s">
        <v>79</v>
      </c>
      <c r="I160" s="48" t="s">
        <v>174</v>
      </c>
      <c r="J160" s="48" t="s">
        <v>1650</v>
      </c>
      <c r="O160" t="s">
        <v>1643</v>
      </c>
      <c r="Q160" s="3">
        <f t="shared" si="4"/>
        <v>172.73</v>
      </c>
      <c r="S160" s="61" t="s">
        <v>44</v>
      </c>
      <c r="T160" t="s">
        <v>54</v>
      </c>
      <c r="U160" t="str">
        <f t="shared" si="5"/>
        <v>AU032046</v>
      </c>
      <c r="V160" s="3">
        <f t="shared" si="6"/>
        <v>172.73</v>
      </c>
    </row>
    <row r="161" spans="1:22" ht="72.5" x14ac:dyDescent="0.35">
      <c r="A161" t="s">
        <v>27</v>
      </c>
      <c r="B161" t="s">
        <v>434</v>
      </c>
      <c r="C161">
        <v>5160011000</v>
      </c>
      <c r="D161" t="s">
        <v>13</v>
      </c>
      <c r="E161">
        <v>172.73</v>
      </c>
      <c r="F161" t="s">
        <v>77</v>
      </c>
      <c r="G161" s="102">
        <v>45747</v>
      </c>
      <c r="H161" t="s">
        <v>79</v>
      </c>
      <c r="I161" s="48" t="s">
        <v>174</v>
      </c>
      <c r="J161" s="48" t="s">
        <v>1651</v>
      </c>
      <c r="O161" t="s">
        <v>1643</v>
      </c>
      <c r="Q161" s="3">
        <f t="shared" si="4"/>
        <v>172.73</v>
      </c>
      <c r="S161" s="61" t="s">
        <v>44</v>
      </c>
      <c r="T161" t="s">
        <v>54</v>
      </c>
      <c r="U161" t="str">
        <f t="shared" si="5"/>
        <v>AU032046</v>
      </c>
      <c r="V161" s="3">
        <f t="shared" si="6"/>
        <v>172.73</v>
      </c>
    </row>
    <row r="162" spans="1:22" ht="72.5" x14ac:dyDescent="0.35">
      <c r="A162" t="s">
        <v>27</v>
      </c>
      <c r="B162" t="s">
        <v>434</v>
      </c>
      <c r="C162">
        <v>5160011000</v>
      </c>
      <c r="D162" t="s">
        <v>13</v>
      </c>
      <c r="E162">
        <v>172.73</v>
      </c>
      <c r="F162" t="s">
        <v>77</v>
      </c>
      <c r="G162" s="102">
        <v>45747</v>
      </c>
      <c r="H162" t="s">
        <v>79</v>
      </c>
      <c r="I162" s="48" t="s">
        <v>174</v>
      </c>
      <c r="J162" s="48" t="s">
        <v>1652</v>
      </c>
      <c r="O162" t="s">
        <v>1643</v>
      </c>
      <c r="Q162" s="3">
        <f t="shared" si="4"/>
        <v>172.73</v>
      </c>
      <c r="S162" s="61" t="s">
        <v>44</v>
      </c>
      <c r="T162" t="s">
        <v>54</v>
      </c>
      <c r="U162" t="str">
        <f t="shared" si="5"/>
        <v>AU032046</v>
      </c>
      <c r="V162" s="3">
        <f t="shared" si="6"/>
        <v>172.73</v>
      </c>
    </row>
    <row r="163" spans="1:22" ht="29" x14ac:dyDescent="0.35">
      <c r="A163" t="s">
        <v>27</v>
      </c>
      <c r="B163" t="s">
        <v>316</v>
      </c>
      <c r="C163">
        <v>5160011000</v>
      </c>
      <c r="D163" t="s">
        <v>13</v>
      </c>
      <c r="E163">
        <v>150</v>
      </c>
      <c r="F163" t="s">
        <v>77</v>
      </c>
      <c r="G163" s="102">
        <v>45705</v>
      </c>
      <c r="H163" t="s">
        <v>79</v>
      </c>
      <c r="I163" s="48" t="s">
        <v>700</v>
      </c>
      <c r="J163" s="48" t="s">
        <v>1506</v>
      </c>
      <c r="O163" t="s">
        <v>1507</v>
      </c>
      <c r="Q163" s="3">
        <f t="shared" si="4"/>
        <v>150</v>
      </c>
    </row>
    <row r="164" spans="1:22" ht="43.5" x14ac:dyDescent="0.35">
      <c r="A164" t="s">
        <v>0</v>
      </c>
      <c r="B164" t="s">
        <v>434</v>
      </c>
      <c r="C164">
        <v>5160011000</v>
      </c>
      <c r="D164" t="s">
        <v>13</v>
      </c>
      <c r="E164">
        <v>145.99</v>
      </c>
      <c r="F164" t="s">
        <v>77</v>
      </c>
      <c r="G164" s="102">
        <v>45664</v>
      </c>
      <c r="H164" t="s">
        <v>78</v>
      </c>
      <c r="I164" s="48" t="s">
        <v>879</v>
      </c>
      <c r="K164" s="48" t="s">
        <v>880</v>
      </c>
      <c r="L164" s="48">
        <v>2100236</v>
      </c>
      <c r="M164" s="48" t="s">
        <v>81</v>
      </c>
      <c r="Q164" s="3">
        <f t="shared" si="4"/>
        <v>145.99</v>
      </c>
    </row>
    <row r="165" spans="1:22" ht="43.5" x14ac:dyDescent="0.35">
      <c r="A165" t="s">
        <v>27</v>
      </c>
      <c r="B165" t="s">
        <v>434</v>
      </c>
      <c r="C165">
        <v>5160011000</v>
      </c>
      <c r="D165" t="s">
        <v>13</v>
      </c>
      <c r="E165">
        <v>128.59</v>
      </c>
      <c r="F165" t="s">
        <v>77</v>
      </c>
      <c r="G165" s="102">
        <v>45733</v>
      </c>
      <c r="H165" t="s">
        <v>79</v>
      </c>
      <c r="I165" s="48" t="s">
        <v>541</v>
      </c>
      <c r="J165" s="48" t="s">
        <v>1582</v>
      </c>
      <c r="O165" t="s">
        <v>1583</v>
      </c>
      <c r="Q165" s="3">
        <f t="shared" si="4"/>
        <v>128.59</v>
      </c>
      <c r="S165" s="61" t="s">
        <v>44</v>
      </c>
      <c r="T165" t="s">
        <v>54</v>
      </c>
      <c r="U165" t="str">
        <f>B165</f>
        <v>AU032046</v>
      </c>
      <c r="V165" s="3">
        <f>E165</f>
        <v>128.59</v>
      </c>
    </row>
    <row r="166" spans="1:22" ht="87" x14ac:dyDescent="0.35">
      <c r="A166" t="s">
        <v>27</v>
      </c>
      <c r="B166" t="s">
        <v>529</v>
      </c>
      <c r="C166">
        <v>5160011000</v>
      </c>
      <c r="D166" t="s">
        <v>13</v>
      </c>
      <c r="E166">
        <v>119.09</v>
      </c>
      <c r="F166" t="s">
        <v>77</v>
      </c>
      <c r="G166" s="102">
        <v>45733</v>
      </c>
      <c r="H166" t="s">
        <v>79</v>
      </c>
      <c r="I166" s="48" t="s">
        <v>559</v>
      </c>
      <c r="J166" s="48" t="s">
        <v>1580</v>
      </c>
      <c r="O166" t="s">
        <v>1581</v>
      </c>
      <c r="Q166" s="3">
        <f t="shared" si="4"/>
        <v>119.09</v>
      </c>
      <c r="S166" s="61" t="s">
        <v>44</v>
      </c>
      <c r="T166" t="s">
        <v>54</v>
      </c>
      <c r="U166" t="str">
        <f t="shared" ref="U166:U167" si="7">B166</f>
        <v>AU030424</v>
      </c>
      <c r="V166" s="3">
        <f t="shared" ref="V166:V167" si="8">E166</f>
        <v>119.09</v>
      </c>
    </row>
    <row r="167" spans="1:22" ht="43.5" x14ac:dyDescent="0.35">
      <c r="A167" t="s">
        <v>27</v>
      </c>
      <c r="B167" t="s">
        <v>434</v>
      </c>
      <c r="C167">
        <v>5160011000</v>
      </c>
      <c r="D167" t="s">
        <v>13</v>
      </c>
      <c r="E167">
        <v>113.64</v>
      </c>
      <c r="F167" t="s">
        <v>77</v>
      </c>
      <c r="G167" s="102">
        <v>45714</v>
      </c>
      <c r="H167" t="s">
        <v>79</v>
      </c>
      <c r="I167" s="48" t="s">
        <v>539</v>
      </c>
      <c r="J167" s="48" t="s">
        <v>1519</v>
      </c>
      <c r="O167" t="s">
        <v>516</v>
      </c>
      <c r="Q167" s="3">
        <f t="shared" si="4"/>
        <v>113.64</v>
      </c>
      <c r="S167" s="61" t="s">
        <v>44</v>
      </c>
      <c r="T167" t="s">
        <v>54</v>
      </c>
      <c r="U167" t="str">
        <f t="shared" si="7"/>
        <v>AU032046</v>
      </c>
      <c r="V167" s="3">
        <f t="shared" si="8"/>
        <v>113.64</v>
      </c>
    </row>
    <row r="168" spans="1:22" ht="43.5" x14ac:dyDescent="0.35">
      <c r="A168" t="s">
        <v>0</v>
      </c>
      <c r="B168" t="s">
        <v>434</v>
      </c>
      <c r="C168">
        <v>5160011000</v>
      </c>
      <c r="D168" t="s">
        <v>13</v>
      </c>
      <c r="E168">
        <v>109.77</v>
      </c>
      <c r="F168" t="s">
        <v>77</v>
      </c>
      <c r="G168" s="102">
        <v>45720</v>
      </c>
      <c r="H168" t="s">
        <v>78</v>
      </c>
      <c r="I168" s="48" t="s">
        <v>1228</v>
      </c>
      <c r="K168" s="48" t="s">
        <v>1229</v>
      </c>
      <c r="L168" s="48">
        <v>2101169</v>
      </c>
      <c r="M168" s="48" t="s">
        <v>81</v>
      </c>
      <c r="Q168" s="3">
        <f t="shared" si="4"/>
        <v>109.77</v>
      </c>
    </row>
    <row r="169" spans="1:22" ht="29" x14ac:dyDescent="0.35">
      <c r="A169" t="s">
        <v>27</v>
      </c>
      <c r="B169" t="s">
        <v>434</v>
      </c>
      <c r="C169">
        <v>5160011000</v>
      </c>
      <c r="D169" t="s">
        <v>13</v>
      </c>
      <c r="E169">
        <v>99.55</v>
      </c>
      <c r="F169" t="s">
        <v>77</v>
      </c>
      <c r="G169" s="102">
        <v>45723</v>
      </c>
      <c r="H169" t="s">
        <v>79</v>
      </c>
      <c r="I169" s="48" t="s">
        <v>1546</v>
      </c>
      <c r="J169" s="48" t="s">
        <v>1547</v>
      </c>
      <c r="O169" t="s">
        <v>1548</v>
      </c>
      <c r="Q169" s="3">
        <f t="shared" si="4"/>
        <v>99.55</v>
      </c>
    </row>
    <row r="170" spans="1:22" ht="43.5" x14ac:dyDescent="0.35">
      <c r="A170" t="s">
        <v>0</v>
      </c>
      <c r="B170" t="s">
        <v>434</v>
      </c>
      <c r="C170">
        <v>5160011000</v>
      </c>
      <c r="D170" t="s">
        <v>13</v>
      </c>
      <c r="E170">
        <v>93.08</v>
      </c>
      <c r="F170" t="s">
        <v>77</v>
      </c>
      <c r="G170" s="102">
        <v>45720</v>
      </c>
      <c r="H170" t="s">
        <v>78</v>
      </c>
      <c r="I170" s="48" t="s">
        <v>1230</v>
      </c>
      <c r="K170" s="48" t="s">
        <v>1231</v>
      </c>
      <c r="L170" s="48">
        <v>2101380</v>
      </c>
      <c r="M170" s="48" t="s">
        <v>81</v>
      </c>
      <c r="Q170" s="3">
        <f t="shared" si="4"/>
        <v>93.08</v>
      </c>
    </row>
    <row r="171" spans="1:22" ht="43.5" x14ac:dyDescent="0.35">
      <c r="A171" t="s">
        <v>27</v>
      </c>
      <c r="B171" t="s">
        <v>607</v>
      </c>
      <c r="C171">
        <v>5160011000</v>
      </c>
      <c r="D171" t="s">
        <v>13</v>
      </c>
      <c r="E171">
        <v>90.9</v>
      </c>
      <c r="F171" t="s">
        <v>77</v>
      </c>
      <c r="G171" s="102">
        <v>45699</v>
      </c>
      <c r="H171" t="s">
        <v>79</v>
      </c>
      <c r="I171" s="48" t="s">
        <v>101</v>
      </c>
      <c r="J171" s="48" t="s">
        <v>1495</v>
      </c>
      <c r="O171" t="s">
        <v>372</v>
      </c>
      <c r="Q171" s="3">
        <f t="shared" si="4"/>
        <v>90.9</v>
      </c>
    </row>
    <row r="172" spans="1:22" ht="58" x14ac:dyDescent="0.35">
      <c r="A172" t="s">
        <v>27</v>
      </c>
      <c r="B172" t="s">
        <v>316</v>
      </c>
      <c r="C172">
        <v>5160011000</v>
      </c>
      <c r="D172" t="s">
        <v>13</v>
      </c>
      <c r="E172">
        <v>81.66</v>
      </c>
      <c r="F172" t="s">
        <v>77</v>
      </c>
      <c r="G172" s="102">
        <v>45705</v>
      </c>
      <c r="H172" t="s">
        <v>79</v>
      </c>
      <c r="I172" s="48" t="s">
        <v>353</v>
      </c>
      <c r="J172" s="48" t="s">
        <v>1503</v>
      </c>
      <c r="O172" t="s">
        <v>1504</v>
      </c>
      <c r="Q172" s="3">
        <f t="shared" si="4"/>
        <v>81.66</v>
      </c>
      <c r="S172" s="61" t="s">
        <v>44</v>
      </c>
      <c r="T172" t="s">
        <v>54</v>
      </c>
      <c r="U172" t="str">
        <f t="shared" ref="U172:U173" si="9">B172</f>
        <v>AU030222</v>
      </c>
      <c r="V172" s="3">
        <f t="shared" ref="V172:V173" si="10">E172</f>
        <v>81.66</v>
      </c>
    </row>
    <row r="173" spans="1:22" ht="58" x14ac:dyDescent="0.35">
      <c r="A173" t="s">
        <v>27</v>
      </c>
      <c r="B173" t="s">
        <v>316</v>
      </c>
      <c r="C173">
        <v>5160011000</v>
      </c>
      <c r="D173" t="s">
        <v>13</v>
      </c>
      <c r="E173">
        <v>81.66</v>
      </c>
      <c r="F173" t="s">
        <v>77</v>
      </c>
      <c r="G173" s="102">
        <v>45705</v>
      </c>
      <c r="H173" t="s">
        <v>79</v>
      </c>
      <c r="I173" s="48" t="s">
        <v>353</v>
      </c>
      <c r="J173" s="48" t="s">
        <v>1505</v>
      </c>
      <c r="O173" t="s">
        <v>1504</v>
      </c>
      <c r="Q173" s="3">
        <f t="shared" si="4"/>
        <v>81.66</v>
      </c>
      <c r="S173" s="61" t="s">
        <v>44</v>
      </c>
      <c r="T173" t="s">
        <v>54</v>
      </c>
      <c r="U173" t="str">
        <f t="shared" si="9"/>
        <v>AU030222</v>
      </c>
      <c r="V173" s="3">
        <f t="shared" si="10"/>
        <v>81.66</v>
      </c>
    </row>
    <row r="174" spans="1:22" ht="29" x14ac:dyDescent="0.35">
      <c r="A174" t="s">
        <v>27</v>
      </c>
      <c r="B174" t="s">
        <v>434</v>
      </c>
      <c r="C174">
        <v>5160011000</v>
      </c>
      <c r="D174" t="s">
        <v>13</v>
      </c>
      <c r="E174">
        <v>67.349999999999994</v>
      </c>
      <c r="F174" t="s">
        <v>77</v>
      </c>
      <c r="G174" s="102">
        <v>45678</v>
      </c>
      <c r="H174" t="s">
        <v>79</v>
      </c>
      <c r="I174" s="48" t="s">
        <v>1448</v>
      </c>
      <c r="J174" s="48" t="s">
        <v>1451</v>
      </c>
      <c r="O174" t="s">
        <v>1450</v>
      </c>
      <c r="Q174" s="3">
        <f t="shared" si="4"/>
        <v>67.349999999999994</v>
      </c>
    </row>
    <row r="175" spans="1:22" ht="87" x14ac:dyDescent="0.35">
      <c r="A175" t="s">
        <v>27</v>
      </c>
      <c r="B175" t="s">
        <v>317</v>
      </c>
      <c r="C175">
        <v>5160011000</v>
      </c>
      <c r="D175" t="s">
        <v>13</v>
      </c>
      <c r="E175">
        <v>63.64</v>
      </c>
      <c r="F175" t="s">
        <v>77</v>
      </c>
      <c r="G175" s="102">
        <v>45726</v>
      </c>
      <c r="H175" t="s">
        <v>79</v>
      </c>
      <c r="I175" s="48" t="s">
        <v>1559</v>
      </c>
      <c r="J175" s="48" t="s">
        <v>1560</v>
      </c>
      <c r="O175" t="s">
        <v>1561</v>
      </c>
      <c r="Q175" s="3">
        <f t="shared" si="4"/>
        <v>63.64</v>
      </c>
    </row>
    <row r="176" spans="1:22" ht="29" x14ac:dyDescent="0.35">
      <c r="A176" t="s">
        <v>27</v>
      </c>
      <c r="B176" t="s">
        <v>434</v>
      </c>
      <c r="C176">
        <v>5160011000</v>
      </c>
      <c r="D176" t="s">
        <v>13</v>
      </c>
      <c r="E176">
        <v>-54.55</v>
      </c>
      <c r="F176" t="s">
        <v>77</v>
      </c>
      <c r="G176" s="102">
        <v>45734</v>
      </c>
      <c r="H176" t="s">
        <v>79</v>
      </c>
      <c r="I176" s="48" t="s">
        <v>129</v>
      </c>
      <c r="J176" s="48" t="s">
        <v>1590</v>
      </c>
      <c r="O176" t="s">
        <v>573</v>
      </c>
      <c r="Q176" s="3">
        <f t="shared" si="4"/>
        <v>54.55</v>
      </c>
      <c r="S176" s="61" t="s">
        <v>44</v>
      </c>
      <c r="T176" t="s">
        <v>54</v>
      </c>
      <c r="U176" t="str">
        <f t="shared" ref="U176:U177" si="11">B176</f>
        <v>AU032046</v>
      </c>
      <c r="V176" s="3">
        <f t="shared" ref="V176:V177" si="12">E176</f>
        <v>-54.55</v>
      </c>
    </row>
    <row r="177" spans="1:32" ht="29" x14ac:dyDescent="0.35">
      <c r="A177" t="s">
        <v>27</v>
      </c>
      <c r="B177" t="s">
        <v>434</v>
      </c>
      <c r="C177">
        <v>5160011000</v>
      </c>
      <c r="D177" t="s">
        <v>13</v>
      </c>
      <c r="E177">
        <v>-54.55</v>
      </c>
      <c r="F177" t="s">
        <v>77</v>
      </c>
      <c r="G177" s="102">
        <v>45734</v>
      </c>
      <c r="H177" t="s">
        <v>79</v>
      </c>
      <c r="I177" s="48" t="s">
        <v>129</v>
      </c>
      <c r="J177" s="48" t="s">
        <v>1592</v>
      </c>
      <c r="O177" t="s">
        <v>573</v>
      </c>
      <c r="Q177" s="3">
        <f t="shared" si="4"/>
        <v>54.55</v>
      </c>
      <c r="S177" s="61" t="s">
        <v>44</v>
      </c>
      <c r="T177" t="s">
        <v>54</v>
      </c>
      <c r="U177" t="str">
        <f t="shared" si="11"/>
        <v>AU032046</v>
      </c>
      <c r="V177" s="3">
        <f t="shared" si="12"/>
        <v>-54.55</v>
      </c>
    </row>
    <row r="178" spans="1:32" ht="29" x14ac:dyDescent="0.35">
      <c r="A178" t="s">
        <v>27</v>
      </c>
      <c r="B178" t="s">
        <v>434</v>
      </c>
      <c r="C178">
        <v>5160011000</v>
      </c>
      <c r="D178" t="s">
        <v>13</v>
      </c>
      <c r="E178">
        <v>53.64</v>
      </c>
      <c r="F178" t="s">
        <v>77</v>
      </c>
      <c r="G178" s="102">
        <v>45733</v>
      </c>
      <c r="H178" t="s">
        <v>79</v>
      </c>
      <c r="I178" s="48" t="s">
        <v>518</v>
      </c>
      <c r="J178" s="48" t="s">
        <v>1585</v>
      </c>
      <c r="O178" t="s">
        <v>291</v>
      </c>
      <c r="Q178" s="3">
        <f t="shared" si="4"/>
        <v>53.64</v>
      </c>
    </row>
    <row r="179" spans="1:32" ht="29" x14ac:dyDescent="0.35">
      <c r="A179" t="s">
        <v>27</v>
      </c>
      <c r="B179" t="s">
        <v>434</v>
      </c>
      <c r="C179">
        <v>5160011000</v>
      </c>
      <c r="D179" t="s">
        <v>13</v>
      </c>
      <c r="E179">
        <v>50.86</v>
      </c>
      <c r="F179" t="s">
        <v>77</v>
      </c>
      <c r="G179" s="102">
        <v>45747</v>
      </c>
      <c r="H179" t="s">
        <v>79</v>
      </c>
      <c r="I179" s="48" t="s">
        <v>1637</v>
      </c>
      <c r="J179" s="48" t="s">
        <v>1640</v>
      </c>
      <c r="O179" t="s">
        <v>1639</v>
      </c>
      <c r="Q179" s="3">
        <f t="shared" si="4"/>
        <v>50.86</v>
      </c>
    </row>
    <row r="180" spans="1:32" ht="29" x14ac:dyDescent="0.35">
      <c r="A180" t="s">
        <v>0</v>
      </c>
      <c r="B180" t="s">
        <v>434</v>
      </c>
      <c r="C180">
        <v>5160011000</v>
      </c>
      <c r="D180" t="s">
        <v>13</v>
      </c>
      <c r="E180">
        <v>46.1</v>
      </c>
      <c r="F180" t="s">
        <v>77</v>
      </c>
      <c r="G180" s="102">
        <v>45720</v>
      </c>
      <c r="H180" t="s">
        <v>78</v>
      </c>
      <c r="I180" s="48" t="s">
        <v>1222</v>
      </c>
      <c r="K180" s="48" t="s">
        <v>1223</v>
      </c>
      <c r="L180" s="48">
        <v>67136</v>
      </c>
      <c r="M180" s="48" t="s">
        <v>110</v>
      </c>
      <c r="Q180" s="3">
        <f t="shared" si="4"/>
        <v>46.1</v>
      </c>
    </row>
    <row r="181" spans="1:32" ht="29" x14ac:dyDescent="0.35">
      <c r="A181" t="s">
        <v>27</v>
      </c>
      <c r="B181" t="s">
        <v>421</v>
      </c>
      <c r="C181">
        <v>5160011000</v>
      </c>
      <c r="D181" t="s">
        <v>13</v>
      </c>
      <c r="E181">
        <v>45.45</v>
      </c>
      <c r="F181" t="s">
        <v>77</v>
      </c>
      <c r="G181" s="102">
        <v>45705</v>
      </c>
      <c r="H181" t="s">
        <v>79</v>
      </c>
      <c r="I181" s="48" t="s">
        <v>522</v>
      </c>
      <c r="J181" s="48" t="s">
        <v>1502</v>
      </c>
      <c r="O181" t="s">
        <v>372</v>
      </c>
      <c r="Q181" s="3">
        <f t="shared" si="4"/>
        <v>45.45</v>
      </c>
    </row>
    <row r="182" spans="1:32" ht="29" x14ac:dyDescent="0.35">
      <c r="A182" t="s">
        <v>27</v>
      </c>
      <c r="B182" t="s">
        <v>434</v>
      </c>
      <c r="C182">
        <v>5160011000</v>
      </c>
      <c r="D182" t="s">
        <v>13</v>
      </c>
      <c r="E182">
        <v>43.6</v>
      </c>
      <c r="F182" t="s">
        <v>77</v>
      </c>
      <c r="G182" s="102">
        <v>45747</v>
      </c>
      <c r="H182" t="s">
        <v>79</v>
      </c>
      <c r="I182" s="48" t="s">
        <v>1637</v>
      </c>
      <c r="J182" s="48" t="s">
        <v>1638</v>
      </c>
      <c r="M182" s="48" t="s">
        <v>1639</v>
      </c>
      <c r="Q182" s="3">
        <f t="shared" si="4"/>
        <v>43.6</v>
      </c>
    </row>
    <row r="183" spans="1:32" ht="43.5" x14ac:dyDescent="0.35">
      <c r="A183" t="s">
        <v>27</v>
      </c>
      <c r="B183" t="s">
        <v>434</v>
      </c>
      <c r="C183">
        <v>5160011000</v>
      </c>
      <c r="D183" t="s">
        <v>13</v>
      </c>
      <c r="E183">
        <v>42.81</v>
      </c>
      <c r="F183" t="s">
        <v>77</v>
      </c>
      <c r="G183" s="102">
        <v>45678</v>
      </c>
      <c r="H183" t="s">
        <v>79</v>
      </c>
      <c r="I183" s="48" t="s">
        <v>1453</v>
      </c>
      <c r="J183" s="48" t="s">
        <v>1461</v>
      </c>
      <c r="M183" s="48" t="s">
        <v>1455</v>
      </c>
      <c r="Q183" s="3">
        <f t="shared" si="4"/>
        <v>42.81</v>
      </c>
      <c r="S183" s="61" t="s">
        <v>44</v>
      </c>
      <c r="T183" t="s">
        <v>54</v>
      </c>
      <c r="U183" t="str">
        <f t="shared" ref="U183" si="13">B183</f>
        <v>AU032046</v>
      </c>
      <c r="V183" s="3">
        <f t="shared" ref="V183" si="14">E183</f>
        <v>42.81</v>
      </c>
    </row>
    <row r="184" spans="1:32" ht="29" x14ac:dyDescent="0.35">
      <c r="A184" t="s">
        <v>27</v>
      </c>
      <c r="B184" t="s">
        <v>321</v>
      </c>
      <c r="C184">
        <v>5160011000</v>
      </c>
      <c r="D184" t="s">
        <v>13</v>
      </c>
      <c r="E184">
        <v>40.909999999999997</v>
      </c>
      <c r="F184" t="s">
        <v>77</v>
      </c>
      <c r="G184" s="102">
        <v>45740</v>
      </c>
      <c r="H184" t="s">
        <v>79</v>
      </c>
      <c r="I184" s="48" t="s">
        <v>550</v>
      </c>
      <c r="J184" s="48" t="s">
        <v>1604</v>
      </c>
      <c r="M184" s="48" t="s">
        <v>302</v>
      </c>
      <c r="Q184" s="3">
        <f t="shared" si="4"/>
        <v>40.909999999999997</v>
      </c>
    </row>
    <row r="185" spans="1:32" ht="29" x14ac:dyDescent="0.35">
      <c r="A185" t="s">
        <v>27</v>
      </c>
      <c r="B185" t="s">
        <v>385</v>
      </c>
      <c r="C185">
        <v>5160011000</v>
      </c>
      <c r="D185" t="s">
        <v>13</v>
      </c>
      <c r="E185">
        <v>37.270000000000003</v>
      </c>
      <c r="F185" t="s">
        <v>77</v>
      </c>
      <c r="G185" s="102">
        <v>45674</v>
      </c>
      <c r="H185" t="s">
        <v>79</v>
      </c>
      <c r="I185" s="48" t="s">
        <v>563</v>
      </c>
      <c r="J185" s="48" t="s">
        <v>1431</v>
      </c>
      <c r="M185" s="48" t="s">
        <v>547</v>
      </c>
      <c r="Q185" s="3">
        <f t="shared" si="4"/>
        <v>37.270000000000003</v>
      </c>
    </row>
    <row r="186" spans="1:32" ht="29" x14ac:dyDescent="0.35">
      <c r="A186" t="s">
        <v>27</v>
      </c>
      <c r="B186" t="s">
        <v>356</v>
      </c>
      <c r="C186">
        <v>5160011000</v>
      </c>
      <c r="D186" t="s">
        <v>13</v>
      </c>
      <c r="E186">
        <v>36.36</v>
      </c>
      <c r="F186" t="s">
        <v>77</v>
      </c>
      <c r="G186" s="102">
        <v>45674</v>
      </c>
      <c r="H186" t="s">
        <v>79</v>
      </c>
      <c r="I186" s="48" t="s">
        <v>487</v>
      </c>
      <c r="J186" s="48" t="s">
        <v>1432</v>
      </c>
      <c r="M186" s="48" t="s">
        <v>349</v>
      </c>
      <c r="Q186" s="3">
        <f t="shared" si="4"/>
        <v>36.36</v>
      </c>
      <c r="S186" s="61" t="s">
        <v>44</v>
      </c>
      <c r="T186" t="s">
        <v>54</v>
      </c>
      <c r="U186" t="str">
        <f t="shared" ref="U186" si="15">B186</f>
        <v>AU071196</v>
      </c>
      <c r="V186" s="3">
        <f t="shared" ref="V186" si="16">E186</f>
        <v>36.36</v>
      </c>
    </row>
    <row r="187" spans="1:32" s="81" customFormat="1" ht="43.5" x14ac:dyDescent="0.35">
      <c r="A187" t="s">
        <v>27</v>
      </c>
      <c r="B187" t="s">
        <v>360</v>
      </c>
      <c r="C187">
        <v>5160011000</v>
      </c>
      <c r="D187" t="s">
        <v>13</v>
      </c>
      <c r="E187">
        <v>36.36</v>
      </c>
      <c r="F187" t="s">
        <v>77</v>
      </c>
      <c r="G187" s="102">
        <v>45694</v>
      </c>
      <c r="H187" t="s">
        <v>79</v>
      </c>
      <c r="I187" s="48" t="s">
        <v>1483</v>
      </c>
      <c r="J187" s="48" t="s">
        <v>1484</v>
      </c>
      <c r="K187" s="48"/>
      <c r="L187" s="48"/>
      <c r="M187" s="48" t="s">
        <v>1485</v>
      </c>
      <c r="N187" s="48"/>
      <c r="P187" s="5"/>
      <c r="Q187" s="3">
        <f t="shared" si="4"/>
        <v>36.36</v>
      </c>
      <c r="R187" s="61"/>
      <c r="S187" s="61"/>
      <c r="T187"/>
      <c r="U187"/>
      <c r="V187" s="3"/>
      <c r="W187"/>
      <c r="X187"/>
      <c r="Y187"/>
      <c r="Z187"/>
      <c r="AA187"/>
      <c r="AB187"/>
      <c r="AC187"/>
      <c r="AD187"/>
      <c r="AE187"/>
      <c r="AF187"/>
    </row>
    <row r="188" spans="1:32" ht="29" x14ac:dyDescent="0.35">
      <c r="A188" t="s">
        <v>27</v>
      </c>
      <c r="B188" t="s">
        <v>356</v>
      </c>
      <c r="C188">
        <v>5160011000</v>
      </c>
      <c r="D188" t="s">
        <v>13</v>
      </c>
      <c r="E188">
        <v>36.36</v>
      </c>
      <c r="F188" t="s">
        <v>77</v>
      </c>
      <c r="G188" s="102">
        <v>45714</v>
      </c>
      <c r="H188" t="s">
        <v>79</v>
      </c>
      <c r="I188" s="48" t="s">
        <v>357</v>
      </c>
      <c r="J188" s="48" t="s">
        <v>1527</v>
      </c>
      <c r="M188" s="48" t="s">
        <v>349</v>
      </c>
      <c r="Q188" s="3">
        <f t="shared" si="4"/>
        <v>36.36</v>
      </c>
    </row>
    <row r="189" spans="1:32" ht="29" x14ac:dyDescent="0.35">
      <c r="A189" t="s">
        <v>27</v>
      </c>
      <c r="B189" t="s">
        <v>339</v>
      </c>
      <c r="C189">
        <v>5160011000</v>
      </c>
      <c r="D189" t="s">
        <v>13</v>
      </c>
      <c r="E189">
        <v>31.77</v>
      </c>
      <c r="F189" t="s">
        <v>77</v>
      </c>
      <c r="G189" s="102">
        <v>45670</v>
      </c>
      <c r="H189" t="s">
        <v>79</v>
      </c>
      <c r="I189" s="48" t="s">
        <v>675</v>
      </c>
      <c r="J189" s="48" t="s">
        <v>1422</v>
      </c>
      <c r="M189" s="48" t="s">
        <v>1423</v>
      </c>
      <c r="Q189" s="3">
        <f t="shared" si="4"/>
        <v>31.77</v>
      </c>
      <c r="S189" s="61" t="s">
        <v>44</v>
      </c>
      <c r="T189" t="s">
        <v>54</v>
      </c>
      <c r="U189" t="str">
        <f>B189</f>
        <v>AU030213</v>
      </c>
      <c r="V189" s="3">
        <f>E189</f>
        <v>31.77</v>
      </c>
    </row>
    <row r="190" spans="1:32" ht="29" x14ac:dyDescent="0.35">
      <c r="A190" t="s">
        <v>27</v>
      </c>
      <c r="B190" t="s">
        <v>434</v>
      </c>
      <c r="C190">
        <v>5160011000</v>
      </c>
      <c r="D190" t="s">
        <v>13</v>
      </c>
      <c r="E190">
        <v>29.98</v>
      </c>
      <c r="F190" t="s">
        <v>77</v>
      </c>
      <c r="G190" s="102">
        <v>45679</v>
      </c>
      <c r="H190" t="s">
        <v>79</v>
      </c>
      <c r="I190" s="48" t="s">
        <v>190</v>
      </c>
      <c r="J190" s="48" t="s">
        <v>1467</v>
      </c>
      <c r="M190" s="48" t="s">
        <v>1468</v>
      </c>
      <c r="Q190" s="3">
        <f t="shared" si="4"/>
        <v>29.98</v>
      </c>
    </row>
    <row r="191" spans="1:32" ht="43.5" x14ac:dyDescent="0.35">
      <c r="A191" t="s">
        <v>27</v>
      </c>
      <c r="B191" t="s">
        <v>434</v>
      </c>
      <c r="C191">
        <v>5160011000</v>
      </c>
      <c r="D191" t="s">
        <v>13</v>
      </c>
      <c r="E191">
        <v>27.27</v>
      </c>
      <c r="F191" t="s">
        <v>77</v>
      </c>
      <c r="G191" s="102">
        <v>45733</v>
      </c>
      <c r="H191" t="s">
        <v>79</v>
      </c>
      <c r="I191" s="48" t="s">
        <v>541</v>
      </c>
      <c r="J191" s="48" t="s">
        <v>1584</v>
      </c>
      <c r="M191" s="48" t="s">
        <v>1583</v>
      </c>
      <c r="Q191" s="3">
        <f t="shared" si="4"/>
        <v>27.27</v>
      </c>
    </row>
    <row r="192" spans="1:32" ht="29" x14ac:dyDescent="0.35">
      <c r="A192" t="s">
        <v>27</v>
      </c>
      <c r="B192" t="s">
        <v>366</v>
      </c>
      <c r="C192">
        <v>5160011000</v>
      </c>
      <c r="D192" t="s">
        <v>13</v>
      </c>
      <c r="E192">
        <v>25.25</v>
      </c>
      <c r="F192" t="s">
        <v>77</v>
      </c>
      <c r="G192" s="102">
        <v>45743</v>
      </c>
      <c r="H192" t="s">
        <v>79</v>
      </c>
      <c r="I192" s="48" t="s">
        <v>132</v>
      </c>
      <c r="J192" s="48" t="s">
        <v>1614</v>
      </c>
      <c r="M192" s="48" t="s">
        <v>1615</v>
      </c>
      <c r="Q192" s="3">
        <f t="shared" si="4"/>
        <v>25.25</v>
      </c>
    </row>
    <row r="193" spans="1:32" ht="43.5" x14ac:dyDescent="0.35">
      <c r="A193" t="s">
        <v>27</v>
      </c>
      <c r="B193" t="s">
        <v>434</v>
      </c>
      <c r="C193">
        <v>5160011000</v>
      </c>
      <c r="D193" t="s">
        <v>13</v>
      </c>
      <c r="E193">
        <v>23.63</v>
      </c>
      <c r="F193" t="s">
        <v>77</v>
      </c>
      <c r="G193" s="102">
        <v>45733</v>
      </c>
      <c r="H193" t="s">
        <v>79</v>
      </c>
      <c r="I193" s="48" t="s">
        <v>1573</v>
      </c>
      <c r="J193" s="48" t="s">
        <v>1574</v>
      </c>
      <c r="M193" s="48" t="s">
        <v>1575</v>
      </c>
      <c r="Q193" s="3">
        <f t="shared" si="4"/>
        <v>23.63</v>
      </c>
      <c r="S193" s="61" t="s">
        <v>44</v>
      </c>
      <c r="T193" t="s">
        <v>54</v>
      </c>
      <c r="U193" t="str">
        <f t="shared" ref="U193" si="17">B193</f>
        <v>AU032046</v>
      </c>
      <c r="V193" s="3">
        <f t="shared" ref="V193" si="18">E193</f>
        <v>23.63</v>
      </c>
    </row>
    <row r="194" spans="1:32" ht="43.5" x14ac:dyDescent="0.35">
      <c r="A194" t="s">
        <v>27</v>
      </c>
      <c r="B194" t="s">
        <v>370</v>
      </c>
      <c r="C194">
        <v>5160011000</v>
      </c>
      <c r="D194" t="s">
        <v>13</v>
      </c>
      <c r="E194">
        <v>22.73</v>
      </c>
      <c r="F194" t="s">
        <v>77</v>
      </c>
      <c r="G194" s="102">
        <v>45740</v>
      </c>
      <c r="H194" t="s">
        <v>79</v>
      </c>
      <c r="I194" s="48" t="s">
        <v>1611</v>
      </c>
      <c r="J194" s="48" t="s">
        <v>1612</v>
      </c>
      <c r="M194" s="48" t="s">
        <v>1603</v>
      </c>
      <c r="Q194" s="3">
        <f t="shared" si="4"/>
        <v>22.73</v>
      </c>
    </row>
    <row r="195" spans="1:32" ht="43.5" x14ac:dyDescent="0.35">
      <c r="A195" t="s">
        <v>27</v>
      </c>
      <c r="B195" t="s">
        <v>370</v>
      </c>
      <c r="C195">
        <v>5160011000</v>
      </c>
      <c r="D195" t="s">
        <v>13</v>
      </c>
      <c r="E195">
        <v>22.73</v>
      </c>
      <c r="F195" t="s">
        <v>77</v>
      </c>
      <c r="G195" s="102">
        <v>45740</v>
      </c>
      <c r="H195" t="s">
        <v>79</v>
      </c>
      <c r="I195" s="48" t="s">
        <v>1611</v>
      </c>
      <c r="J195" s="48" t="s">
        <v>1613</v>
      </c>
      <c r="O195" t="s">
        <v>1603</v>
      </c>
      <c r="Q195" s="3">
        <f t="shared" si="4"/>
        <v>22.73</v>
      </c>
    </row>
    <row r="196" spans="1:32" ht="29" x14ac:dyDescent="0.35">
      <c r="A196" s="81" t="s">
        <v>27</v>
      </c>
      <c r="B196" s="81" t="s">
        <v>321</v>
      </c>
      <c r="C196" s="81">
        <v>5160011000</v>
      </c>
      <c r="D196" s="81" t="s">
        <v>13</v>
      </c>
      <c r="E196" s="81">
        <v>20.170000000000002</v>
      </c>
      <c r="F196" s="81" t="s">
        <v>77</v>
      </c>
      <c r="G196" s="117">
        <v>45740</v>
      </c>
      <c r="H196" s="81" t="s">
        <v>79</v>
      </c>
      <c r="I196" s="78" t="s">
        <v>514</v>
      </c>
      <c r="J196" s="78" t="s">
        <v>1606</v>
      </c>
      <c r="K196" s="78"/>
      <c r="L196" s="78"/>
      <c r="M196" s="78"/>
      <c r="N196" s="78"/>
      <c r="O196" s="81" t="s">
        <v>1607</v>
      </c>
      <c r="P196" s="79"/>
      <c r="Q196" s="80">
        <f t="shared" si="4"/>
        <v>20.170000000000002</v>
      </c>
      <c r="R196" s="97"/>
      <c r="S196" s="97"/>
      <c r="T196" s="81"/>
      <c r="U196" s="81"/>
      <c r="V196" s="80"/>
      <c r="W196" s="81"/>
      <c r="X196" s="81"/>
      <c r="Y196" s="81"/>
      <c r="Z196" s="81"/>
      <c r="AA196" s="81"/>
      <c r="AB196" s="81"/>
      <c r="AC196" s="81"/>
      <c r="AD196" s="81"/>
      <c r="AE196" s="81"/>
      <c r="AF196" s="81"/>
    </row>
    <row r="197" spans="1:32" ht="29" x14ac:dyDescent="0.35">
      <c r="A197" t="s">
        <v>0</v>
      </c>
      <c r="B197" t="s">
        <v>352</v>
      </c>
      <c r="C197">
        <v>5160011000</v>
      </c>
      <c r="D197" t="s">
        <v>13</v>
      </c>
      <c r="E197">
        <v>18.54</v>
      </c>
      <c r="F197" t="s">
        <v>77</v>
      </c>
      <c r="G197" s="102">
        <v>45677</v>
      </c>
      <c r="H197" t="s">
        <v>78</v>
      </c>
      <c r="I197" s="48" t="s">
        <v>961</v>
      </c>
      <c r="K197" s="48" t="s">
        <v>962</v>
      </c>
      <c r="L197" s="48">
        <v>1013687953</v>
      </c>
      <c r="M197" s="48" t="s">
        <v>109</v>
      </c>
      <c r="Q197" s="3">
        <f t="shared" si="4"/>
        <v>18.54</v>
      </c>
    </row>
    <row r="198" spans="1:32" ht="43.5" x14ac:dyDescent="0.35">
      <c r="A198" t="s">
        <v>27</v>
      </c>
      <c r="B198" t="s">
        <v>377</v>
      </c>
      <c r="C198">
        <v>5160011000</v>
      </c>
      <c r="D198" t="s">
        <v>13</v>
      </c>
      <c r="E198">
        <v>18.18</v>
      </c>
      <c r="F198" t="s">
        <v>77</v>
      </c>
      <c r="G198" s="102">
        <v>45726</v>
      </c>
      <c r="H198" t="s">
        <v>79</v>
      </c>
      <c r="I198" s="48" t="s">
        <v>558</v>
      </c>
      <c r="J198" s="48" t="s">
        <v>1558</v>
      </c>
      <c r="O198" t="s">
        <v>1485</v>
      </c>
      <c r="Q198" s="3">
        <f t="shared" si="4"/>
        <v>18.18</v>
      </c>
    </row>
    <row r="199" spans="1:32" ht="43.5" x14ac:dyDescent="0.35">
      <c r="A199" t="s">
        <v>27</v>
      </c>
      <c r="B199" t="s">
        <v>366</v>
      </c>
      <c r="C199">
        <v>5160011000</v>
      </c>
      <c r="D199" t="s">
        <v>13</v>
      </c>
      <c r="E199">
        <v>18.18</v>
      </c>
      <c r="F199" t="s">
        <v>77</v>
      </c>
      <c r="G199" s="102">
        <v>45743</v>
      </c>
      <c r="H199" t="s">
        <v>79</v>
      </c>
      <c r="I199" s="48" t="s">
        <v>537</v>
      </c>
      <c r="J199" s="48" t="s">
        <v>1616</v>
      </c>
      <c r="O199" t="s">
        <v>538</v>
      </c>
      <c r="Q199" s="3">
        <f t="shared" si="4"/>
        <v>18.18</v>
      </c>
    </row>
    <row r="200" spans="1:32" ht="43.5" x14ac:dyDescent="0.35">
      <c r="A200" t="s">
        <v>27</v>
      </c>
      <c r="B200" t="s">
        <v>339</v>
      </c>
      <c r="C200">
        <v>5160011000</v>
      </c>
      <c r="D200" t="s">
        <v>13</v>
      </c>
      <c r="E200">
        <v>16.04</v>
      </c>
      <c r="F200" t="s">
        <v>77</v>
      </c>
      <c r="G200" s="102">
        <v>45744</v>
      </c>
      <c r="H200" t="s">
        <v>79</v>
      </c>
      <c r="I200" s="48" t="s">
        <v>1630</v>
      </c>
      <c r="J200" s="48" t="s">
        <v>1631</v>
      </c>
      <c r="O200" t="s">
        <v>1632</v>
      </c>
      <c r="Q200" s="3">
        <f t="shared" ref="Q200:Q214" si="19">ABS(E200)</f>
        <v>16.04</v>
      </c>
    </row>
    <row r="201" spans="1:32" ht="29" x14ac:dyDescent="0.35">
      <c r="A201" t="s">
        <v>27</v>
      </c>
      <c r="B201" t="s">
        <v>352</v>
      </c>
      <c r="C201">
        <v>5160011000</v>
      </c>
      <c r="D201" t="s">
        <v>13</v>
      </c>
      <c r="E201">
        <v>15.23</v>
      </c>
      <c r="F201" t="s">
        <v>77</v>
      </c>
      <c r="G201" s="102">
        <v>45719</v>
      </c>
      <c r="H201" t="s">
        <v>79</v>
      </c>
      <c r="I201" s="48" t="s">
        <v>1535</v>
      </c>
      <c r="J201" s="48" t="s">
        <v>1536</v>
      </c>
      <c r="O201" t="s">
        <v>1537</v>
      </c>
      <c r="Q201" s="3">
        <f t="shared" si="19"/>
        <v>15.23</v>
      </c>
    </row>
    <row r="202" spans="1:32" ht="29" x14ac:dyDescent="0.35">
      <c r="A202" t="s">
        <v>0</v>
      </c>
      <c r="B202" t="s">
        <v>481</v>
      </c>
      <c r="C202">
        <v>5160011000</v>
      </c>
      <c r="D202" t="s">
        <v>13</v>
      </c>
      <c r="E202">
        <v>14.14</v>
      </c>
      <c r="F202" t="s">
        <v>77</v>
      </c>
      <c r="G202" s="102">
        <v>45698</v>
      </c>
      <c r="H202" t="s">
        <v>78</v>
      </c>
      <c r="I202" s="48" t="s">
        <v>1043</v>
      </c>
      <c r="K202" s="48" t="s">
        <v>1044</v>
      </c>
      <c r="L202" s="48">
        <v>1013753969</v>
      </c>
      <c r="M202" s="48" t="s">
        <v>109</v>
      </c>
      <c r="Q202" s="3">
        <f t="shared" si="19"/>
        <v>14.14</v>
      </c>
    </row>
    <row r="203" spans="1:32" ht="58" x14ac:dyDescent="0.35">
      <c r="A203" t="s">
        <v>27</v>
      </c>
      <c r="B203" t="s">
        <v>376</v>
      </c>
      <c r="C203">
        <v>5160011000</v>
      </c>
      <c r="D203" t="s">
        <v>13</v>
      </c>
      <c r="E203">
        <v>14.09</v>
      </c>
      <c r="F203" t="s">
        <v>77</v>
      </c>
      <c r="G203" s="102">
        <v>45716</v>
      </c>
      <c r="H203" t="s">
        <v>79</v>
      </c>
      <c r="I203" s="48" t="s">
        <v>564</v>
      </c>
      <c r="J203" s="48" t="s">
        <v>1528</v>
      </c>
      <c r="M203" s="48" t="s">
        <v>1529</v>
      </c>
      <c r="Q203" s="3">
        <f t="shared" si="19"/>
        <v>14.09</v>
      </c>
    </row>
    <row r="204" spans="1:32" ht="58" x14ac:dyDescent="0.35">
      <c r="A204" t="s">
        <v>27</v>
      </c>
      <c r="B204" t="s">
        <v>376</v>
      </c>
      <c r="C204">
        <v>5160011000</v>
      </c>
      <c r="D204" t="s">
        <v>13</v>
      </c>
      <c r="E204">
        <v>14.09</v>
      </c>
      <c r="F204" t="s">
        <v>77</v>
      </c>
      <c r="G204" s="102">
        <v>45726</v>
      </c>
      <c r="H204" t="s">
        <v>79</v>
      </c>
      <c r="I204" s="48" t="s">
        <v>564</v>
      </c>
      <c r="J204" s="48" t="s">
        <v>1551</v>
      </c>
      <c r="M204" s="48" t="s">
        <v>1552</v>
      </c>
      <c r="Q204" s="3">
        <f t="shared" si="19"/>
        <v>14.09</v>
      </c>
    </row>
    <row r="205" spans="1:32" ht="29" x14ac:dyDescent="0.35">
      <c r="A205" t="s">
        <v>27</v>
      </c>
      <c r="B205" t="s">
        <v>339</v>
      </c>
      <c r="C205">
        <v>5160011000</v>
      </c>
      <c r="D205" t="s">
        <v>13</v>
      </c>
      <c r="E205">
        <v>9.25</v>
      </c>
      <c r="F205" t="s">
        <v>77</v>
      </c>
      <c r="G205" s="102">
        <v>45670</v>
      </c>
      <c r="H205" t="s">
        <v>79</v>
      </c>
      <c r="I205" s="48" t="s">
        <v>577</v>
      </c>
      <c r="J205" s="48" t="s">
        <v>578</v>
      </c>
      <c r="M205" s="48" t="s">
        <v>1428</v>
      </c>
      <c r="Q205" s="3">
        <f t="shared" si="19"/>
        <v>9.25</v>
      </c>
      <c r="S205" s="61" t="s">
        <v>44</v>
      </c>
      <c r="T205" t="s">
        <v>54</v>
      </c>
      <c r="U205" t="str">
        <f t="shared" ref="U205" si="20">B205</f>
        <v>AU030213</v>
      </c>
      <c r="V205" s="3">
        <f t="shared" ref="V205" si="21">E205</f>
        <v>9.25</v>
      </c>
    </row>
    <row r="206" spans="1:32" ht="43.5" x14ac:dyDescent="0.35">
      <c r="A206" t="s">
        <v>27</v>
      </c>
      <c r="B206" t="s">
        <v>434</v>
      </c>
      <c r="C206">
        <v>5160011000</v>
      </c>
      <c r="D206" t="s">
        <v>13</v>
      </c>
      <c r="E206">
        <v>8.18</v>
      </c>
      <c r="F206" t="s">
        <v>77</v>
      </c>
      <c r="G206" s="102">
        <v>45678</v>
      </c>
      <c r="H206" t="s">
        <v>79</v>
      </c>
      <c r="I206" s="48" t="s">
        <v>1453</v>
      </c>
      <c r="J206" s="48" t="s">
        <v>1454</v>
      </c>
      <c r="M206" s="48" t="s">
        <v>1455</v>
      </c>
      <c r="Q206" s="3">
        <f t="shared" si="19"/>
        <v>8.18</v>
      </c>
      <c r="S206" s="61" t="s">
        <v>44</v>
      </c>
      <c r="T206" t="s">
        <v>54</v>
      </c>
      <c r="U206" t="str">
        <f t="shared" ref="U206:U213" si="22">B206</f>
        <v>AU032046</v>
      </c>
      <c r="V206" s="3">
        <f t="shared" ref="V206:V213" si="23">E206</f>
        <v>8.18</v>
      </c>
    </row>
    <row r="207" spans="1:32" ht="43.5" x14ac:dyDescent="0.35">
      <c r="A207" t="s">
        <v>27</v>
      </c>
      <c r="B207" t="s">
        <v>434</v>
      </c>
      <c r="C207">
        <v>5160011000</v>
      </c>
      <c r="D207" t="s">
        <v>13</v>
      </c>
      <c r="E207">
        <v>8.18</v>
      </c>
      <c r="F207" t="s">
        <v>77</v>
      </c>
      <c r="G207" s="102">
        <v>45678</v>
      </c>
      <c r="H207" t="s">
        <v>79</v>
      </c>
      <c r="I207" s="48" t="s">
        <v>1453</v>
      </c>
      <c r="J207" s="48" t="s">
        <v>1456</v>
      </c>
      <c r="M207" s="48" t="s">
        <v>1455</v>
      </c>
      <c r="Q207" s="3">
        <f t="shared" si="19"/>
        <v>8.18</v>
      </c>
      <c r="S207" s="61" t="s">
        <v>44</v>
      </c>
      <c r="T207" t="s">
        <v>54</v>
      </c>
      <c r="U207" t="str">
        <f t="shared" si="22"/>
        <v>AU032046</v>
      </c>
      <c r="V207" s="3">
        <f t="shared" si="23"/>
        <v>8.18</v>
      </c>
    </row>
    <row r="208" spans="1:32" ht="43.5" x14ac:dyDescent="0.35">
      <c r="A208" t="s">
        <v>27</v>
      </c>
      <c r="B208" t="s">
        <v>434</v>
      </c>
      <c r="C208">
        <v>5160011000</v>
      </c>
      <c r="D208" t="s">
        <v>13</v>
      </c>
      <c r="E208">
        <v>8.18</v>
      </c>
      <c r="F208" t="s">
        <v>77</v>
      </c>
      <c r="G208" s="102">
        <v>45678</v>
      </c>
      <c r="H208" t="s">
        <v>79</v>
      </c>
      <c r="I208" s="48" t="s">
        <v>1453</v>
      </c>
      <c r="J208" s="48" t="s">
        <v>1457</v>
      </c>
      <c r="M208" s="48" t="s">
        <v>1455</v>
      </c>
      <c r="Q208" s="3">
        <f t="shared" si="19"/>
        <v>8.18</v>
      </c>
      <c r="S208" s="61" t="s">
        <v>44</v>
      </c>
      <c r="T208" t="s">
        <v>54</v>
      </c>
      <c r="U208" t="str">
        <f t="shared" si="22"/>
        <v>AU032046</v>
      </c>
      <c r="V208" s="3">
        <f t="shared" si="23"/>
        <v>8.18</v>
      </c>
    </row>
    <row r="209" spans="1:22" ht="43.5" x14ac:dyDescent="0.35">
      <c r="A209" t="s">
        <v>27</v>
      </c>
      <c r="B209" t="s">
        <v>434</v>
      </c>
      <c r="C209">
        <v>5160011000</v>
      </c>
      <c r="D209" t="s">
        <v>13</v>
      </c>
      <c r="E209">
        <v>8.18</v>
      </c>
      <c r="F209" t="s">
        <v>77</v>
      </c>
      <c r="G209" s="102">
        <v>45678</v>
      </c>
      <c r="H209" t="s">
        <v>79</v>
      </c>
      <c r="I209" s="48" t="s">
        <v>1453</v>
      </c>
      <c r="J209" s="48" t="s">
        <v>1458</v>
      </c>
      <c r="M209" s="48" t="s">
        <v>1455</v>
      </c>
      <c r="Q209" s="3">
        <f t="shared" si="19"/>
        <v>8.18</v>
      </c>
      <c r="S209" s="61" t="s">
        <v>44</v>
      </c>
      <c r="T209" t="s">
        <v>54</v>
      </c>
      <c r="U209" t="str">
        <f t="shared" si="22"/>
        <v>AU032046</v>
      </c>
      <c r="V209" s="3">
        <f t="shared" si="23"/>
        <v>8.18</v>
      </c>
    </row>
    <row r="210" spans="1:22" ht="43.5" x14ac:dyDescent="0.35">
      <c r="A210" t="s">
        <v>27</v>
      </c>
      <c r="B210" t="s">
        <v>434</v>
      </c>
      <c r="C210">
        <v>5160011000</v>
      </c>
      <c r="D210" t="s">
        <v>13</v>
      </c>
      <c r="E210">
        <v>8.18</v>
      </c>
      <c r="F210" t="s">
        <v>77</v>
      </c>
      <c r="G210" s="102">
        <v>45678</v>
      </c>
      <c r="H210" t="s">
        <v>79</v>
      </c>
      <c r="I210" s="48" t="s">
        <v>1453</v>
      </c>
      <c r="J210" s="48" t="s">
        <v>1459</v>
      </c>
      <c r="M210" s="48" t="s">
        <v>1455</v>
      </c>
      <c r="Q210" s="3">
        <f t="shared" si="19"/>
        <v>8.18</v>
      </c>
      <c r="S210" s="61" t="s">
        <v>44</v>
      </c>
      <c r="T210" t="s">
        <v>54</v>
      </c>
      <c r="U210" t="str">
        <f t="shared" si="22"/>
        <v>AU032046</v>
      </c>
      <c r="V210" s="3">
        <f t="shared" si="23"/>
        <v>8.18</v>
      </c>
    </row>
    <row r="211" spans="1:22" ht="43.5" x14ac:dyDescent="0.35">
      <c r="A211" t="s">
        <v>27</v>
      </c>
      <c r="B211" t="s">
        <v>434</v>
      </c>
      <c r="C211">
        <v>5160011000</v>
      </c>
      <c r="D211" t="s">
        <v>13</v>
      </c>
      <c r="E211">
        <v>8.18</v>
      </c>
      <c r="F211" t="s">
        <v>77</v>
      </c>
      <c r="G211" s="102">
        <v>45678</v>
      </c>
      <c r="H211" t="s">
        <v>79</v>
      </c>
      <c r="I211" s="48" t="s">
        <v>1453</v>
      </c>
      <c r="J211" s="48" t="s">
        <v>1460</v>
      </c>
      <c r="M211" s="48" t="s">
        <v>1455</v>
      </c>
      <c r="Q211" s="3">
        <f t="shared" si="19"/>
        <v>8.18</v>
      </c>
      <c r="S211" s="61" t="s">
        <v>44</v>
      </c>
      <c r="T211" t="s">
        <v>54</v>
      </c>
      <c r="U211" t="str">
        <f t="shared" si="22"/>
        <v>AU032046</v>
      </c>
      <c r="V211" s="3">
        <f t="shared" si="23"/>
        <v>8.18</v>
      </c>
    </row>
    <row r="212" spans="1:22" ht="43.5" x14ac:dyDescent="0.35">
      <c r="A212" t="s">
        <v>27</v>
      </c>
      <c r="B212" t="s">
        <v>434</v>
      </c>
      <c r="C212">
        <v>5160011000</v>
      </c>
      <c r="D212" t="s">
        <v>13</v>
      </c>
      <c r="E212">
        <v>8.18</v>
      </c>
      <c r="F212" t="s">
        <v>77</v>
      </c>
      <c r="G212" s="102">
        <v>45678</v>
      </c>
      <c r="H212" t="s">
        <v>79</v>
      </c>
      <c r="I212" s="48" t="s">
        <v>1453</v>
      </c>
      <c r="J212" s="48" t="s">
        <v>1462</v>
      </c>
      <c r="O212" t="s">
        <v>1455</v>
      </c>
      <c r="Q212" s="3">
        <f t="shared" si="19"/>
        <v>8.18</v>
      </c>
      <c r="S212" s="61" t="s">
        <v>44</v>
      </c>
      <c r="T212" t="s">
        <v>54</v>
      </c>
      <c r="U212" t="str">
        <f t="shared" si="22"/>
        <v>AU032046</v>
      </c>
      <c r="V212" s="3">
        <f t="shared" si="23"/>
        <v>8.18</v>
      </c>
    </row>
    <row r="213" spans="1:22" ht="43.5" x14ac:dyDescent="0.35">
      <c r="A213" t="s">
        <v>27</v>
      </c>
      <c r="B213" t="s">
        <v>434</v>
      </c>
      <c r="C213">
        <v>5160011000</v>
      </c>
      <c r="D213" t="s">
        <v>13</v>
      </c>
      <c r="E213">
        <v>8.18</v>
      </c>
      <c r="F213" t="s">
        <v>77</v>
      </c>
      <c r="G213" s="102">
        <v>45678</v>
      </c>
      <c r="H213" t="s">
        <v>79</v>
      </c>
      <c r="I213" s="48" t="s">
        <v>1453</v>
      </c>
      <c r="J213" s="48" t="s">
        <v>1463</v>
      </c>
      <c r="O213" t="s">
        <v>1455</v>
      </c>
      <c r="Q213" s="3">
        <f t="shared" si="19"/>
        <v>8.18</v>
      </c>
      <c r="S213" s="61" t="s">
        <v>44</v>
      </c>
      <c r="T213" t="s">
        <v>54</v>
      </c>
      <c r="U213" t="str">
        <f t="shared" si="22"/>
        <v>AU032046</v>
      </c>
      <c r="V213" s="3">
        <f t="shared" si="23"/>
        <v>8.18</v>
      </c>
    </row>
    <row r="214" spans="1:22" ht="43.5" x14ac:dyDescent="0.35">
      <c r="A214" t="s">
        <v>27</v>
      </c>
      <c r="B214" t="s">
        <v>434</v>
      </c>
      <c r="C214">
        <v>5160011000</v>
      </c>
      <c r="D214" t="s">
        <v>13</v>
      </c>
      <c r="E214">
        <v>5.41</v>
      </c>
      <c r="F214" t="s">
        <v>77</v>
      </c>
      <c r="G214" s="102">
        <v>45747</v>
      </c>
      <c r="H214" t="s">
        <v>79</v>
      </c>
      <c r="I214" s="48" t="s">
        <v>625</v>
      </c>
      <c r="J214" s="48" t="s">
        <v>1635</v>
      </c>
      <c r="O214" t="s">
        <v>1636</v>
      </c>
      <c r="Q214" s="3">
        <f t="shared" si="19"/>
        <v>5.41</v>
      </c>
    </row>
    <row r="215" spans="1:22" x14ac:dyDescent="0.35">
      <c r="D215"/>
      <c r="F215"/>
      <c r="G215" s="19"/>
      <c r="H215"/>
    </row>
    <row r="216" spans="1:22" x14ac:dyDescent="0.35">
      <c r="D216"/>
      <c r="F216"/>
      <c r="G216" s="19"/>
      <c r="H216"/>
    </row>
    <row r="217" spans="1:22" x14ac:dyDescent="0.35">
      <c r="D217"/>
      <c r="F217"/>
      <c r="G217" s="19"/>
      <c r="H217"/>
    </row>
    <row r="218" spans="1:22" x14ac:dyDescent="0.35">
      <c r="D218"/>
      <c r="F218"/>
      <c r="G218" s="19"/>
      <c r="H218"/>
    </row>
    <row r="219" spans="1:22" x14ac:dyDescent="0.35">
      <c r="D219"/>
      <c r="F219"/>
      <c r="G219" s="19"/>
      <c r="H219"/>
    </row>
    <row r="220" spans="1:22" x14ac:dyDescent="0.35">
      <c r="D220"/>
      <c r="F220"/>
      <c r="G220" s="19"/>
      <c r="H220"/>
    </row>
    <row r="221" spans="1:22" x14ac:dyDescent="0.35">
      <c r="D221"/>
      <c r="F221"/>
      <c r="G221" s="19"/>
      <c r="H221"/>
    </row>
    <row r="222" spans="1:22" x14ac:dyDescent="0.35">
      <c r="D222"/>
      <c r="F222"/>
      <c r="G222" s="19"/>
      <c r="H222"/>
    </row>
    <row r="223" spans="1:22" x14ac:dyDescent="0.35">
      <c r="D223"/>
      <c r="F223"/>
      <c r="G223" s="19"/>
      <c r="H223"/>
    </row>
    <row r="224" spans="1:22" x14ac:dyDescent="0.35">
      <c r="D224"/>
      <c r="F224"/>
      <c r="G224" s="19"/>
      <c r="H224"/>
    </row>
    <row r="225" spans="4:8" x14ac:dyDescent="0.35">
      <c r="D225"/>
      <c r="F225"/>
      <c r="G225" s="19"/>
      <c r="H225"/>
    </row>
    <row r="226" spans="4:8" x14ac:dyDescent="0.35">
      <c r="D226"/>
      <c r="F226"/>
      <c r="G226" s="19"/>
      <c r="H226"/>
    </row>
    <row r="227" spans="4:8" x14ac:dyDescent="0.35">
      <c r="D227"/>
      <c r="F227"/>
      <c r="G227" s="19"/>
      <c r="H227"/>
    </row>
    <row r="228" spans="4:8" x14ac:dyDescent="0.35">
      <c r="D228"/>
      <c r="F228"/>
      <c r="G228" s="19"/>
      <c r="H228"/>
    </row>
    <row r="229" spans="4:8" x14ac:dyDescent="0.35">
      <c r="D229"/>
      <c r="F229"/>
      <c r="G229" s="19"/>
      <c r="H229"/>
    </row>
    <row r="230" spans="4:8" x14ac:dyDescent="0.35">
      <c r="D230"/>
      <c r="F230"/>
      <c r="G230" s="19"/>
      <c r="H230"/>
    </row>
    <row r="231" spans="4:8" x14ac:dyDescent="0.35">
      <c r="D231"/>
      <c r="F231"/>
      <c r="G231" s="19"/>
      <c r="H231"/>
    </row>
    <row r="232" spans="4:8" x14ac:dyDescent="0.35">
      <c r="D232"/>
      <c r="F232"/>
      <c r="G232" s="19"/>
      <c r="H232"/>
    </row>
    <row r="233" spans="4:8" x14ac:dyDescent="0.35">
      <c r="D233"/>
      <c r="F233"/>
      <c r="G233" s="19"/>
      <c r="H233"/>
    </row>
    <row r="234" spans="4:8" x14ac:dyDescent="0.35">
      <c r="D234"/>
      <c r="F234"/>
      <c r="G234" s="19"/>
      <c r="H234"/>
    </row>
    <row r="235" spans="4:8" x14ac:dyDescent="0.35">
      <c r="D235"/>
      <c r="F235"/>
      <c r="G235" s="19"/>
      <c r="H235"/>
    </row>
    <row r="236" spans="4:8" x14ac:dyDescent="0.35">
      <c r="D236"/>
      <c r="F236"/>
      <c r="G236" s="19"/>
      <c r="H236"/>
    </row>
    <row r="237" spans="4:8" x14ac:dyDescent="0.35">
      <c r="D237"/>
      <c r="F237"/>
      <c r="G237" s="19"/>
      <c r="H237"/>
    </row>
    <row r="238" spans="4:8" x14ac:dyDescent="0.35">
      <c r="D238"/>
      <c r="F238"/>
      <c r="G238" s="19"/>
      <c r="H238"/>
    </row>
    <row r="239" spans="4:8" x14ac:dyDescent="0.35">
      <c r="D239"/>
      <c r="F239"/>
      <c r="G239" s="19"/>
      <c r="H239"/>
    </row>
    <row r="240" spans="4:8" x14ac:dyDescent="0.35">
      <c r="D240"/>
      <c r="F240"/>
      <c r="G240" s="19"/>
      <c r="H240"/>
    </row>
    <row r="241" spans="4:8" x14ac:dyDescent="0.35">
      <c r="D241"/>
      <c r="F241"/>
      <c r="G241" s="19"/>
      <c r="H241"/>
    </row>
    <row r="242" spans="4:8" x14ac:dyDescent="0.35">
      <c r="D242"/>
      <c r="F242"/>
      <c r="G242" s="19"/>
      <c r="H242"/>
    </row>
    <row r="243" spans="4:8" x14ac:dyDescent="0.35">
      <c r="D243"/>
      <c r="F243"/>
      <c r="G243" s="19"/>
      <c r="H243"/>
    </row>
    <row r="244" spans="4:8" x14ac:dyDescent="0.35">
      <c r="D244"/>
      <c r="F244"/>
      <c r="G244" s="19"/>
      <c r="H244"/>
    </row>
    <row r="245" spans="4:8" x14ac:dyDescent="0.35">
      <c r="D245"/>
      <c r="F245"/>
      <c r="G245" s="19"/>
      <c r="H245"/>
    </row>
    <row r="246" spans="4:8" x14ac:dyDescent="0.35">
      <c r="D246"/>
      <c r="F246"/>
      <c r="G246" s="19"/>
      <c r="H246"/>
    </row>
    <row r="247" spans="4:8" x14ac:dyDescent="0.35">
      <c r="D247"/>
      <c r="F247"/>
      <c r="G247" s="19"/>
      <c r="H247"/>
    </row>
    <row r="248" spans="4:8" x14ac:dyDescent="0.35">
      <c r="D248"/>
      <c r="F248"/>
      <c r="G248" s="19"/>
      <c r="H248"/>
    </row>
    <row r="249" spans="4:8" x14ac:dyDescent="0.35">
      <c r="D249"/>
      <c r="F249"/>
      <c r="G249" s="19"/>
      <c r="H249"/>
    </row>
    <row r="250" spans="4:8" x14ac:dyDescent="0.35">
      <c r="D250"/>
      <c r="F250"/>
      <c r="G250" s="19"/>
      <c r="H250"/>
    </row>
    <row r="251" spans="4:8" x14ac:dyDescent="0.35">
      <c r="D251"/>
      <c r="F251"/>
      <c r="G251" s="19"/>
      <c r="H251"/>
    </row>
    <row r="252" spans="4:8" x14ac:dyDescent="0.35">
      <c r="D252"/>
      <c r="F252"/>
      <c r="G252" s="19"/>
      <c r="H252"/>
    </row>
    <row r="253" spans="4:8" x14ac:dyDescent="0.35">
      <c r="D253"/>
      <c r="F253"/>
      <c r="G253" s="19"/>
      <c r="H253"/>
    </row>
    <row r="254" spans="4:8" x14ac:dyDescent="0.35">
      <c r="D254"/>
      <c r="F254"/>
      <c r="G254" s="19"/>
      <c r="H254"/>
    </row>
    <row r="255" spans="4:8" x14ac:dyDescent="0.35">
      <c r="D255"/>
      <c r="F255"/>
      <c r="G255" s="19"/>
      <c r="H255"/>
    </row>
    <row r="256" spans="4:8" x14ac:dyDescent="0.35">
      <c r="D256"/>
      <c r="F256"/>
      <c r="G256" s="19"/>
      <c r="H256"/>
    </row>
    <row r="257" spans="4:8" x14ac:dyDescent="0.35">
      <c r="D257"/>
      <c r="F257"/>
      <c r="G257" s="19"/>
      <c r="H257"/>
    </row>
    <row r="258" spans="4:8" x14ac:dyDescent="0.35">
      <c r="D258"/>
      <c r="F258"/>
      <c r="G258" s="19"/>
      <c r="H258"/>
    </row>
    <row r="259" spans="4:8" x14ac:dyDescent="0.35">
      <c r="D259"/>
      <c r="F259"/>
      <c r="G259" s="19"/>
      <c r="H259"/>
    </row>
    <row r="260" spans="4:8" x14ac:dyDescent="0.35">
      <c r="D260"/>
      <c r="F260"/>
      <c r="G260" s="19"/>
      <c r="H260"/>
    </row>
    <row r="261" spans="4:8" x14ac:dyDescent="0.35">
      <c r="D261"/>
      <c r="F261"/>
      <c r="G261" s="19"/>
      <c r="H261"/>
    </row>
    <row r="262" spans="4:8" x14ac:dyDescent="0.35">
      <c r="D262"/>
      <c r="F262"/>
      <c r="G262" s="19"/>
      <c r="H262"/>
    </row>
    <row r="263" spans="4:8" x14ac:dyDescent="0.35">
      <c r="D263"/>
      <c r="F263"/>
      <c r="G263" s="19"/>
      <c r="H263"/>
    </row>
    <row r="264" spans="4:8" x14ac:dyDescent="0.35">
      <c r="D264"/>
      <c r="F264"/>
      <c r="G264" s="19"/>
      <c r="H264"/>
    </row>
    <row r="265" spans="4:8" x14ac:dyDescent="0.35">
      <c r="D265"/>
      <c r="F265"/>
      <c r="G265" s="19"/>
      <c r="H265"/>
    </row>
    <row r="266" spans="4:8" x14ac:dyDescent="0.35">
      <c r="D266"/>
      <c r="F266"/>
      <c r="G266" s="19"/>
      <c r="H266"/>
    </row>
    <row r="267" spans="4:8" x14ac:dyDescent="0.35">
      <c r="D267"/>
      <c r="F267"/>
      <c r="G267" s="19"/>
      <c r="H267"/>
    </row>
    <row r="268" spans="4:8" x14ac:dyDescent="0.35">
      <c r="D268"/>
      <c r="F268"/>
      <c r="G268" s="19"/>
      <c r="H268"/>
    </row>
    <row r="269" spans="4:8" x14ac:dyDescent="0.35">
      <c r="D269"/>
      <c r="F269"/>
      <c r="G269" s="19"/>
      <c r="H269"/>
    </row>
    <row r="270" spans="4:8" x14ac:dyDescent="0.35">
      <c r="D270"/>
      <c r="F270"/>
      <c r="G270" s="19"/>
      <c r="H270"/>
    </row>
    <row r="271" spans="4:8" x14ac:dyDescent="0.35">
      <c r="D271"/>
      <c r="F271"/>
      <c r="G271" s="19"/>
      <c r="H271"/>
    </row>
    <row r="272" spans="4:8" x14ac:dyDescent="0.35">
      <c r="D272"/>
      <c r="F272"/>
      <c r="G272" s="19"/>
      <c r="H272"/>
    </row>
    <row r="273" spans="4:8" x14ac:dyDescent="0.35">
      <c r="D273"/>
      <c r="F273"/>
      <c r="G273" s="19"/>
      <c r="H273"/>
    </row>
    <row r="274" spans="4:8" x14ac:dyDescent="0.35">
      <c r="D274"/>
      <c r="F274"/>
      <c r="G274" s="19"/>
      <c r="H274"/>
    </row>
    <row r="275" spans="4:8" x14ac:dyDescent="0.35">
      <c r="D275"/>
      <c r="F275"/>
      <c r="G275" s="19"/>
      <c r="H275"/>
    </row>
    <row r="276" spans="4:8" x14ac:dyDescent="0.35">
      <c r="D276"/>
      <c r="F276"/>
      <c r="G276" s="19"/>
      <c r="H276"/>
    </row>
    <row r="277" spans="4:8" x14ac:dyDescent="0.35">
      <c r="D277"/>
      <c r="F277"/>
      <c r="G277" s="19"/>
      <c r="H277"/>
    </row>
    <row r="278" spans="4:8" x14ac:dyDescent="0.35">
      <c r="D278"/>
      <c r="F278"/>
      <c r="G278" s="19"/>
      <c r="H278"/>
    </row>
    <row r="279" spans="4:8" x14ac:dyDescent="0.35">
      <c r="D279"/>
      <c r="F279"/>
      <c r="G279" s="19"/>
      <c r="H279"/>
    </row>
    <row r="280" spans="4:8" x14ac:dyDescent="0.35">
      <c r="D280"/>
      <c r="F280"/>
      <c r="G280" s="19"/>
      <c r="H280"/>
    </row>
    <row r="281" spans="4:8" x14ac:dyDescent="0.35">
      <c r="D281"/>
      <c r="F281"/>
      <c r="G281" s="19"/>
      <c r="H281"/>
    </row>
    <row r="282" spans="4:8" x14ac:dyDescent="0.35">
      <c r="D282"/>
      <c r="F282"/>
      <c r="G282" s="19"/>
      <c r="H282"/>
    </row>
    <row r="283" spans="4:8" x14ac:dyDescent="0.35">
      <c r="D283"/>
      <c r="F283"/>
      <c r="G283" s="19"/>
      <c r="H283"/>
    </row>
    <row r="284" spans="4:8" x14ac:dyDescent="0.35">
      <c r="D284"/>
      <c r="F284"/>
      <c r="G284" s="19"/>
      <c r="H284"/>
    </row>
    <row r="285" spans="4:8" x14ac:dyDescent="0.35">
      <c r="D285"/>
      <c r="F285"/>
      <c r="G285" s="19"/>
      <c r="H285"/>
    </row>
    <row r="286" spans="4:8" x14ac:dyDescent="0.35">
      <c r="D286"/>
      <c r="F286"/>
      <c r="G286" s="19"/>
      <c r="H286"/>
    </row>
    <row r="287" spans="4:8" x14ac:dyDescent="0.35">
      <c r="D287"/>
      <c r="F287"/>
      <c r="G287" s="19"/>
      <c r="H287"/>
    </row>
    <row r="288" spans="4:8" x14ac:dyDescent="0.35">
      <c r="D288"/>
      <c r="F288"/>
      <c r="G288" s="19"/>
      <c r="H288"/>
    </row>
    <row r="289" spans="4:8" x14ac:dyDescent="0.35">
      <c r="D289"/>
      <c r="F289"/>
      <c r="G289" s="19"/>
      <c r="H289"/>
    </row>
    <row r="290" spans="4:8" x14ac:dyDescent="0.35">
      <c r="D290"/>
      <c r="F290"/>
      <c r="G290" s="19"/>
      <c r="H290"/>
    </row>
    <row r="291" spans="4:8" x14ac:dyDescent="0.35">
      <c r="D291"/>
      <c r="F291"/>
      <c r="G291" s="19"/>
      <c r="H291"/>
    </row>
    <row r="292" spans="4:8" x14ac:dyDescent="0.35">
      <c r="D292"/>
      <c r="F292"/>
      <c r="G292" s="19"/>
      <c r="H292"/>
    </row>
    <row r="293" spans="4:8" x14ac:dyDescent="0.35">
      <c r="D293"/>
      <c r="F293"/>
      <c r="G293" s="19"/>
      <c r="H293"/>
    </row>
    <row r="294" spans="4:8" x14ac:dyDescent="0.35">
      <c r="D294"/>
      <c r="F294"/>
      <c r="G294" s="19"/>
      <c r="H294"/>
    </row>
    <row r="295" spans="4:8" x14ac:dyDescent="0.35">
      <c r="D295"/>
      <c r="F295"/>
      <c r="G295" s="19"/>
      <c r="H295"/>
    </row>
    <row r="296" spans="4:8" x14ac:dyDescent="0.35">
      <c r="D296"/>
      <c r="F296"/>
      <c r="G296" s="19"/>
      <c r="H296"/>
    </row>
    <row r="297" spans="4:8" x14ac:dyDescent="0.35">
      <c r="D297"/>
      <c r="F297"/>
      <c r="G297" s="19"/>
      <c r="H297"/>
    </row>
    <row r="298" spans="4:8" x14ac:dyDescent="0.35">
      <c r="D298"/>
      <c r="F298"/>
      <c r="G298" s="19"/>
      <c r="H298"/>
    </row>
    <row r="299" spans="4:8" x14ac:dyDescent="0.35">
      <c r="D299"/>
      <c r="F299"/>
      <c r="G299" s="19"/>
      <c r="H299"/>
    </row>
    <row r="300" spans="4:8" x14ac:dyDescent="0.35">
      <c r="D300"/>
      <c r="F300"/>
      <c r="G300" s="19"/>
      <c r="H300"/>
    </row>
    <row r="301" spans="4:8" x14ac:dyDescent="0.35">
      <c r="D301"/>
      <c r="F301"/>
      <c r="G301" s="19"/>
      <c r="H301"/>
    </row>
    <row r="302" spans="4:8" x14ac:dyDescent="0.35">
      <c r="D302"/>
      <c r="F302"/>
      <c r="G302" s="19"/>
      <c r="H302"/>
    </row>
    <row r="303" spans="4:8" x14ac:dyDescent="0.35">
      <c r="D303"/>
      <c r="F303"/>
      <c r="G303" s="19"/>
      <c r="H303"/>
    </row>
    <row r="304" spans="4:8" x14ac:dyDescent="0.35">
      <c r="D304"/>
      <c r="F304"/>
      <c r="G304" s="19"/>
      <c r="H304"/>
    </row>
    <row r="305" spans="4:8" x14ac:dyDescent="0.35">
      <c r="D305"/>
      <c r="F305"/>
      <c r="G305" s="19"/>
      <c r="H305"/>
    </row>
    <row r="306" spans="4:8" x14ac:dyDescent="0.35">
      <c r="D306"/>
      <c r="F306"/>
      <c r="G306" s="19"/>
      <c r="H306"/>
    </row>
    <row r="307" spans="4:8" x14ac:dyDescent="0.35">
      <c r="D307"/>
      <c r="F307"/>
      <c r="G307" s="19"/>
      <c r="H307"/>
    </row>
    <row r="308" spans="4:8" x14ac:dyDescent="0.35">
      <c r="D308"/>
      <c r="F308"/>
      <c r="G308" s="19"/>
      <c r="H308"/>
    </row>
    <row r="309" spans="4:8" x14ac:dyDescent="0.35">
      <c r="D309"/>
      <c r="F309"/>
      <c r="G309" s="19"/>
      <c r="H309"/>
    </row>
    <row r="310" spans="4:8" x14ac:dyDescent="0.35">
      <c r="D310"/>
      <c r="F310"/>
      <c r="G310" s="19"/>
      <c r="H310"/>
    </row>
    <row r="311" spans="4:8" x14ac:dyDescent="0.35">
      <c r="D311"/>
      <c r="F311"/>
      <c r="G311" s="19"/>
      <c r="H311"/>
    </row>
    <row r="312" spans="4:8" x14ac:dyDescent="0.35">
      <c r="D312"/>
      <c r="F312"/>
      <c r="G312" s="19"/>
      <c r="H312"/>
    </row>
    <row r="313" spans="4:8" x14ac:dyDescent="0.35">
      <c r="D313"/>
      <c r="F313"/>
      <c r="G313" s="19"/>
      <c r="H313"/>
    </row>
    <row r="314" spans="4:8" x14ac:dyDescent="0.35">
      <c r="D314"/>
      <c r="F314"/>
      <c r="G314" s="19"/>
      <c r="H314"/>
    </row>
    <row r="315" spans="4:8" x14ac:dyDescent="0.35">
      <c r="D315"/>
      <c r="F315"/>
      <c r="G315" s="19"/>
      <c r="H315"/>
    </row>
    <row r="316" spans="4:8" x14ac:dyDescent="0.35">
      <c r="D316"/>
      <c r="F316"/>
      <c r="G316" s="19"/>
      <c r="H316"/>
    </row>
    <row r="317" spans="4:8" x14ac:dyDescent="0.35">
      <c r="D317"/>
      <c r="F317"/>
      <c r="G317" s="19"/>
      <c r="H317"/>
    </row>
    <row r="318" spans="4:8" x14ac:dyDescent="0.35">
      <c r="D318"/>
      <c r="F318"/>
      <c r="G318" s="19"/>
      <c r="H318"/>
    </row>
    <row r="319" spans="4:8" x14ac:dyDescent="0.35">
      <c r="D319"/>
      <c r="F319"/>
      <c r="G319" s="19"/>
      <c r="H319"/>
    </row>
    <row r="320" spans="4:8" x14ac:dyDescent="0.35">
      <c r="D320"/>
      <c r="F320"/>
      <c r="G320" s="19"/>
      <c r="H320"/>
    </row>
    <row r="321" spans="4:8" x14ac:dyDescent="0.35">
      <c r="D321"/>
      <c r="F321"/>
      <c r="G321" s="19"/>
      <c r="H321"/>
    </row>
    <row r="322" spans="4:8" x14ac:dyDescent="0.35">
      <c r="D322"/>
      <c r="F322"/>
      <c r="G322" s="19"/>
      <c r="H322"/>
    </row>
    <row r="323" spans="4:8" x14ac:dyDescent="0.35">
      <c r="D323"/>
      <c r="F323"/>
      <c r="G323" s="19"/>
      <c r="H323"/>
    </row>
    <row r="324" spans="4:8" x14ac:dyDescent="0.35">
      <c r="D324"/>
      <c r="F324"/>
      <c r="G324" s="19"/>
      <c r="H324"/>
    </row>
    <row r="325" spans="4:8" x14ac:dyDescent="0.35">
      <c r="D325"/>
      <c r="F325"/>
      <c r="G325" s="19"/>
      <c r="H325"/>
    </row>
    <row r="326" spans="4:8" x14ac:dyDescent="0.35">
      <c r="D326"/>
      <c r="F326"/>
      <c r="G326" s="19"/>
      <c r="H326"/>
    </row>
    <row r="327" spans="4:8" x14ac:dyDescent="0.35">
      <c r="D327"/>
      <c r="F327"/>
      <c r="G327" s="19"/>
      <c r="H327"/>
    </row>
    <row r="328" spans="4:8" x14ac:dyDescent="0.35">
      <c r="D328"/>
      <c r="F328"/>
      <c r="G328" s="19"/>
      <c r="H328"/>
    </row>
    <row r="329" spans="4:8" x14ac:dyDescent="0.35">
      <c r="D329"/>
      <c r="F329"/>
      <c r="G329" s="19"/>
      <c r="H329"/>
    </row>
    <row r="330" spans="4:8" x14ac:dyDescent="0.35">
      <c r="D330"/>
      <c r="F330"/>
      <c r="G330" s="19"/>
      <c r="H330"/>
    </row>
    <row r="331" spans="4:8" x14ac:dyDescent="0.35">
      <c r="D331"/>
      <c r="F331"/>
      <c r="G331" s="19"/>
      <c r="H331"/>
    </row>
    <row r="332" spans="4:8" x14ac:dyDescent="0.35">
      <c r="D332"/>
      <c r="F332"/>
      <c r="G332" s="19"/>
      <c r="H332"/>
    </row>
    <row r="333" spans="4:8" x14ac:dyDescent="0.35">
      <c r="D333"/>
      <c r="F333"/>
      <c r="G333" s="19"/>
      <c r="H333"/>
    </row>
    <row r="334" spans="4:8" x14ac:dyDescent="0.35">
      <c r="D334"/>
      <c r="F334"/>
      <c r="G334" s="19"/>
      <c r="H334"/>
    </row>
    <row r="335" spans="4:8" x14ac:dyDescent="0.35">
      <c r="D335"/>
      <c r="F335"/>
      <c r="G335" s="19"/>
      <c r="H335"/>
    </row>
    <row r="336" spans="4:8" x14ac:dyDescent="0.35">
      <c r="D336"/>
      <c r="F336"/>
      <c r="G336" s="19"/>
      <c r="H336"/>
    </row>
    <row r="337" spans="4:26" x14ac:dyDescent="0.35">
      <c r="D337"/>
      <c r="F337"/>
      <c r="G337" s="19"/>
      <c r="H337"/>
    </row>
    <row r="338" spans="4:26" x14ac:dyDescent="0.35">
      <c r="D338"/>
      <c r="F338"/>
      <c r="G338" s="19"/>
      <c r="H338"/>
    </row>
    <row r="339" spans="4:26" x14ac:dyDescent="0.35">
      <c r="D339"/>
      <c r="F339"/>
      <c r="G339" s="19"/>
      <c r="H339"/>
    </row>
    <row r="340" spans="4:26" x14ac:dyDescent="0.35">
      <c r="D340"/>
      <c r="F340"/>
      <c r="G340" s="19"/>
      <c r="H340"/>
    </row>
    <row r="341" spans="4:26" x14ac:dyDescent="0.35">
      <c r="D341"/>
      <c r="F341"/>
      <c r="G341" s="19"/>
      <c r="H341"/>
      <c r="Z341" s="26"/>
    </row>
    <row r="342" spans="4:26" x14ac:dyDescent="0.35">
      <c r="D342"/>
      <c r="F342"/>
      <c r="G342" s="19"/>
      <c r="H342"/>
    </row>
    <row r="343" spans="4:26" x14ac:dyDescent="0.35">
      <c r="D343"/>
      <c r="F343"/>
      <c r="G343" s="19"/>
      <c r="H343"/>
    </row>
    <row r="344" spans="4:26" x14ac:dyDescent="0.35">
      <c r="D344"/>
      <c r="F344"/>
      <c r="G344" s="19"/>
      <c r="H344"/>
    </row>
    <row r="345" spans="4:26" x14ac:dyDescent="0.35">
      <c r="D345"/>
      <c r="F345"/>
      <c r="G345" s="19"/>
      <c r="H345"/>
    </row>
    <row r="346" spans="4:26" x14ac:dyDescent="0.35">
      <c r="D346"/>
      <c r="F346"/>
      <c r="G346" s="19"/>
      <c r="H346"/>
    </row>
    <row r="347" spans="4:26" x14ac:dyDescent="0.35">
      <c r="D347"/>
      <c r="F347"/>
      <c r="G347" s="19"/>
      <c r="H347"/>
    </row>
    <row r="348" spans="4:26" x14ac:dyDescent="0.35">
      <c r="D348"/>
      <c r="F348"/>
      <c r="G348" s="19"/>
      <c r="H348"/>
    </row>
    <row r="349" spans="4:26" x14ac:dyDescent="0.35">
      <c r="D349"/>
      <c r="F349"/>
      <c r="G349" s="19"/>
      <c r="H349"/>
    </row>
    <row r="350" spans="4:26" x14ac:dyDescent="0.35">
      <c r="D350"/>
      <c r="F350"/>
      <c r="G350" s="19"/>
      <c r="H350"/>
    </row>
    <row r="351" spans="4:26" x14ac:dyDescent="0.35">
      <c r="D351"/>
      <c r="F351"/>
      <c r="G351" s="19"/>
      <c r="H351"/>
    </row>
    <row r="352" spans="4:26" x14ac:dyDescent="0.35">
      <c r="D352"/>
      <c r="F352"/>
      <c r="G352" s="19"/>
      <c r="H352"/>
    </row>
    <row r="353" spans="4:8" x14ac:dyDescent="0.35">
      <c r="D353"/>
      <c r="F353"/>
      <c r="G353" s="19"/>
      <c r="H353"/>
    </row>
    <row r="354" spans="4:8" x14ac:dyDescent="0.35">
      <c r="D354"/>
      <c r="F354"/>
      <c r="G354" s="19"/>
      <c r="H354"/>
    </row>
    <row r="355" spans="4:8" x14ac:dyDescent="0.35">
      <c r="D355"/>
      <c r="F355"/>
      <c r="G355" s="19"/>
      <c r="H355"/>
    </row>
    <row r="356" spans="4:8" x14ac:dyDescent="0.35">
      <c r="D356"/>
      <c r="F356"/>
      <c r="G356" s="19"/>
      <c r="H356"/>
    </row>
    <row r="357" spans="4:8" x14ac:dyDescent="0.35">
      <c r="D357"/>
      <c r="F357"/>
      <c r="G357" s="19"/>
      <c r="H357"/>
    </row>
    <row r="358" spans="4:8" x14ac:dyDescent="0.35">
      <c r="D358"/>
      <c r="F358"/>
      <c r="G358" s="19"/>
      <c r="H358"/>
    </row>
    <row r="359" spans="4:8" x14ac:dyDescent="0.35">
      <c r="D359"/>
      <c r="F359"/>
      <c r="G359" s="19"/>
      <c r="H359"/>
    </row>
    <row r="360" spans="4:8" x14ac:dyDescent="0.35">
      <c r="D360"/>
      <c r="F360"/>
      <c r="G360" s="19"/>
      <c r="H360"/>
    </row>
    <row r="361" spans="4:8" x14ac:dyDescent="0.35">
      <c r="D361"/>
      <c r="F361"/>
      <c r="G361" s="19"/>
      <c r="H361"/>
    </row>
    <row r="362" spans="4:8" x14ac:dyDescent="0.35">
      <c r="D362"/>
      <c r="F362"/>
      <c r="G362" s="19"/>
      <c r="H362"/>
    </row>
    <row r="363" spans="4:8" x14ac:dyDescent="0.35">
      <c r="D363"/>
      <c r="F363"/>
      <c r="G363" s="19"/>
      <c r="H363"/>
    </row>
    <row r="364" spans="4:8" x14ac:dyDescent="0.35">
      <c r="D364"/>
      <c r="F364"/>
      <c r="G364" s="19"/>
      <c r="H364"/>
    </row>
    <row r="365" spans="4:8" x14ac:dyDescent="0.35">
      <c r="D365"/>
      <c r="F365"/>
      <c r="G365" s="19"/>
      <c r="H365"/>
    </row>
    <row r="366" spans="4:8" x14ac:dyDescent="0.35">
      <c r="D366"/>
      <c r="F366"/>
      <c r="G366" s="19"/>
      <c r="H366"/>
    </row>
    <row r="367" spans="4:8" x14ac:dyDescent="0.35">
      <c r="D367"/>
      <c r="F367"/>
      <c r="G367" s="19"/>
      <c r="H367"/>
    </row>
    <row r="368" spans="4:8" x14ac:dyDescent="0.35">
      <c r="D368"/>
      <c r="F368"/>
      <c r="G368" s="19"/>
      <c r="H368"/>
    </row>
    <row r="369" spans="4:8" x14ac:dyDescent="0.35">
      <c r="D369"/>
      <c r="F369"/>
      <c r="G369" s="19"/>
      <c r="H369"/>
    </row>
    <row r="370" spans="4:8" x14ac:dyDescent="0.35">
      <c r="D370"/>
      <c r="F370"/>
      <c r="G370" s="19"/>
      <c r="H370"/>
    </row>
    <row r="371" spans="4:8" x14ac:dyDescent="0.35">
      <c r="D371"/>
      <c r="F371"/>
      <c r="G371" s="19"/>
      <c r="H371"/>
    </row>
    <row r="372" spans="4:8" x14ac:dyDescent="0.35">
      <c r="D372"/>
      <c r="F372"/>
      <c r="G372" s="19"/>
      <c r="H372"/>
    </row>
    <row r="373" spans="4:8" x14ac:dyDescent="0.35">
      <c r="D373"/>
      <c r="F373"/>
      <c r="G373" s="19"/>
      <c r="H373"/>
    </row>
    <row r="374" spans="4:8" x14ac:dyDescent="0.35">
      <c r="D374"/>
      <c r="F374"/>
      <c r="G374" s="19"/>
      <c r="H374"/>
    </row>
    <row r="375" spans="4:8" x14ac:dyDescent="0.35">
      <c r="D375"/>
      <c r="F375"/>
      <c r="G375" s="19"/>
      <c r="H375"/>
    </row>
    <row r="376" spans="4:8" x14ac:dyDescent="0.35">
      <c r="D376"/>
      <c r="F376"/>
      <c r="G376" s="19"/>
      <c r="H376"/>
    </row>
    <row r="377" spans="4:8" x14ac:dyDescent="0.35">
      <c r="D377"/>
      <c r="F377"/>
      <c r="G377" s="19"/>
      <c r="H377"/>
    </row>
    <row r="378" spans="4:8" x14ac:dyDescent="0.35">
      <c r="D378"/>
      <c r="F378"/>
      <c r="G378" s="19"/>
      <c r="H378"/>
    </row>
    <row r="379" spans="4:8" x14ac:dyDescent="0.35">
      <c r="D379"/>
      <c r="F379"/>
      <c r="G379" s="19"/>
      <c r="H379"/>
    </row>
    <row r="380" spans="4:8" x14ac:dyDescent="0.35">
      <c r="D380"/>
      <c r="F380"/>
      <c r="G380" s="19"/>
      <c r="H380"/>
    </row>
    <row r="381" spans="4:8" x14ac:dyDescent="0.35">
      <c r="D381"/>
      <c r="F381"/>
      <c r="G381" s="19"/>
      <c r="H381"/>
    </row>
    <row r="382" spans="4:8" x14ac:dyDescent="0.35">
      <c r="D382"/>
      <c r="F382"/>
      <c r="G382" s="19"/>
      <c r="H382"/>
    </row>
    <row r="383" spans="4:8" x14ac:dyDescent="0.35">
      <c r="D383"/>
      <c r="F383"/>
      <c r="G383" s="19"/>
      <c r="H383"/>
    </row>
    <row r="384" spans="4:8" x14ac:dyDescent="0.35">
      <c r="D384"/>
      <c r="F384"/>
      <c r="G384" s="19"/>
      <c r="H384"/>
    </row>
    <row r="385" spans="4:8" x14ac:dyDescent="0.35">
      <c r="D385"/>
      <c r="F385"/>
      <c r="G385" s="19"/>
      <c r="H385"/>
    </row>
    <row r="386" spans="4:8" x14ac:dyDescent="0.35">
      <c r="D386"/>
      <c r="F386"/>
      <c r="G386" s="19"/>
      <c r="H386"/>
    </row>
    <row r="387" spans="4:8" x14ac:dyDescent="0.35">
      <c r="D387"/>
      <c r="F387"/>
      <c r="G387" s="19"/>
      <c r="H387"/>
    </row>
    <row r="388" spans="4:8" x14ac:dyDescent="0.35">
      <c r="D388"/>
      <c r="F388"/>
      <c r="G388" s="19"/>
      <c r="H388"/>
    </row>
    <row r="389" spans="4:8" x14ac:dyDescent="0.35">
      <c r="D389"/>
      <c r="F389"/>
      <c r="G389" s="19"/>
      <c r="H389"/>
    </row>
    <row r="390" spans="4:8" x14ac:dyDescent="0.35">
      <c r="D390"/>
      <c r="F390"/>
      <c r="G390" s="19"/>
      <c r="H390"/>
    </row>
    <row r="391" spans="4:8" x14ac:dyDescent="0.35">
      <c r="D391"/>
      <c r="F391"/>
      <c r="G391" s="19"/>
      <c r="H391"/>
    </row>
    <row r="392" spans="4:8" x14ac:dyDescent="0.35">
      <c r="D392"/>
      <c r="F392"/>
      <c r="G392" s="19"/>
      <c r="H392"/>
    </row>
    <row r="393" spans="4:8" x14ac:dyDescent="0.35">
      <c r="D393"/>
      <c r="F393"/>
      <c r="G393" s="19"/>
      <c r="H393"/>
    </row>
    <row r="394" spans="4:8" x14ac:dyDescent="0.35">
      <c r="D394"/>
      <c r="F394"/>
      <c r="G394" s="19"/>
      <c r="H394"/>
    </row>
    <row r="395" spans="4:8" x14ac:dyDescent="0.35">
      <c r="D395"/>
      <c r="F395"/>
      <c r="G395" s="19"/>
      <c r="H395"/>
    </row>
    <row r="396" spans="4:8" x14ac:dyDescent="0.35">
      <c r="D396"/>
      <c r="F396"/>
      <c r="G396" s="19"/>
      <c r="H396"/>
    </row>
    <row r="397" spans="4:8" x14ac:dyDescent="0.35">
      <c r="D397"/>
      <c r="F397"/>
      <c r="G397" s="19"/>
      <c r="H397"/>
    </row>
    <row r="398" spans="4:8" x14ac:dyDescent="0.35">
      <c r="D398"/>
      <c r="F398"/>
      <c r="G398" s="19"/>
      <c r="H398"/>
    </row>
    <row r="399" spans="4:8" x14ac:dyDescent="0.35">
      <c r="D399"/>
      <c r="F399"/>
      <c r="G399" s="19"/>
      <c r="H399"/>
    </row>
    <row r="400" spans="4:8" x14ac:dyDescent="0.35">
      <c r="D400"/>
      <c r="F400"/>
      <c r="G400" s="19"/>
      <c r="H400"/>
    </row>
    <row r="401" spans="4:8" x14ac:dyDescent="0.35">
      <c r="D401"/>
      <c r="F401"/>
      <c r="G401" s="19"/>
      <c r="H401"/>
    </row>
    <row r="402" spans="4:8" x14ac:dyDescent="0.35">
      <c r="D402"/>
      <c r="F402"/>
      <c r="G402" s="19"/>
      <c r="H402"/>
    </row>
    <row r="403" spans="4:8" x14ac:dyDescent="0.35">
      <c r="D403"/>
      <c r="F403"/>
      <c r="G403" s="19"/>
      <c r="H403"/>
    </row>
    <row r="404" spans="4:8" x14ac:dyDescent="0.35">
      <c r="D404"/>
      <c r="F404"/>
      <c r="G404" s="19"/>
      <c r="H404"/>
    </row>
    <row r="405" spans="4:8" x14ac:dyDescent="0.35">
      <c r="D405"/>
      <c r="F405"/>
      <c r="G405" s="19"/>
      <c r="H405"/>
    </row>
    <row r="406" spans="4:8" x14ac:dyDescent="0.35">
      <c r="D406"/>
      <c r="F406"/>
      <c r="G406" s="19"/>
      <c r="H406"/>
    </row>
    <row r="407" spans="4:8" x14ac:dyDescent="0.35">
      <c r="D407"/>
      <c r="F407"/>
      <c r="G407" s="19"/>
      <c r="H407"/>
    </row>
    <row r="408" spans="4:8" x14ac:dyDescent="0.35">
      <c r="D408"/>
      <c r="F408"/>
      <c r="G408" s="19"/>
      <c r="H408"/>
    </row>
    <row r="409" spans="4:8" x14ac:dyDescent="0.35">
      <c r="D409"/>
      <c r="F409"/>
      <c r="G409" s="19"/>
      <c r="H409"/>
    </row>
    <row r="410" spans="4:8" x14ac:dyDescent="0.35">
      <c r="D410"/>
      <c r="F410"/>
      <c r="G410" s="19"/>
      <c r="H410"/>
    </row>
    <row r="411" spans="4:8" x14ac:dyDescent="0.35">
      <c r="D411"/>
      <c r="F411"/>
      <c r="G411" s="19"/>
      <c r="H411"/>
    </row>
    <row r="412" spans="4:8" x14ac:dyDescent="0.35">
      <c r="D412"/>
      <c r="F412"/>
      <c r="G412" s="19"/>
      <c r="H412"/>
    </row>
    <row r="413" spans="4:8" x14ac:dyDescent="0.35">
      <c r="D413"/>
      <c r="F413"/>
      <c r="G413" s="19"/>
      <c r="H413"/>
    </row>
    <row r="414" spans="4:8" x14ac:dyDescent="0.35">
      <c r="D414"/>
      <c r="F414"/>
      <c r="G414" s="19"/>
      <c r="H414"/>
    </row>
    <row r="415" spans="4:8" x14ac:dyDescent="0.35">
      <c r="D415"/>
      <c r="F415"/>
      <c r="G415" s="19"/>
      <c r="H415"/>
    </row>
    <row r="416" spans="4:8" x14ac:dyDescent="0.35">
      <c r="D416"/>
      <c r="F416"/>
      <c r="G416" s="19"/>
      <c r="H416"/>
    </row>
    <row r="417" spans="4:8" x14ac:dyDescent="0.35">
      <c r="D417"/>
      <c r="F417"/>
      <c r="G417" s="19"/>
      <c r="H417"/>
    </row>
    <row r="418" spans="4:8" x14ac:dyDescent="0.35">
      <c r="D418"/>
      <c r="F418"/>
      <c r="G418" s="19"/>
      <c r="H418"/>
    </row>
    <row r="419" spans="4:8" x14ac:dyDescent="0.35">
      <c r="D419"/>
      <c r="F419"/>
      <c r="G419" s="19"/>
      <c r="H419"/>
    </row>
    <row r="420" spans="4:8" x14ac:dyDescent="0.35">
      <c r="D420"/>
      <c r="F420"/>
      <c r="G420" s="19"/>
      <c r="H420"/>
    </row>
    <row r="421" spans="4:8" x14ac:dyDescent="0.35">
      <c r="D421"/>
      <c r="F421"/>
      <c r="G421" s="19"/>
      <c r="H421"/>
    </row>
    <row r="422" spans="4:8" x14ac:dyDescent="0.35">
      <c r="D422"/>
      <c r="F422"/>
      <c r="G422" s="19"/>
      <c r="H422"/>
    </row>
    <row r="423" spans="4:8" x14ac:dyDescent="0.35">
      <c r="D423"/>
      <c r="F423"/>
      <c r="G423" s="19"/>
      <c r="H423"/>
    </row>
    <row r="424" spans="4:8" x14ac:dyDescent="0.35">
      <c r="D424"/>
      <c r="F424"/>
      <c r="G424" s="19"/>
      <c r="H424"/>
    </row>
    <row r="425" spans="4:8" x14ac:dyDescent="0.35">
      <c r="D425"/>
      <c r="F425"/>
      <c r="G425" s="19"/>
      <c r="H425"/>
    </row>
    <row r="426" spans="4:8" x14ac:dyDescent="0.35">
      <c r="D426"/>
      <c r="F426"/>
      <c r="G426" s="19"/>
      <c r="H426"/>
    </row>
    <row r="427" spans="4:8" x14ac:dyDescent="0.35">
      <c r="D427"/>
      <c r="F427"/>
      <c r="G427" s="19"/>
      <c r="H427"/>
    </row>
    <row r="428" spans="4:8" x14ac:dyDescent="0.35">
      <c r="D428"/>
      <c r="F428"/>
      <c r="G428" s="19"/>
      <c r="H428"/>
    </row>
    <row r="429" spans="4:8" x14ac:dyDescent="0.35">
      <c r="D429"/>
      <c r="F429"/>
      <c r="G429" s="19"/>
      <c r="H429"/>
    </row>
    <row r="430" spans="4:8" x14ac:dyDescent="0.35">
      <c r="D430"/>
      <c r="F430"/>
      <c r="G430" s="19"/>
      <c r="H430"/>
    </row>
    <row r="431" spans="4:8" x14ac:dyDescent="0.35">
      <c r="D431"/>
      <c r="F431"/>
      <c r="G431" s="19"/>
      <c r="H431"/>
    </row>
    <row r="432" spans="4:8" x14ac:dyDescent="0.35">
      <c r="D432"/>
      <c r="F432"/>
      <c r="G432" s="19"/>
      <c r="H432"/>
    </row>
    <row r="433" spans="4:8" x14ac:dyDescent="0.35">
      <c r="D433"/>
      <c r="F433"/>
      <c r="G433" s="19"/>
      <c r="H433"/>
    </row>
    <row r="434" spans="4:8" x14ac:dyDescent="0.35">
      <c r="D434"/>
      <c r="F434"/>
      <c r="G434" s="19"/>
      <c r="H434"/>
    </row>
    <row r="435" spans="4:8" x14ac:dyDescent="0.35">
      <c r="D435"/>
      <c r="F435"/>
      <c r="G435" s="19"/>
      <c r="H435"/>
    </row>
    <row r="436" spans="4:8" x14ac:dyDescent="0.35">
      <c r="D436"/>
      <c r="F436"/>
      <c r="G436" s="19"/>
      <c r="H436"/>
    </row>
    <row r="437" spans="4:8" x14ac:dyDescent="0.35">
      <c r="D437"/>
      <c r="F437"/>
      <c r="G437" s="19"/>
      <c r="H437"/>
    </row>
    <row r="438" spans="4:8" x14ac:dyDescent="0.35">
      <c r="D438"/>
      <c r="F438"/>
      <c r="G438" s="19"/>
      <c r="H438"/>
    </row>
    <row r="439" spans="4:8" x14ac:dyDescent="0.35">
      <c r="D439"/>
      <c r="F439"/>
      <c r="G439" s="19"/>
      <c r="H439"/>
    </row>
    <row r="440" spans="4:8" x14ac:dyDescent="0.35">
      <c r="D440"/>
      <c r="F440"/>
      <c r="G440" s="19"/>
      <c r="H440"/>
    </row>
    <row r="441" spans="4:8" x14ac:dyDescent="0.35">
      <c r="D441"/>
      <c r="F441"/>
      <c r="G441" s="19"/>
      <c r="H441"/>
    </row>
    <row r="442" spans="4:8" x14ac:dyDescent="0.35">
      <c r="D442"/>
      <c r="F442"/>
      <c r="G442" s="19"/>
      <c r="H442"/>
    </row>
    <row r="443" spans="4:8" x14ac:dyDescent="0.35">
      <c r="D443"/>
      <c r="F443"/>
      <c r="G443" s="19"/>
      <c r="H443"/>
    </row>
    <row r="444" spans="4:8" x14ac:dyDescent="0.35">
      <c r="D444"/>
      <c r="F444"/>
      <c r="G444" s="19"/>
      <c r="H444"/>
    </row>
    <row r="445" spans="4:8" x14ac:dyDescent="0.35">
      <c r="D445"/>
      <c r="F445"/>
      <c r="G445" s="19"/>
      <c r="H445"/>
    </row>
    <row r="446" spans="4:8" x14ac:dyDescent="0.35">
      <c r="D446"/>
      <c r="F446"/>
      <c r="G446" s="19"/>
      <c r="H446"/>
    </row>
    <row r="447" spans="4:8" x14ac:dyDescent="0.35">
      <c r="D447"/>
      <c r="F447"/>
      <c r="G447" s="19"/>
      <c r="H447"/>
    </row>
    <row r="448" spans="4:8" x14ac:dyDescent="0.35">
      <c r="D448"/>
      <c r="F448"/>
      <c r="G448" s="19"/>
      <c r="H448"/>
    </row>
    <row r="449" spans="4:8" x14ac:dyDescent="0.35">
      <c r="D449"/>
      <c r="F449"/>
      <c r="G449" s="19"/>
      <c r="H449"/>
    </row>
    <row r="450" spans="4:8" x14ac:dyDescent="0.35">
      <c r="D450"/>
      <c r="F450"/>
      <c r="G450" s="19"/>
      <c r="H450"/>
    </row>
    <row r="451" spans="4:8" x14ac:dyDescent="0.35">
      <c r="D451"/>
      <c r="F451"/>
      <c r="G451" s="19"/>
      <c r="H451"/>
    </row>
    <row r="452" spans="4:8" x14ac:dyDescent="0.35">
      <c r="D452"/>
      <c r="F452"/>
      <c r="G452" s="19"/>
      <c r="H452"/>
    </row>
    <row r="453" spans="4:8" x14ac:dyDescent="0.35">
      <c r="D453"/>
      <c r="F453"/>
      <c r="G453" s="19"/>
      <c r="H453"/>
    </row>
    <row r="454" spans="4:8" x14ac:dyDescent="0.35">
      <c r="D454"/>
      <c r="F454"/>
      <c r="G454" s="19"/>
      <c r="H454"/>
    </row>
    <row r="455" spans="4:8" x14ac:dyDescent="0.35">
      <c r="D455"/>
      <c r="F455"/>
      <c r="G455" s="19"/>
      <c r="H455"/>
    </row>
    <row r="456" spans="4:8" x14ac:dyDescent="0.35">
      <c r="D456"/>
      <c r="F456"/>
      <c r="G456" s="19"/>
      <c r="H456"/>
    </row>
    <row r="457" spans="4:8" x14ac:dyDescent="0.35">
      <c r="D457"/>
      <c r="F457"/>
      <c r="G457" s="19"/>
      <c r="H457"/>
    </row>
    <row r="458" spans="4:8" x14ac:dyDescent="0.35">
      <c r="D458"/>
      <c r="F458"/>
      <c r="G458" s="19"/>
      <c r="H458"/>
    </row>
    <row r="459" spans="4:8" x14ac:dyDescent="0.35">
      <c r="D459"/>
      <c r="F459"/>
      <c r="G459" s="19"/>
      <c r="H459"/>
    </row>
    <row r="460" spans="4:8" x14ac:dyDescent="0.35">
      <c r="D460"/>
      <c r="F460"/>
      <c r="G460" s="19"/>
      <c r="H460"/>
    </row>
    <row r="461" spans="4:8" x14ac:dyDescent="0.35">
      <c r="D461"/>
      <c r="F461"/>
      <c r="G461" s="19"/>
      <c r="H461"/>
    </row>
    <row r="462" spans="4:8" x14ac:dyDescent="0.35">
      <c r="D462"/>
      <c r="F462"/>
      <c r="G462" s="19"/>
      <c r="H462"/>
    </row>
    <row r="463" spans="4:8" x14ac:dyDescent="0.35">
      <c r="D463"/>
      <c r="F463"/>
      <c r="G463" s="19"/>
      <c r="H463"/>
    </row>
    <row r="464" spans="4:8" x14ac:dyDescent="0.35">
      <c r="D464"/>
      <c r="F464"/>
      <c r="G464" s="19"/>
      <c r="H464"/>
    </row>
    <row r="465" spans="4:8" x14ac:dyDescent="0.35">
      <c r="D465"/>
      <c r="F465"/>
      <c r="G465" s="19"/>
      <c r="H465"/>
    </row>
    <row r="466" spans="4:8" x14ac:dyDescent="0.35">
      <c r="D466"/>
      <c r="F466"/>
      <c r="G466" s="19"/>
      <c r="H466"/>
    </row>
    <row r="467" spans="4:8" x14ac:dyDescent="0.35">
      <c r="D467"/>
      <c r="F467"/>
      <c r="G467" s="19"/>
      <c r="H467"/>
    </row>
    <row r="468" spans="4:8" x14ac:dyDescent="0.35">
      <c r="D468"/>
      <c r="F468"/>
      <c r="G468" s="19"/>
      <c r="H468"/>
    </row>
    <row r="469" spans="4:8" x14ac:dyDescent="0.35">
      <c r="D469"/>
      <c r="F469"/>
      <c r="G469" s="19"/>
      <c r="H469"/>
    </row>
    <row r="470" spans="4:8" x14ac:dyDescent="0.35">
      <c r="D470"/>
      <c r="F470"/>
      <c r="G470" s="19"/>
      <c r="H470"/>
    </row>
    <row r="471" spans="4:8" x14ac:dyDescent="0.35">
      <c r="D471"/>
      <c r="F471"/>
      <c r="G471" s="19"/>
      <c r="H471"/>
    </row>
    <row r="472" spans="4:8" x14ac:dyDescent="0.35">
      <c r="D472"/>
      <c r="F472"/>
      <c r="G472" s="19"/>
      <c r="H472"/>
    </row>
    <row r="473" spans="4:8" x14ac:dyDescent="0.35">
      <c r="D473"/>
      <c r="F473"/>
      <c r="G473" s="19"/>
      <c r="H473"/>
    </row>
    <row r="474" spans="4:8" x14ac:dyDescent="0.35">
      <c r="D474"/>
      <c r="F474"/>
      <c r="G474" s="19"/>
      <c r="H474"/>
    </row>
    <row r="475" spans="4:8" x14ac:dyDescent="0.35">
      <c r="D475"/>
      <c r="F475"/>
      <c r="G475" s="19"/>
      <c r="H475"/>
    </row>
    <row r="476" spans="4:8" x14ac:dyDescent="0.35">
      <c r="D476"/>
      <c r="F476"/>
      <c r="G476" s="19"/>
      <c r="H476"/>
    </row>
    <row r="477" spans="4:8" x14ac:dyDescent="0.35">
      <c r="D477"/>
      <c r="F477"/>
      <c r="G477" s="19"/>
      <c r="H477"/>
    </row>
    <row r="478" spans="4:8" x14ac:dyDescent="0.35">
      <c r="D478"/>
      <c r="F478"/>
      <c r="G478" s="19"/>
      <c r="H478"/>
    </row>
    <row r="479" spans="4:8" x14ac:dyDescent="0.35">
      <c r="D479"/>
      <c r="F479"/>
      <c r="G479" s="19"/>
      <c r="H479"/>
    </row>
    <row r="480" spans="4:8" x14ac:dyDescent="0.35">
      <c r="D480"/>
      <c r="F480"/>
      <c r="G480" s="19"/>
      <c r="H480"/>
    </row>
    <row r="481" spans="4:8" x14ac:dyDescent="0.35">
      <c r="D481"/>
      <c r="F481"/>
      <c r="G481" s="19"/>
      <c r="H481"/>
    </row>
    <row r="482" spans="4:8" x14ac:dyDescent="0.35">
      <c r="D482"/>
      <c r="F482"/>
      <c r="G482" s="19"/>
      <c r="H482"/>
    </row>
    <row r="483" spans="4:8" x14ac:dyDescent="0.35">
      <c r="D483"/>
      <c r="F483"/>
      <c r="G483" s="19"/>
      <c r="H483"/>
    </row>
    <row r="484" spans="4:8" x14ac:dyDescent="0.35">
      <c r="D484"/>
      <c r="F484"/>
      <c r="G484" s="19"/>
      <c r="H484"/>
    </row>
    <row r="485" spans="4:8" x14ac:dyDescent="0.35">
      <c r="D485"/>
      <c r="F485"/>
      <c r="G485" s="19"/>
      <c r="H485"/>
    </row>
    <row r="486" spans="4:8" x14ac:dyDescent="0.35">
      <c r="D486"/>
      <c r="F486"/>
      <c r="G486" s="19"/>
      <c r="H486"/>
    </row>
    <row r="487" spans="4:8" x14ac:dyDescent="0.35">
      <c r="D487"/>
      <c r="F487"/>
      <c r="G487" s="19"/>
      <c r="H487"/>
    </row>
    <row r="488" spans="4:8" x14ac:dyDescent="0.35">
      <c r="D488"/>
      <c r="F488"/>
      <c r="G488" s="19"/>
      <c r="H488"/>
    </row>
    <row r="489" spans="4:8" x14ac:dyDescent="0.35">
      <c r="D489"/>
      <c r="F489"/>
      <c r="G489" s="19"/>
      <c r="H489"/>
    </row>
    <row r="490" spans="4:8" x14ac:dyDescent="0.35">
      <c r="D490"/>
      <c r="F490"/>
      <c r="G490" s="19"/>
      <c r="H490"/>
    </row>
    <row r="491" spans="4:8" x14ac:dyDescent="0.35">
      <c r="D491"/>
      <c r="F491"/>
      <c r="G491" s="19"/>
      <c r="H491"/>
    </row>
    <row r="492" spans="4:8" x14ac:dyDescent="0.35">
      <c r="D492"/>
      <c r="F492"/>
      <c r="G492" s="19"/>
      <c r="H492"/>
    </row>
    <row r="493" spans="4:8" x14ac:dyDescent="0.35">
      <c r="D493"/>
      <c r="F493"/>
      <c r="G493" s="19"/>
      <c r="H493"/>
    </row>
    <row r="494" spans="4:8" x14ac:dyDescent="0.35">
      <c r="D494"/>
      <c r="F494"/>
      <c r="G494" s="19"/>
      <c r="H494"/>
    </row>
    <row r="495" spans="4:8" x14ac:dyDescent="0.35">
      <c r="D495"/>
      <c r="F495"/>
      <c r="G495" s="19"/>
      <c r="H495"/>
    </row>
    <row r="496" spans="4:8" x14ac:dyDescent="0.35">
      <c r="D496"/>
      <c r="F496"/>
      <c r="G496" s="19"/>
      <c r="H496"/>
    </row>
    <row r="497" spans="4:8" x14ac:dyDescent="0.35">
      <c r="D497"/>
      <c r="F497"/>
      <c r="G497" s="19"/>
      <c r="H497"/>
    </row>
    <row r="498" spans="4:8" x14ac:dyDescent="0.35">
      <c r="D498"/>
      <c r="F498"/>
      <c r="G498" s="19"/>
      <c r="H498"/>
    </row>
    <row r="499" spans="4:8" x14ac:dyDescent="0.35">
      <c r="D499"/>
      <c r="F499"/>
      <c r="G499" s="19"/>
      <c r="H499"/>
    </row>
    <row r="500" spans="4:8" x14ac:dyDescent="0.35">
      <c r="D500"/>
      <c r="F500"/>
      <c r="G500" s="19"/>
      <c r="H500"/>
    </row>
    <row r="501" spans="4:8" x14ac:dyDescent="0.35">
      <c r="D501"/>
      <c r="F501"/>
      <c r="G501" s="19"/>
      <c r="H501"/>
    </row>
    <row r="502" spans="4:8" x14ac:dyDescent="0.35">
      <c r="D502"/>
      <c r="F502"/>
      <c r="G502" s="19"/>
      <c r="H502"/>
    </row>
    <row r="503" spans="4:8" x14ac:dyDescent="0.35">
      <c r="D503"/>
      <c r="F503"/>
      <c r="G503" s="19"/>
      <c r="H503"/>
    </row>
    <row r="504" spans="4:8" x14ac:dyDescent="0.35">
      <c r="D504"/>
      <c r="F504"/>
      <c r="G504" s="19"/>
      <c r="H504"/>
    </row>
    <row r="505" spans="4:8" x14ac:dyDescent="0.35">
      <c r="D505"/>
      <c r="F505"/>
      <c r="G505" s="19"/>
      <c r="H505"/>
    </row>
    <row r="506" spans="4:8" x14ac:dyDescent="0.35">
      <c r="D506"/>
      <c r="F506"/>
      <c r="G506" s="19"/>
      <c r="H506"/>
    </row>
    <row r="507" spans="4:8" x14ac:dyDescent="0.35">
      <c r="D507"/>
      <c r="F507"/>
      <c r="G507" s="19"/>
      <c r="H507"/>
    </row>
    <row r="508" spans="4:8" x14ac:dyDescent="0.35">
      <c r="D508"/>
      <c r="F508"/>
      <c r="G508" s="19"/>
      <c r="H508"/>
    </row>
    <row r="509" spans="4:8" x14ac:dyDescent="0.35">
      <c r="D509"/>
      <c r="F509"/>
      <c r="G509" s="19"/>
      <c r="H509"/>
    </row>
    <row r="510" spans="4:8" x14ac:dyDescent="0.35">
      <c r="D510"/>
      <c r="F510"/>
      <c r="G510" s="19"/>
      <c r="H510"/>
    </row>
    <row r="511" spans="4:8" x14ac:dyDescent="0.35">
      <c r="D511"/>
      <c r="F511"/>
      <c r="G511" s="19"/>
      <c r="H511"/>
    </row>
    <row r="512" spans="4:8" x14ac:dyDescent="0.35">
      <c r="D512"/>
      <c r="F512"/>
      <c r="G512" s="19"/>
      <c r="H512"/>
    </row>
    <row r="513" spans="4:8" x14ac:dyDescent="0.35">
      <c r="D513"/>
      <c r="F513"/>
      <c r="G513" s="19"/>
      <c r="H513"/>
    </row>
    <row r="514" spans="4:8" x14ac:dyDescent="0.35">
      <c r="D514"/>
      <c r="F514"/>
      <c r="G514" s="19"/>
      <c r="H514"/>
    </row>
    <row r="515" spans="4:8" x14ac:dyDescent="0.35">
      <c r="D515"/>
      <c r="F515"/>
      <c r="G515" s="19"/>
      <c r="H515"/>
    </row>
    <row r="516" spans="4:8" x14ac:dyDescent="0.35">
      <c r="D516"/>
      <c r="F516"/>
      <c r="G516" s="19"/>
      <c r="H516"/>
    </row>
    <row r="517" spans="4:8" x14ac:dyDescent="0.35">
      <c r="D517"/>
      <c r="F517"/>
      <c r="G517" s="19"/>
      <c r="H517"/>
    </row>
    <row r="518" spans="4:8" x14ac:dyDescent="0.35">
      <c r="D518"/>
      <c r="F518"/>
      <c r="G518" s="19"/>
      <c r="H518"/>
    </row>
    <row r="519" spans="4:8" x14ac:dyDescent="0.35">
      <c r="D519"/>
      <c r="F519"/>
      <c r="G519" s="19"/>
      <c r="H519"/>
    </row>
    <row r="520" spans="4:8" x14ac:dyDescent="0.35">
      <c r="D520"/>
      <c r="F520"/>
      <c r="G520" s="19"/>
      <c r="H520"/>
    </row>
    <row r="521" spans="4:8" x14ac:dyDescent="0.35">
      <c r="D521"/>
      <c r="F521"/>
      <c r="G521" s="19"/>
      <c r="H521"/>
    </row>
    <row r="522" spans="4:8" x14ac:dyDescent="0.35">
      <c r="D522"/>
      <c r="F522"/>
      <c r="G522" s="19"/>
      <c r="H522"/>
    </row>
    <row r="523" spans="4:8" x14ac:dyDescent="0.35">
      <c r="D523"/>
      <c r="F523"/>
      <c r="G523" s="19"/>
      <c r="H523"/>
    </row>
    <row r="524" spans="4:8" x14ac:dyDescent="0.35">
      <c r="D524"/>
      <c r="F524"/>
      <c r="G524" s="19"/>
      <c r="H524"/>
    </row>
    <row r="525" spans="4:8" x14ac:dyDescent="0.35">
      <c r="D525"/>
      <c r="F525"/>
      <c r="G525" s="19"/>
      <c r="H525"/>
    </row>
    <row r="526" spans="4:8" x14ac:dyDescent="0.35">
      <c r="D526"/>
      <c r="F526"/>
      <c r="G526" s="19"/>
      <c r="H526"/>
    </row>
    <row r="527" spans="4:8" x14ac:dyDescent="0.35">
      <c r="D527"/>
      <c r="F527"/>
      <c r="G527" s="19"/>
      <c r="H527"/>
    </row>
    <row r="528" spans="4:8" x14ac:dyDescent="0.35">
      <c r="D528"/>
      <c r="F528"/>
      <c r="G528" s="19"/>
      <c r="H528"/>
    </row>
    <row r="529" spans="4:8" x14ac:dyDescent="0.35">
      <c r="D529"/>
      <c r="F529"/>
      <c r="G529" s="19"/>
      <c r="H529"/>
    </row>
    <row r="530" spans="4:8" x14ac:dyDescent="0.35">
      <c r="D530"/>
      <c r="F530"/>
      <c r="G530" s="19"/>
      <c r="H530"/>
    </row>
    <row r="531" spans="4:8" x14ac:dyDescent="0.35">
      <c r="D531"/>
      <c r="F531"/>
      <c r="G531" s="19"/>
      <c r="H531"/>
    </row>
    <row r="532" spans="4:8" x14ac:dyDescent="0.35">
      <c r="D532"/>
      <c r="F532"/>
      <c r="G532" s="19"/>
      <c r="H532"/>
    </row>
    <row r="533" spans="4:8" x14ac:dyDescent="0.35">
      <c r="D533"/>
      <c r="F533"/>
      <c r="G533" s="19"/>
      <c r="H533"/>
    </row>
    <row r="534" spans="4:8" x14ac:dyDescent="0.35">
      <c r="D534"/>
      <c r="F534"/>
      <c r="G534" s="19"/>
      <c r="H534"/>
    </row>
    <row r="535" spans="4:8" x14ac:dyDescent="0.35">
      <c r="D535"/>
      <c r="F535"/>
      <c r="G535" s="19"/>
      <c r="H535"/>
    </row>
    <row r="536" spans="4:8" x14ac:dyDescent="0.35">
      <c r="D536"/>
      <c r="F536"/>
      <c r="G536" s="19"/>
      <c r="H536"/>
    </row>
    <row r="537" spans="4:8" x14ac:dyDescent="0.35">
      <c r="D537"/>
      <c r="F537"/>
      <c r="G537" s="19"/>
      <c r="H537"/>
    </row>
    <row r="538" spans="4:8" x14ac:dyDescent="0.35">
      <c r="D538"/>
      <c r="F538"/>
      <c r="G538" s="19"/>
      <c r="H538"/>
    </row>
    <row r="539" spans="4:8" x14ac:dyDescent="0.35">
      <c r="D539"/>
      <c r="F539"/>
      <c r="G539" s="19"/>
      <c r="H539"/>
    </row>
    <row r="540" spans="4:8" x14ac:dyDescent="0.35">
      <c r="D540"/>
      <c r="F540"/>
      <c r="G540" s="19"/>
      <c r="H540"/>
    </row>
    <row r="541" spans="4:8" x14ac:dyDescent="0.35">
      <c r="D541"/>
      <c r="F541"/>
      <c r="G541" s="19"/>
      <c r="H541"/>
    </row>
    <row r="542" spans="4:8" x14ac:dyDescent="0.35">
      <c r="D542"/>
      <c r="F542"/>
      <c r="G542" s="19"/>
      <c r="H542"/>
    </row>
    <row r="543" spans="4:8" x14ac:dyDescent="0.35">
      <c r="D543"/>
      <c r="F543"/>
      <c r="G543" s="19"/>
      <c r="H543"/>
    </row>
    <row r="544" spans="4:8" x14ac:dyDescent="0.35">
      <c r="D544"/>
      <c r="F544"/>
      <c r="G544" s="19"/>
      <c r="H544"/>
    </row>
    <row r="545" spans="4:8" x14ac:dyDescent="0.35">
      <c r="D545"/>
      <c r="F545"/>
      <c r="G545" s="19"/>
      <c r="H545"/>
    </row>
    <row r="546" spans="4:8" x14ac:dyDescent="0.35">
      <c r="D546"/>
      <c r="F546"/>
      <c r="G546" s="19"/>
      <c r="H546"/>
    </row>
    <row r="547" spans="4:8" x14ac:dyDescent="0.35">
      <c r="D547"/>
      <c r="F547"/>
      <c r="G547" s="19"/>
      <c r="H547"/>
    </row>
    <row r="548" spans="4:8" x14ac:dyDescent="0.35">
      <c r="D548"/>
      <c r="F548"/>
      <c r="G548" s="19"/>
      <c r="H548"/>
    </row>
    <row r="549" spans="4:8" x14ac:dyDescent="0.35">
      <c r="D549"/>
      <c r="F549"/>
      <c r="G549" s="19"/>
      <c r="H549"/>
    </row>
    <row r="550" spans="4:8" x14ac:dyDescent="0.35">
      <c r="D550"/>
      <c r="F550"/>
      <c r="G550" s="19"/>
      <c r="H550"/>
    </row>
    <row r="551" spans="4:8" x14ac:dyDescent="0.35">
      <c r="D551"/>
      <c r="F551"/>
      <c r="G551" s="19"/>
      <c r="H551"/>
    </row>
    <row r="552" spans="4:8" x14ac:dyDescent="0.35">
      <c r="D552"/>
      <c r="F552"/>
      <c r="G552" s="19"/>
      <c r="H552"/>
    </row>
    <row r="553" spans="4:8" x14ac:dyDescent="0.35">
      <c r="D553"/>
      <c r="F553"/>
      <c r="G553" s="19"/>
      <c r="H553"/>
    </row>
    <row r="554" spans="4:8" x14ac:dyDescent="0.35">
      <c r="D554"/>
      <c r="F554"/>
      <c r="G554" s="19"/>
      <c r="H554"/>
    </row>
    <row r="555" spans="4:8" x14ac:dyDescent="0.35">
      <c r="D555"/>
      <c r="F555"/>
      <c r="G555" s="19"/>
      <c r="H555"/>
    </row>
    <row r="556" spans="4:8" x14ac:dyDescent="0.35">
      <c r="D556"/>
      <c r="F556"/>
      <c r="G556" s="19"/>
      <c r="H556"/>
    </row>
    <row r="557" spans="4:8" x14ac:dyDescent="0.35">
      <c r="D557"/>
      <c r="F557"/>
      <c r="G557" s="19"/>
      <c r="H557"/>
    </row>
    <row r="558" spans="4:8" x14ac:dyDescent="0.35">
      <c r="D558"/>
      <c r="F558"/>
      <c r="G558" s="19"/>
      <c r="H558"/>
    </row>
    <row r="559" spans="4:8" x14ac:dyDescent="0.35">
      <c r="D559"/>
      <c r="F559"/>
      <c r="G559" s="19"/>
      <c r="H559"/>
    </row>
    <row r="560" spans="4:8" x14ac:dyDescent="0.35">
      <c r="D560"/>
      <c r="F560"/>
      <c r="G560" s="19"/>
      <c r="H560"/>
    </row>
    <row r="561" spans="4:8" x14ac:dyDescent="0.35">
      <c r="D561"/>
      <c r="F561"/>
      <c r="G561" s="19"/>
      <c r="H561"/>
    </row>
    <row r="562" spans="4:8" x14ac:dyDescent="0.35">
      <c r="D562"/>
      <c r="F562"/>
      <c r="G562" s="19"/>
      <c r="H562"/>
    </row>
    <row r="563" spans="4:8" x14ac:dyDescent="0.35">
      <c r="D563"/>
      <c r="F563"/>
      <c r="G563" s="19"/>
      <c r="H563"/>
    </row>
    <row r="564" spans="4:8" x14ac:dyDescent="0.35">
      <c r="D564"/>
      <c r="F564"/>
      <c r="G564" s="19"/>
      <c r="H564"/>
    </row>
    <row r="565" spans="4:8" x14ac:dyDescent="0.35">
      <c r="D565"/>
      <c r="F565"/>
      <c r="G565" s="19"/>
      <c r="H565"/>
    </row>
    <row r="566" spans="4:8" x14ac:dyDescent="0.35">
      <c r="D566"/>
      <c r="F566"/>
      <c r="G566" s="19"/>
      <c r="H566"/>
    </row>
    <row r="567" spans="4:8" x14ac:dyDescent="0.35">
      <c r="D567"/>
      <c r="F567"/>
      <c r="G567" s="19"/>
      <c r="H567"/>
    </row>
    <row r="568" spans="4:8" x14ac:dyDescent="0.35">
      <c r="D568"/>
      <c r="F568"/>
      <c r="G568" s="19"/>
      <c r="H568"/>
    </row>
    <row r="569" spans="4:8" x14ac:dyDescent="0.35">
      <c r="D569"/>
      <c r="F569"/>
      <c r="G569" s="19"/>
      <c r="H569"/>
    </row>
    <row r="570" spans="4:8" x14ac:dyDescent="0.35">
      <c r="D570"/>
      <c r="F570"/>
      <c r="G570" s="19"/>
      <c r="H570"/>
    </row>
    <row r="571" spans="4:8" x14ac:dyDescent="0.35">
      <c r="D571"/>
      <c r="F571"/>
      <c r="G571" s="19"/>
      <c r="H571"/>
    </row>
    <row r="572" spans="4:8" x14ac:dyDescent="0.35">
      <c r="D572"/>
      <c r="F572"/>
      <c r="G572" s="19"/>
      <c r="H572"/>
    </row>
    <row r="573" spans="4:8" x14ac:dyDescent="0.35">
      <c r="D573"/>
      <c r="F573"/>
      <c r="G573" s="19"/>
      <c r="H573"/>
    </row>
    <row r="574" spans="4:8" x14ac:dyDescent="0.35">
      <c r="D574"/>
      <c r="F574"/>
      <c r="G574" s="19"/>
      <c r="H574"/>
    </row>
    <row r="575" spans="4:8" x14ac:dyDescent="0.35">
      <c r="D575"/>
      <c r="F575"/>
      <c r="G575" s="19"/>
      <c r="H575"/>
    </row>
    <row r="576" spans="4:8" x14ac:dyDescent="0.35">
      <c r="D576"/>
      <c r="F576"/>
      <c r="G576" s="19"/>
      <c r="H576"/>
    </row>
    <row r="577" spans="4:8" x14ac:dyDescent="0.35">
      <c r="D577"/>
      <c r="F577"/>
      <c r="G577" s="19"/>
      <c r="H577"/>
    </row>
    <row r="578" spans="4:8" x14ac:dyDescent="0.35">
      <c r="D578"/>
      <c r="F578"/>
      <c r="G578" s="19"/>
      <c r="H578"/>
    </row>
    <row r="579" spans="4:8" x14ac:dyDescent="0.35">
      <c r="D579"/>
      <c r="F579"/>
      <c r="G579" s="19"/>
      <c r="H579"/>
    </row>
    <row r="580" spans="4:8" x14ac:dyDescent="0.35">
      <c r="D580"/>
      <c r="F580"/>
      <c r="G580" s="19"/>
      <c r="H580"/>
    </row>
    <row r="581" spans="4:8" x14ac:dyDescent="0.35">
      <c r="D581"/>
      <c r="F581"/>
      <c r="G581" s="19"/>
      <c r="H581"/>
    </row>
    <row r="582" spans="4:8" x14ac:dyDescent="0.35">
      <c r="D582"/>
      <c r="F582"/>
      <c r="G582" s="19"/>
      <c r="H582"/>
    </row>
    <row r="583" spans="4:8" x14ac:dyDescent="0.35">
      <c r="D583"/>
      <c r="F583"/>
      <c r="G583" s="19"/>
      <c r="H583"/>
    </row>
    <row r="584" spans="4:8" x14ac:dyDescent="0.35">
      <c r="D584"/>
      <c r="F584"/>
      <c r="G584" s="19"/>
      <c r="H584"/>
    </row>
    <row r="585" spans="4:8" x14ac:dyDescent="0.35">
      <c r="D585"/>
      <c r="F585"/>
      <c r="G585" s="19"/>
      <c r="H585"/>
    </row>
    <row r="586" spans="4:8" x14ac:dyDescent="0.35">
      <c r="D586"/>
      <c r="F586"/>
      <c r="G586" s="19"/>
      <c r="H586"/>
    </row>
    <row r="587" spans="4:8" x14ac:dyDescent="0.35">
      <c r="D587"/>
      <c r="F587"/>
      <c r="G587" s="19"/>
      <c r="H587"/>
    </row>
    <row r="588" spans="4:8" x14ac:dyDescent="0.35">
      <c r="D588"/>
      <c r="F588"/>
      <c r="G588" s="19"/>
      <c r="H588"/>
    </row>
    <row r="589" spans="4:8" x14ac:dyDescent="0.35">
      <c r="D589"/>
      <c r="F589"/>
      <c r="G589" s="19"/>
      <c r="H589"/>
    </row>
    <row r="590" spans="4:8" x14ac:dyDescent="0.35">
      <c r="D590"/>
      <c r="F590"/>
      <c r="G590" s="19"/>
      <c r="H590"/>
    </row>
    <row r="591" spans="4:8" x14ac:dyDescent="0.35">
      <c r="D591"/>
      <c r="F591"/>
      <c r="G591" s="19"/>
      <c r="H591"/>
    </row>
    <row r="592" spans="4:8" x14ac:dyDescent="0.35">
      <c r="D592"/>
      <c r="F592"/>
      <c r="G592" s="19"/>
      <c r="H592"/>
    </row>
    <row r="593" spans="4:8" x14ac:dyDescent="0.35">
      <c r="D593"/>
      <c r="F593"/>
      <c r="G593" s="19"/>
      <c r="H593"/>
    </row>
    <row r="594" spans="4:8" x14ac:dyDescent="0.35">
      <c r="D594"/>
      <c r="F594"/>
      <c r="G594" s="19"/>
      <c r="H594"/>
    </row>
    <row r="595" spans="4:8" x14ac:dyDescent="0.35">
      <c r="D595"/>
      <c r="F595"/>
      <c r="G595" s="19"/>
      <c r="H595"/>
    </row>
    <row r="596" spans="4:8" x14ac:dyDescent="0.35">
      <c r="D596"/>
      <c r="F596"/>
      <c r="G596" s="19"/>
      <c r="H596"/>
    </row>
    <row r="597" spans="4:8" x14ac:dyDescent="0.35">
      <c r="D597"/>
      <c r="F597"/>
      <c r="G597" s="19"/>
      <c r="H597"/>
    </row>
    <row r="598" spans="4:8" x14ac:dyDescent="0.35">
      <c r="D598"/>
      <c r="F598"/>
      <c r="G598" s="19"/>
      <c r="H598"/>
    </row>
    <row r="599" spans="4:8" x14ac:dyDescent="0.35">
      <c r="D599"/>
      <c r="F599"/>
      <c r="G599" s="19"/>
      <c r="H599"/>
    </row>
    <row r="600" spans="4:8" x14ac:dyDescent="0.35">
      <c r="D600"/>
      <c r="F600"/>
      <c r="G600" s="19"/>
      <c r="H600"/>
    </row>
    <row r="601" spans="4:8" x14ac:dyDescent="0.35">
      <c r="D601"/>
      <c r="F601"/>
      <c r="G601" s="19"/>
      <c r="H601"/>
    </row>
    <row r="602" spans="4:8" x14ac:dyDescent="0.35">
      <c r="D602"/>
      <c r="F602"/>
      <c r="G602" s="19"/>
      <c r="H602"/>
    </row>
    <row r="603" spans="4:8" x14ac:dyDescent="0.35">
      <c r="D603"/>
      <c r="F603"/>
      <c r="G603" s="19"/>
      <c r="H603"/>
    </row>
    <row r="604" spans="4:8" x14ac:dyDescent="0.35">
      <c r="D604"/>
      <c r="F604"/>
      <c r="G604" s="19"/>
      <c r="H604"/>
    </row>
    <row r="605" spans="4:8" x14ac:dyDescent="0.35">
      <c r="D605"/>
      <c r="F605"/>
      <c r="G605" s="19"/>
      <c r="H605"/>
    </row>
    <row r="606" spans="4:8" x14ac:dyDescent="0.35">
      <c r="D606"/>
      <c r="F606"/>
      <c r="G606" s="19"/>
      <c r="H606"/>
    </row>
    <row r="607" spans="4:8" x14ac:dyDescent="0.35">
      <c r="D607"/>
      <c r="F607"/>
      <c r="G607" s="19"/>
      <c r="H607"/>
    </row>
    <row r="608" spans="4:8" x14ac:dyDescent="0.35">
      <c r="D608"/>
      <c r="F608"/>
      <c r="G608" s="19"/>
      <c r="H608"/>
    </row>
    <row r="609" spans="4:8" x14ac:dyDescent="0.35">
      <c r="D609"/>
      <c r="F609"/>
      <c r="G609" s="19"/>
      <c r="H609"/>
    </row>
    <row r="610" spans="4:8" x14ac:dyDescent="0.35">
      <c r="D610"/>
      <c r="F610"/>
      <c r="G610" s="19"/>
      <c r="H610"/>
    </row>
    <row r="611" spans="4:8" x14ac:dyDescent="0.35">
      <c r="D611"/>
      <c r="F611"/>
      <c r="G611" s="19"/>
      <c r="H611"/>
    </row>
    <row r="612" spans="4:8" x14ac:dyDescent="0.35">
      <c r="D612"/>
      <c r="F612"/>
      <c r="G612" s="19"/>
      <c r="H612"/>
    </row>
    <row r="613" spans="4:8" x14ac:dyDescent="0.35">
      <c r="D613"/>
      <c r="F613"/>
      <c r="G613" s="19"/>
      <c r="H613"/>
    </row>
    <row r="614" spans="4:8" x14ac:dyDescent="0.35">
      <c r="D614"/>
      <c r="F614"/>
      <c r="G614" s="19"/>
      <c r="H614"/>
    </row>
    <row r="615" spans="4:8" x14ac:dyDescent="0.35">
      <c r="D615"/>
      <c r="F615"/>
      <c r="G615" s="19"/>
      <c r="H615"/>
    </row>
    <row r="616" spans="4:8" x14ac:dyDescent="0.35">
      <c r="D616"/>
      <c r="F616"/>
      <c r="G616" s="19"/>
      <c r="H616"/>
    </row>
    <row r="617" spans="4:8" x14ac:dyDescent="0.35">
      <c r="D617"/>
      <c r="F617"/>
      <c r="G617" s="19"/>
      <c r="H617"/>
    </row>
    <row r="618" spans="4:8" x14ac:dyDescent="0.35">
      <c r="D618"/>
      <c r="F618"/>
      <c r="G618" s="19"/>
      <c r="H618"/>
    </row>
    <row r="619" spans="4:8" x14ac:dyDescent="0.35">
      <c r="D619"/>
      <c r="F619"/>
      <c r="G619" s="19"/>
      <c r="H619"/>
    </row>
    <row r="620" spans="4:8" x14ac:dyDescent="0.35">
      <c r="D620"/>
      <c r="F620"/>
      <c r="G620" s="19"/>
      <c r="H620"/>
    </row>
    <row r="621" spans="4:8" x14ac:dyDescent="0.35">
      <c r="D621"/>
      <c r="F621"/>
      <c r="G621" s="19"/>
      <c r="H621"/>
    </row>
    <row r="622" spans="4:8" x14ac:dyDescent="0.35">
      <c r="D622"/>
      <c r="F622"/>
      <c r="G622" s="19"/>
      <c r="H622"/>
    </row>
    <row r="623" spans="4:8" x14ac:dyDescent="0.35">
      <c r="D623"/>
      <c r="F623"/>
      <c r="G623" s="19"/>
      <c r="H623"/>
    </row>
    <row r="624" spans="4:8" x14ac:dyDescent="0.35">
      <c r="D624"/>
      <c r="F624"/>
      <c r="G624" s="19"/>
      <c r="H624"/>
    </row>
    <row r="625" spans="4:8" x14ac:dyDescent="0.35">
      <c r="D625"/>
      <c r="F625"/>
      <c r="G625" s="19"/>
      <c r="H625"/>
    </row>
    <row r="626" spans="4:8" x14ac:dyDescent="0.35">
      <c r="D626"/>
      <c r="F626"/>
      <c r="G626" s="19"/>
      <c r="H626"/>
    </row>
    <row r="627" spans="4:8" x14ac:dyDescent="0.35">
      <c r="D627"/>
      <c r="F627"/>
      <c r="G627" s="19"/>
      <c r="H627"/>
    </row>
    <row r="628" spans="4:8" x14ac:dyDescent="0.35">
      <c r="D628"/>
      <c r="F628"/>
      <c r="G628" s="19"/>
      <c r="H628"/>
    </row>
    <row r="629" spans="4:8" x14ac:dyDescent="0.35">
      <c r="D629"/>
      <c r="F629"/>
      <c r="G629" s="19"/>
      <c r="H629"/>
    </row>
    <row r="630" spans="4:8" x14ac:dyDescent="0.35">
      <c r="D630"/>
      <c r="F630"/>
      <c r="G630" s="19"/>
      <c r="H630"/>
    </row>
    <row r="631" spans="4:8" x14ac:dyDescent="0.35">
      <c r="D631"/>
      <c r="F631"/>
      <c r="G631" s="19"/>
      <c r="H631"/>
    </row>
    <row r="632" spans="4:8" x14ac:dyDescent="0.35">
      <c r="D632"/>
      <c r="F632"/>
      <c r="G632" s="19"/>
      <c r="H632"/>
    </row>
    <row r="633" spans="4:8" x14ac:dyDescent="0.35">
      <c r="D633"/>
      <c r="F633"/>
      <c r="G633" s="19"/>
      <c r="H633"/>
    </row>
    <row r="634" spans="4:8" x14ac:dyDescent="0.35">
      <c r="D634"/>
      <c r="F634"/>
      <c r="G634" s="19"/>
      <c r="H634"/>
    </row>
    <row r="635" spans="4:8" x14ac:dyDescent="0.35">
      <c r="D635"/>
      <c r="F635"/>
      <c r="G635" s="19"/>
      <c r="H635"/>
    </row>
    <row r="636" spans="4:8" x14ac:dyDescent="0.35">
      <c r="D636"/>
      <c r="F636"/>
      <c r="G636" s="19"/>
      <c r="H636"/>
    </row>
    <row r="637" spans="4:8" x14ac:dyDescent="0.35">
      <c r="D637"/>
      <c r="F637"/>
      <c r="G637" s="19"/>
      <c r="H637"/>
    </row>
    <row r="638" spans="4:8" x14ac:dyDescent="0.35">
      <c r="D638"/>
      <c r="F638"/>
      <c r="G638" s="19"/>
      <c r="H638"/>
    </row>
    <row r="639" spans="4:8" x14ac:dyDescent="0.35">
      <c r="D639"/>
      <c r="F639"/>
      <c r="G639" s="19"/>
      <c r="H639"/>
    </row>
    <row r="640" spans="4:8" x14ac:dyDescent="0.35">
      <c r="D640"/>
      <c r="F640"/>
      <c r="G640" s="19"/>
      <c r="H640"/>
    </row>
    <row r="641" spans="4:8" x14ac:dyDescent="0.35">
      <c r="D641"/>
      <c r="F641"/>
      <c r="G641" s="19"/>
      <c r="H641"/>
    </row>
    <row r="642" spans="4:8" x14ac:dyDescent="0.35">
      <c r="D642"/>
      <c r="F642"/>
      <c r="G642" s="19"/>
      <c r="H642"/>
    </row>
    <row r="643" spans="4:8" x14ac:dyDescent="0.35">
      <c r="D643"/>
      <c r="F643"/>
      <c r="G643" s="19"/>
      <c r="H643"/>
    </row>
    <row r="644" spans="4:8" x14ac:dyDescent="0.35">
      <c r="D644"/>
      <c r="F644"/>
      <c r="G644" s="19"/>
      <c r="H644"/>
    </row>
    <row r="645" spans="4:8" x14ac:dyDescent="0.35">
      <c r="D645"/>
      <c r="F645"/>
      <c r="G645" s="19"/>
      <c r="H645"/>
    </row>
    <row r="646" spans="4:8" x14ac:dyDescent="0.35">
      <c r="D646"/>
      <c r="F646"/>
      <c r="G646" s="19"/>
      <c r="H646"/>
    </row>
    <row r="647" spans="4:8" x14ac:dyDescent="0.35">
      <c r="D647"/>
      <c r="F647"/>
      <c r="G647" s="19"/>
      <c r="H647"/>
    </row>
    <row r="648" spans="4:8" x14ac:dyDescent="0.35">
      <c r="D648"/>
      <c r="F648"/>
      <c r="G648" s="19"/>
      <c r="H648"/>
    </row>
    <row r="649" spans="4:8" x14ac:dyDescent="0.35">
      <c r="D649"/>
      <c r="F649"/>
      <c r="G649" s="19"/>
      <c r="H649"/>
    </row>
    <row r="650" spans="4:8" x14ac:dyDescent="0.35">
      <c r="D650"/>
      <c r="F650"/>
      <c r="G650" s="19"/>
      <c r="H650"/>
    </row>
    <row r="651" spans="4:8" x14ac:dyDescent="0.35">
      <c r="D651"/>
      <c r="F651"/>
      <c r="G651" s="19"/>
      <c r="H651"/>
    </row>
    <row r="652" spans="4:8" x14ac:dyDescent="0.35">
      <c r="D652"/>
      <c r="F652"/>
      <c r="G652" s="19"/>
      <c r="H652"/>
    </row>
    <row r="653" spans="4:8" x14ac:dyDescent="0.35">
      <c r="D653"/>
      <c r="F653"/>
      <c r="G653" s="19"/>
      <c r="H653"/>
    </row>
    <row r="654" spans="4:8" x14ac:dyDescent="0.35">
      <c r="D654"/>
      <c r="F654"/>
      <c r="G654" s="19"/>
      <c r="H654"/>
    </row>
    <row r="655" spans="4:8" x14ac:dyDescent="0.35">
      <c r="D655"/>
      <c r="F655"/>
      <c r="G655" s="19"/>
      <c r="H655"/>
    </row>
    <row r="656" spans="4:8" x14ac:dyDescent="0.35">
      <c r="D656"/>
      <c r="F656"/>
      <c r="G656" s="19"/>
      <c r="H656"/>
    </row>
    <row r="657" spans="4:8" x14ac:dyDescent="0.35">
      <c r="D657"/>
      <c r="F657"/>
      <c r="G657" s="19"/>
      <c r="H657"/>
    </row>
    <row r="658" spans="4:8" x14ac:dyDescent="0.35">
      <c r="D658"/>
      <c r="F658"/>
      <c r="G658" s="19"/>
      <c r="H658"/>
    </row>
    <row r="659" spans="4:8" x14ac:dyDescent="0.35">
      <c r="D659"/>
      <c r="F659"/>
      <c r="G659" s="19"/>
      <c r="H659"/>
    </row>
    <row r="660" spans="4:8" x14ac:dyDescent="0.35">
      <c r="D660"/>
      <c r="F660"/>
      <c r="G660" s="19"/>
      <c r="H660"/>
    </row>
    <row r="661" spans="4:8" x14ac:dyDescent="0.35">
      <c r="D661"/>
      <c r="F661"/>
      <c r="G661" s="19"/>
      <c r="H661"/>
    </row>
    <row r="662" spans="4:8" x14ac:dyDescent="0.35">
      <c r="D662"/>
      <c r="F662"/>
      <c r="G662" s="19"/>
      <c r="H662"/>
    </row>
    <row r="663" spans="4:8" x14ac:dyDescent="0.35">
      <c r="D663"/>
      <c r="F663"/>
      <c r="G663" s="19"/>
      <c r="H663"/>
    </row>
    <row r="664" spans="4:8" x14ac:dyDescent="0.35">
      <c r="D664"/>
      <c r="F664"/>
      <c r="G664" s="19"/>
      <c r="H664"/>
    </row>
    <row r="665" spans="4:8" x14ac:dyDescent="0.35">
      <c r="D665"/>
      <c r="F665"/>
      <c r="G665" s="19"/>
      <c r="H665"/>
    </row>
    <row r="666" spans="4:8" x14ac:dyDescent="0.35">
      <c r="D666"/>
      <c r="F666"/>
      <c r="G666" s="19"/>
      <c r="H666"/>
    </row>
    <row r="667" spans="4:8" x14ac:dyDescent="0.35">
      <c r="D667"/>
      <c r="F667"/>
      <c r="G667" s="19"/>
      <c r="H667"/>
    </row>
    <row r="668" spans="4:8" x14ac:dyDescent="0.35">
      <c r="D668"/>
      <c r="F668"/>
      <c r="G668" s="19"/>
      <c r="H668"/>
    </row>
    <row r="669" spans="4:8" x14ac:dyDescent="0.35">
      <c r="D669"/>
      <c r="F669"/>
      <c r="G669" s="19"/>
      <c r="H669"/>
    </row>
    <row r="670" spans="4:8" x14ac:dyDescent="0.35">
      <c r="D670"/>
      <c r="F670"/>
      <c r="G670" s="19"/>
      <c r="H670"/>
    </row>
    <row r="671" spans="4:8" x14ac:dyDescent="0.35">
      <c r="D671"/>
      <c r="F671"/>
      <c r="G671" s="19"/>
      <c r="H671"/>
    </row>
    <row r="672" spans="4:8" x14ac:dyDescent="0.35">
      <c r="D672"/>
      <c r="F672"/>
      <c r="G672" s="19"/>
      <c r="H672"/>
    </row>
    <row r="673" spans="4:8" x14ac:dyDescent="0.35">
      <c r="D673"/>
      <c r="F673"/>
      <c r="G673" s="19"/>
      <c r="H673"/>
    </row>
    <row r="674" spans="4:8" x14ac:dyDescent="0.35">
      <c r="D674"/>
      <c r="F674"/>
      <c r="G674" s="19"/>
      <c r="H674"/>
    </row>
    <row r="675" spans="4:8" x14ac:dyDescent="0.35">
      <c r="D675"/>
      <c r="F675"/>
      <c r="G675" s="19"/>
      <c r="H675"/>
    </row>
    <row r="676" spans="4:8" x14ac:dyDescent="0.35">
      <c r="D676"/>
      <c r="F676"/>
      <c r="G676" s="19"/>
      <c r="H676"/>
    </row>
    <row r="677" spans="4:8" x14ac:dyDescent="0.35">
      <c r="D677"/>
      <c r="F677"/>
      <c r="G677" s="19"/>
      <c r="H677"/>
    </row>
    <row r="678" spans="4:8" x14ac:dyDescent="0.35">
      <c r="D678"/>
      <c r="F678"/>
      <c r="G678" s="19"/>
      <c r="H678"/>
    </row>
    <row r="679" spans="4:8" x14ac:dyDescent="0.35">
      <c r="D679"/>
      <c r="F679"/>
      <c r="G679" s="19"/>
      <c r="H679"/>
    </row>
    <row r="680" spans="4:8" x14ac:dyDescent="0.35">
      <c r="D680"/>
      <c r="F680"/>
      <c r="G680" s="19"/>
      <c r="H680"/>
    </row>
    <row r="681" spans="4:8" x14ac:dyDescent="0.35">
      <c r="D681"/>
      <c r="F681"/>
      <c r="G681" s="19"/>
      <c r="H681"/>
    </row>
    <row r="682" spans="4:8" x14ac:dyDescent="0.35">
      <c r="D682"/>
      <c r="F682"/>
      <c r="G682" s="19"/>
      <c r="H682"/>
    </row>
    <row r="683" spans="4:8" x14ac:dyDescent="0.35">
      <c r="D683"/>
      <c r="F683"/>
      <c r="G683" s="19"/>
      <c r="H683"/>
    </row>
    <row r="684" spans="4:8" x14ac:dyDescent="0.35">
      <c r="D684"/>
      <c r="F684"/>
      <c r="G684" s="19"/>
      <c r="H684"/>
    </row>
    <row r="685" spans="4:8" x14ac:dyDescent="0.35">
      <c r="D685"/>
      <c r="F685"/>
      <c r="G685" s="19"/>
      <c r="H685"/>
    </row>
    <row r="686" spans="4:8" x14ac:dyDescent="0.35">
      <c r="D686"/>
      <c r="F686"/>
      <c r="G686" s="19"/>
      <c r="H686"/>
    </row>
    <row r="687" spans="4:8" x14ac:dyDescent="0.35">
      <c r="D687"/>
      <c r="F687"/>
      <c r="G687" s="19"/>
      <c r="H687"/>
    </row>
    <row r="688" spans="4:8" x14ac:dyDescent="0.35">
      <c r="D688"/>
      <c r="F688"/>
      <c r="G688" s="19"/>
      <c r="H688"/>
    </row>
    <row r="689" spans="4:8" x14ac:dyDescent="0.35">
      <c r="D689"/>
      <c r="F689"/>
      <c r="G689" s="19"/>
      <c r="H689"/>
    </row>
    <row r="690" spans="4:8" x14ac:dyDescent="0.35">
      <c r="D690"/>
      <c r="F690"/>
      <c r="G690" s="19"/>
      <c r="H690"/>
    </row>
    <row r="691" spans="4:8" x14ac:dyDescent="0.35">
      <c r="D691"/>
      <c r="F691"/>
      <c r="G691" s="19"/>
      <c r="H691"/>
    </row>
    <row r="692" spans="4:8" x14ac:dyDescent="0.35">
      <c r="D692"/>
      <c r="F692"/>
      <c r="G692" s="19"/>
      <c r="H692"/>
    </row>
    <row r="693" spans="4:8" x14ac:dyDescent="0.35">
      <c r="D693"/>
      <c r="F693"/>
      <c r="G693" s="19"/>
      <c r="H693"/>
    </row>
    <row r="694" spans="4:8" x14ac:dyDescent="0.35">
      <c r="D694"/>
      <c r="F694"/>
      <c r="G694" s="19"/>
      <c r="H694"/>
    </row>
    <row r="695" spans="4:8" x14ac:dyDescent="0.35">
      <c r="D695"/>
      <c r="F695"/>
      <c r="G695" s="19"/>
      <c r="H695"/>
    </row>
    <row r="696" spans="4:8" x14ac:dyDescent="0.35">
      <c r="D696"/>
      <c r="F696"/>
      <c r="G696" s="19"/>
      <c r="H696"/>
    </row>
    <row r="697" spans="4:8" x14ac:dyDescent="0.35">
      <c r="D697"/>
      <c r="F697"/>
      <c r="G697" s="19"/>
      <c r="H697"/>
    </row>
    <row r="698" spans="4:8" x14ac:dyDescent="0.35">
      <c r="D698"/>
      <c r="F698"/>
      <c r="G698" s="19"/>
      <c r="H698"/>
    </row>
    <row r="699" spans="4:8" x14ac:dyDescent="0.35">
      <c r="D699"/>
      <c r="F699"/>
      <c r="G699" s="19"/>
      <c r="H699"/>
    </row>
    <row r="700" spans="4:8" x14ac:dyDescent="0.35">
      <c r="D700"/>
      <c r="F700"/>
      <c r="G700" s="19"/>
      <c r="H700"/>
    </row>
    <row r="701" spans="4:8" x14ac:dyDescent="0.35">
      <c r="D701"/>
      <c r="F701"/>
      <c r="G701" s="19"/>
      <c r="H701"/>
    </row>
    <row r="702" spans="4:8" x14ac:dyDescent="0.35">
      <c r="D702"/>
      <c r="F702"/>
      <c r="G702" s="19"/>
      <c r="H702"/>
    </row>
    <row r="703" spans="4:8" x14ac:dyDescent="0.35">
      <c r="D703"/>
      <c r="F703"/>
      <c r="G703" s="19"/>
      <c r="H703"/>
    </row>
    <row r="704" spans="4:8" x14ac:dyDescent="0.35">
      <c r="D704"/>
      <c r="F704"/>
      <c r="G704" s="19"/>
      <c r="H704"/>
    </row>
    <row r="705" spans="4:8" x14ac:dyDescent="0.35">
      <c r="D705"/>
      <c r="F705"/>
      <c r="G705" s="19"/>
      <c r="H705"/>
    </row>
    <row r="706" spans="4:8" x14ac:dyDescent="0.35">
      <c r="D706"/>
      <c r="F706"/>
      <c r="G706" s="19"/>
      <c r="H706"/>
    </row>
    <row r="707" spans="4:8" x14ac:dyDescent="0.35">
      <c r="D707"/>
      <c r="F707"/>
      <c r="G707" s="19"/>
      <c r="H707"/>
    </row>
    <row r="708" spans="4:8" x14ac:dyDescent="0.35">
      <c r="D708"/>
      <c r="F708"/>
      <c r="G708" s="19"/>
      <c r="H708"/>
    </row>
    <row r="709" spans="4:8" x14ac:dyDescent="0.35">
      <c r="D709"/>
      <c r="F709"/>
      <c r="G709" s="19"/>
      <c r="H709"/>
    </row>
    <row r="710" spans="4:8" x14ac:dyDescent="0.35">
      <c r="D710"/>
      <c r="F710"/>
      <c r="G710" s="19"/>
      <c r="H710"/>
    </row>
    <row r="711" spans="4:8" x14ac:dyDescent="0.35">
      <c r="D711"/>
      <c r="F711"/>
      <c r="G711" s="19"/>
      <c r="H711"/>
    </row>
    <row r="712" spans="4:8" x14ac:dyDescent="0.35">
      <c r="D712"/>
      <c r="F712"/>
      <c r="G712" s="19"/>
      <c r="H712"/>
    </row>
    <row r="713" spans="4:8" x14ac:dyDescent="0.35">
      <c r="D713"/>
      <c r="F713"/>
      <c r="G713" s="19"/>
      <c r="H713"/>
    </row>
    <row r="714" spans="4:8" x14ac:dyDescent="0.35">
      <c r="D714"/>
      <c r="F714"/>
      <c r="G714" s="19"/>
      <c r="H714"/>
    </row>
    <row r="715" spans="4:8" x14ac:dyDescent="0.35">
      <c r="D715"/>
      <c r="F715"/>
      <c r="G715" s="19"/>
      <c r="H715"/>
    </row>
    <row r="716" spans="4:8" x14ac:dyDescent="0.35">
      <c r="D716"/>
      <c r="F716"/>
      <c r="G716" s="19"/>
      <c r="H716"/>
    </row>
    <row r="717" spans="4:8" x14ac:dyDescent="0.35">
      <c r="D717"/>
      <c r="F717"/>
      <c r="G717" s="19"/>
      <c r="H717"/>
    </row>
    <row r="718" spans="4:8" x14ac:dyDescent="0.35">
      <c r="D718"/>
      <c r="F718"/>
      <c r="G718" s="19"/>
      <c r="H718"/>
    </row>
    <row r="719" spans="4:8" x14ac:dyDescent="0.35">
      <c r="D719"/>
      <c r="F719"/>
      <c r="G719" s="19"/>
      <c r="H719"/>
    </row>
    <row r="720" spans="4:8" x14ac:dyDescent="0.35">
      <c r="D720"/>
      <c r="F720"/>
      <c r="G720" s="19"/>
      <c r="H720"/>
    </row>
    <row r="721" spans="4:32" x14ac:dyDescent="0.35">
      <c r="D721"/>
      <c r="F721"/>
      <c r="G721" s="19"/>
      <c r="H721"/>
    </row>
    <row r="722" spans="4:32" x14ac:dyDescent="0.35">
      <c r="D722"/>
      <c r="F722"/>
      <c r="G722" s="19"/>
      <c r="H722"/>
    </row>
    <row r="723" spans="4:32" x14ac:dyDescent="0.35">
      <c r="D723"/>
      <c r="F723"/>
      <c r="G723" s="19"/>
      <c r="H723"/>
    </row>
    <row r="724" spans="4:32" x14ac:dyDescent="0.35">
      <c r="D724"/>
      <c r="F724"/>
      <c r="G724" s="19"/>
      <c r="H724"/>
    </row>
    <row r="725" spans="4:32" x14ac:dyDescent="0.35">
      <c r="D725"/>
      <c r="F725"/>
      <c r="G725" s="19"/>
      <c r="H725"/>
    </row>
    <row r="726" spans="4:32" x14ac:dyDescent="0.35">
      <c r="D726"/>
      <c r="F726"/>
      <c r="G726" s="19"/>
      <c r="H726"/>
    </row>
    <row r="727" spans="4:32" x14ac:dyDescent="0.35">
      <c r="D727"/>
      <c r="F727"/>
      <c r="G727" s="19"/>
      <c r="H727"/>
    </row>
    <row r="728" spans="4:32" x14ac:dyDescent="0.35">
      <c r="D728"/>
      <c r="F728"/>
      <c r="G728" s="19"/>
      <c r="H728"/>
    </row>
    <row r="729" spans="4:32" x14ac:dyDescent="0.35">
      <c r="D729"/>
      <c r="F729"/>
      <c r="G729" s="19"/>
      <c r="H729"/>
    </row>
    <row r="730" spans="4:32" x14ac:dyDescent="0.35">
      <c r="D730"/>
      <c r="F730"/>
      <c r="G730" s="19"/>
      <c r="H730"/>
    </row>
    <row r="731" spans="4:32" x14ac:dyDescent="0.35">
      <c r="D731"/>
      <c r="F731"/>
      <c r="G731" s="19"/>
      <c r="H731"/>
      <c r="P731" s="79"/>
      <c r="R731" s="97"/>
      <c r="S731" s="97"/>
      <c r="T731" s="81"/>
      <c r="U731" s="81"/>
      <c r="W731" s="81"/>
      <c r="X731" s="81"/>
      <c r="Y731" s="81"/>
      <c r="Z731" s="81"/>
      <c r="AA731" s="81"/>
      <c r="AB731" s="81"/>
      <c r="AC731" s="81"/>
      <c r="AD731" s="81"/>
      <c r="AE731" s="81"/>
      <c r="AF731" s="81"/>
    </row>
    <row r="732" spans="4:32" x14ac:dyDescent="0.35">
      <c r="D732"/>
      <c r="F732"/>
      <c r="G732" s="19"/>
      <c r="H732"/>
    </row>
    <row r="733" spans="4:32" x14ac:dyDescent="0.35">
      <c r="D733"/>
      <c r="F733"/>
      <c r="G733" s="19"/>
      <c r="H733"/>
    </row>
    <row r="734" spans="4:32" x14ac:dyDescent="0.35">
      <c r="D734"/>
      <c r="F734"/>
      <c r="G734" s="19"/>
      <c r="H734"/>
    </row>
    <row r="735" spans="4:32" x14ac:dyDescent="0.35">
      <c r="D735"/>
      <c r="F735"/>
      <c r="G735" s="19"/>
      <c r="H735"/>
    </row>
    <row r="736" spans="4:32" x14ac:dyDescent="0.35">
      <c r="D736"/>
      <c r="F736"/>
      <c r="G736" s="19"/>
      <c r="H736"/>
    </row>
    <row r="737" spans="4:8" x14ac:dyDescent="0.35">
      <c r="D737"/>
      <c r="F737"/>
      <c r="G737" s="19"/>
      <c r="H737"/>
    </row>
    <row r="738" spans="4:8" x14ac:dyDescent="0.35">
      <c r="D738"/>
      <c r="F738"/>
      <c r="G738" s="19"/>
      <c r="H738"/>
    </row>
    <row r="739" spans="4:8" x14ac:dyDescent="0.35">
      <c r="D739"/>
      <c r="F739"/>
      <c r="G739" s="19"/>
      <c r="H739"/>
    </row>
    <row r="740" spans="4:8" x14ac:dyDescent="0.35">
      <c r="D740"/>
      <c r="F740"/>
      <c r="G740" s="19"/>
      <c r="H740"/>
    </row>
    <row r="741" spans="4:8" x14ac:dyDescent="0.35">
      <c r="D741"/>
      <c r="F741"/>
      <c r="G741" s="19"/>
      <c r="H741"/>
    </row>
    <row r="742" spans="4:8" x14ac:dyDescent="0.35">
      <c r="D742"/>
      <c r="F742"/>
      <c r="G742" s="19"/>
      <c r="H742"/>
    </row>
    <row r="743" spans="4:8" x14ac:dyDescent="0.35">
      <c r="D743"/>
      <c r="F743"/>
      <c r="G743" s="19"/>
      <c r="H743"/>
    </row>
    <row r="744" spans="4:8" x14ac:dyDescent="0.35">
      <c r="D744"/>
      <c r="F744"/>
      <c r="G744" s="19"/>
      <c r="H744"/>
    </row>
    <row r="745" spans="4:8" x14ac:dyDescent="0.35">
      <c r="D745"/>
      <c r="F745"/>
      <c r="G745" s="19"/>
      <c r="H745"/>
    </row>
    <row r="746" spans="4:8" x14ac:dyDescent="0.35">
      <c r="D746"/>
      <c r="F746"/>
      <c r="G746" s="19"/>
      <c r="H746"/>
    </row>
    <row r="747" spans="4:8" x14ac:dyDescent="0.35">
      <c r="D747"/>
      <c r="F747"/>
      <c r="G747" s="19"/>
      <c r="H747"/>
    </row>
    <row r="748" spans="4:8" x14ac:dyDescent="0.35">
      <c r="D748"/>
      <c r="F748"/>
      <c r="G748" s="19"/>
      <c r="H748"/>
    </row>
    <row r="749" spans="4:8" x14ac:dyDescent="0.35">
      <c r="D749"/>
      <c r="F749"/>
      <c r="G749" s="19"/>
      <c r="H749"/>
    </row>
    <row r="750" spans="4:8" x14ac:dyDescent="0.35">
      <c r="D750"/>
      <c r="F750"/>
      <c r="G750" s="19"/>
      <c r="H750"/>
    </row>
    <row r="751" spans="4:8" x14ac:dyDescent="0.35">
      <c r="D751"/>
      <c r="F751"/>
      <c r="G751" s="19"/>
      <c r="H751"/>
    </row>
    <row r="752" spans="4:8" x14ac:dyDescent="0.35">
      <c r="D752"/>
      <c r="F752"/>
      <c r="G752" s="19"/>
      <c r="H752"/>
    </row>
    <row r="753" spans="4:8" x14ac:dyDescent="0.35">
      <c r="D753"/>
      <c r="F753"/>
      <c r="G753" s="19"/>
      <c r="H753"/>
    </row>
    <row r="754" spans="4:8" x14ac:dyDescent="0.35">
      <c r="D754"/>
      <c r="F754"/>
      <c r="G754" s="19"/>
      <c r="H754"/>
    </row>
    <row r="755" spans="4:8" x14ac:dyDescent="0.35">
      <c r="D755"/>
      <c r="F755"/>
      <c r="G755" s="19"/>
      <c r="H755"/>
    </row>
    <row r="756" spans="4:8" x14ac:dyDescent="0.35">
      <c r="D756"/>
      <c r="F756"/>
      <c r="G756" s="19"/>
      <c r="H756"/>
    </row>
    <row r="757" spans="4:8" x14ac:dyDescent="0.35">
      <c r="D757"/>
      <c r="F757"/>
      <c r="G757" s="19"/>
      <c r="H757"/>
    </row>
    <row r="758" spans="4:8" x14ac:dyDescent="0.35">
      <c r="D758"/>
      <c r="F758"/>
      <c r="G758" s="19"/>
      <c r="H758"/>
    </row>
    <row r="759" spans="4:8" x14ac:dyDescent="0.35">
      <c r="D759"/>
      <c r="F759"/>
      <c r="G759" s="19"/>
      <c r="H759"/>
    </row>
    <row r="760" spans="4:8" x14ac:dyDescent="0.35">
      <c r="D760"/>
      <c r="F760"/>
      <c r="G760" s="19"/>
      <c r="H760"/>
    </row>
    <row r="761" spans="4:8" x14ac:dyDescent="0.35">
      <c r="D761"/>
      <c r="F761"/>
      <c r="G761" s="19"/>
      <c r="H761"/>
    </row>
    <row r="762" spans="4:8" x14ac:dyDescent="0.35">
      <c r="D762"/>
      <c r="F762"/>
      <c r="G762" s="19"/>
      <c r="H762"/>
    </row>
    <row r="763" spans="4:8" x14ac:dyDescent="0.35">
      <c r="D763"/>
      <c r="F763"/>
      <c r="G763" s="19"/>
      <c r="H763"/>
    </row>
    <row r="764" spans="4:8" x14ac:dyDescent="0.35">
      <c r="D764"/>
      <c r="F764"/>
      <c r="G764" s="19"/>
      <c r="H764"/>
    </row>
    <row r="765" spans="4:8" x14ac:dyDescent="0.35">
      <c r="D765"/>
      <c r="F765"/>
      <c r="G765" s="19"/>
      <c r="H765"/>
    </row>
    <row r="766" spans="4:8" x14ac:dyDescent="0.35">
      <c r="D766"/>
      <c r="F766"/>
      <c r="G766" s="19"/>
      <c r="H766"/>
    </row>
    <row r="767" spans="4:8" x14ac:dyDescent="0.35">
      <c r="D767"/>
      <c r="F767"/>
      <c r="G767" s="19"/>
      <c r="H767"/>
    </row>
    <row r="768" spans="4:8" x14ac:dyDescent="0.35">
      <c r="D768"/>
      <c r="F768"/>
      <c r="G768" s="19"/>
      <c r="H768"/>
    </row>
    <row r="769" spans="4:8" x14ac:dyDescent="0.35">
      <c r="D769"/>
      <c r="F769"/>
      <c r="G769" s="19"/>
      <c r="H769"/>
    </row>
    <row r="770" spans="4:8" x14ac:dyDescent="0.35">
      <c r="D770"/>
      <c r="F770"/>
      <c r="G770" s="19"/>
      <c r="H770"/>
    </row>
    <row r="771" spans="4:8" x14ac:dyDescent="0.35">
      <c r="D771"/>
      <c r="F771"/>
      <c r="G771" s="19"/>
      <c r="H771"/>
    </row>
    <row r="772" spans="4:8" x14ac:dyDescent="0.35">
      <c r="D772"/>
      <c r="F772"/>
      <c r="G772" s="19"/>
      <c r="H772"/>
    </row>
    <row r="773" spans="4:8" x14ac:dyDescent="0.35">
      <c r="D773"/>
      <c r="F773"/>
      <c r="G773" s="19"/>
      <c r="H773"/>
    </row>
    <row r="774" spans="4:8" x14ac:dyDescent="0.35">
      <c r="D774"/>
      <c r="F774"/>
      <c r="G774" s="19"/>
      <c r="H774"/>
    </row>
    <row r="775" spans="4:8" x14ac:dyDescent="0.35">
      <c r="D775"/>
      <c r="F775"/>
      <c r="G775" s="19"/>
      <c r="H775"/>
    </row>
    <row r="776" spans="4:8" x14ac:dyDescent="0.35">
      <c r="D776"/>
      <c r="F776"/>
      <c r="G776" s="19"/>
      <c r="H776"/>
    </row>
    <row r="777" spans="4:8" x14ac:dyDescent="0.35">
      <c r="D777"/>
      <c r="F777"/>
      <c r="G777" s="19"/>
      <c r="H777"/>
    </row>
    <row r="778" spans="4:8" x14ac:dyDescent="0.35">
      <c r="D778"/>
      <c r="F778"/>
      <c r="G778" s="19"/>
      <c r="H778"/>
    </row>
    <row r="779" spans="4:8" x14ac:dyDescent="0.35">
      <c r="D779"/>
      <c r="F779"/>
      <c r="G779" s="19"/>
      <c r="H779"/>
    </row>
    <row r="780" spans="4:8" x14ac:dyDescent="0.35">
      <c r="D780"/>
      <c r="F780"/>
      <c r="G780" s="19"/>
      <c r="H780"/>
    </row>
    <row r="781" spans="4:8" x14ac:dyDescent="0.35">
      <c r="D781"/>
      <c r="F781"/>
      <c r="G781" s="19"/>
      <c r="H781"/>
    </row>
    <row r="782" spans="4:8" x14ac:dyDescent="0.35">
      <c r="D782"/>
      <c r="F782"/>
      <c r="G782" s="19"/>
      <c r="H782"/>
    </row>
    <row r="783" spans="4:8" x14ac:dyDescent="0.35">
      <c r="D783"/>
      <c r="F783"/>
      <c r="G783" s="19"/>
      <c r="H783"/>
    </row>
    <row r="784" spans="4:8" x14ac:dyDescent="0.35">
      <c r="D784"/>
      <c r="F784"/>
      <c r="G784" s="19"/>
      <c r="H784"/>
    </row>
    <row r="785" spans="4:8" x14ac:dyDescent="0.35">
      <c r="D785"/>
      <c r="F785"/>
      <c r="G785" s="19"/>
      <c r="H785"/>
    </row>
    <row r="786" spans="4:8" x14ac:dyDescent="0.35">
      <c r="D786"/>
      <c r="F786"/>
      <c r="G786" s="19"/>
      <c r="H786"/>
    </row>
    <row r="787" spans="4:8" x14ac:dyDescent="0.35">
      <c r="D787"/>
      <c r="F787"/>
      <c r="G787" s="19"/>
      <c r="H787"/>
    </row>
    <row r="788" spans="4:8" x14ac:dyDescent="0.35">
      <c r="D788"/>
      <c r="F788"/>
      <c r="G788" s="19"/>
      <c r="H788"/>
    </row>
    <row r="789" spans="4:8" x14ac:dyDescent="0.35">
      <c r="D789"/>
      <c r="F789"/>
      <c r="G789" s="19"/>
      <c r="H789"/>
    </row>
    <row r="790" spans="4:8" x14ac:dyDescent="0.35">
      <c r="D790"/>
      <c r="F790"/>
      <c r="G790" s="19"/>
      <c r="H790"/>
    </row>
    <row r="791" spans="4:8" x14ac:dyDescent="0.35">
      <c r="D791"/>
      <c r="F791"/>
      <c r="G791" s="19"/>
      <c r="H791"/>
    </row>
    <row r="792" spans="4:8" x14ac:dyDescent="0.35">
      <c r="D792"/>
      <c r="F792"/>
      <c r="G792" s="19"/>
      <c r="H792"/>
    </row>
    <row r="793" spans="4:8" x14ac:dyDescent="0.35">
      <c r="D793"/>
      <c r="F793"/>
      <c r="G793" s="19"/>
      <c r="H793"/>
    </row>
    <row r="794" spans="4:8" x14ac:dyDescent="0.35">
      <c r="D794"/>
      <c r="F794"/>
      <c r="G794" s="19"/>
      <c r="H794"/>
    </row>
    <row r="795" spans="4:8" x14ac:dyDescent="0.35">
      <c r="D795"/>
      <c r="F795"/>
      <c r="G795" s="19"/>
      <c r="H795"/>
    </row>
    <row r="796" spans="4:8" x14ac:dyDescent="0.35">
      <c r="D796"/>
      <c r="F796"/>
      <c r="G796" s="19"/>
      <c r="H796"/>
    </row>
    <row r="797" spans="4:8" x14ac:dyDescent="0.35">
      <c r="D797"/>
      <c r="F797"/>
      <c r="G797" s="19"/>
      <c r="H797"/>
    </row>
    <row r="798" spans="4:8" x14ac:dyDescent="0.35">
      <c r="D798"/>
      <c r="F798"/>
      <c r="G798" s="19"/>
      <c r="H798"/>
    </row>
    <row r="799" spans="4:8" x14ac:dyDescent="0.35">
      <c r="D799"/>
      <c r="F799"/>
      <c r="G799" s="19"/>
      <c r="H799"/>
    </row>
    <row r="800" spans="4:8" x14ac:dyDescent="0.35">
      <c r="D800"/>
      <c r="F800"/>
      <c r="G800" s="19"/>
      <c r="H800"/>
    </row>
    <row r="801" spans="4:8" x14ac:dyDescent="0.35">
      <c r="D801"/>
      <c r="F801"/>
      <c r="G801" s="19"/>
      <c r="H801"/>
    </row>
    <row r="802" spans="4:8" x14ac:dyDescent="0.35">
      <c r="D802"/>
      <c r="F802"/>
      <c r="G802" s="19"/>
      <c r="H802"/>
    </row>
    <row r="803" spans="4:8" x14ac:dyDescent="0.35">
      <c r="D803"/>
      <c r="F803"/>
      <c r="G803" s="19"/>
      <c r="H803"/>
    </row>
    <row r="804" spans="4:8" x14ac:dyDescent="0.35">
      <c r="D804"/>
      <c r="F804"/>
      <c r="G804" s="19"/>
      <c r="H804"/>
    </row>
    <row r="805" spans="4:8" x14ac:dyDescent="0.35">
      <c r="D805"/>
      <c r="F805"/>
      <c r="G805" s="19"/>
      <c r="H805"/>
    </row>
    <row r="806" spans="4:8" x14ac:dyDescent="0.35">
      <c r="D806"/>
      <c r="F806"/>
      <c r="G806" s="19"/>
      <c r="H806"/>
    </row>
    <row r="807" spans="4:8" x14ac:dyDescent="0.35">
      <c r="D807"/>
      <c r="F807"/>
      <c r="G807" s="19"/>
      <c r="H807"/>
    </row>
    <row r="808" spans="4:8" x14ac:dyDescent="0.35">
      <c r="D808"/>
      <c r="F808"/>
      <c r="G808" s="19"/>
      <c r="H808"/>
    </row>
    <row r="809" spans="4:8" x14ac:dyDescent="0.35">
      <c r="D809"/>
      <c r="F809"/>
      <c r="G809" s="19"/>
      <c r="H809"/>
    </row>
    <row r="810" spans="4:8" x14ac:dyDescent="0.35">
      <c r="D810"/>
      <c r="F810"/>
      <c r="G810" s="19"/>
      <c r="H810"/>
    </row>
    <row r="811" spans="4:8" x14ac:dyDescent="0.35">
      <c r="D811"/>
      <c r="F811"/>
      <c r="G811" s="19"/>
      <c r="H811"/>
    </row>
    <row r="812" spans="4:8" x14ac:dyDescent="0.35">
      <c r="D812"/>
      <c r="F812"/>
      <c r="G812" s="19"/>
      <c r="H812"/>
    </row>
    <row r="813" spans="4:8" x14ac:dyDescent="0.35">
      <c r="D813"/>
      <c r="F813"/>
      <c r="G813" s="19"/>
      <c r="H813"/>
    </row>
    <row r="814" spans="4:8" x14ac:dyDescent="0.35">
      <c r="D814"/>
      <c r="F814"/>
      <c r="G814" s="19"/>
      <c r="H814"/>
    </row>
    <row r="815" spans="4:8" x14ac:dyDescent="0.35">
      <c r="D815"/>
      <c r="F815"/>
      <c r="G815" s="19"/>
      <c r="H815"/>
    </row>
    <row r="816" spans="4:8" x14ac:dyDescent="0.35">
      <c r="D816"/>
      <c r="F816"/>
      <c r="G816" s="19"/>
      <c r="H816"/>
    </row>
    <row r="817" spans="4:8" x14ac:dyDescent="0.35">
      <c r="D817"/>
      <c r="F817"/>
      <c r="G817" s="19"/>
      <c r="H817"/>
    </row>
    <row r="818" spans="4:8" x14ac:dyDescent="0.35">
      <c r="D818"/>
      <c r="F818"/>
      <c r="G818" s="19"/>
      <c r="H818"/>
    </row>
    <row r="819" spans="4:8" x14ac:dyDescent="0.35">
      <c r="D819"/>
      <c r="F819"/>
      <c r="G819" s="19"/>
      <c r="H819"/>
    </row>
    <row r="820" spans="4:8" x14ac:dyDescent="0.35">
      <c r="D820"/>
      <c r="F820"/>
      <c r="G820" s="19"/>
      <c r="H820"/>
    </row>
    <row r="821" spans="4:8" x14ac:dyDescent="0.35">
      <c r="D821"/>
      <c r="F821"/>
      <c r="G821" s="19"/>
      <c r="H821"/>
    </row>
    <row r="822" spans="4:8" x14ac:dyDescent="0.35">
      <c r="D822"/>
      <c r="F822"/>
      <c r="G822" s="19"/>
      <c r="H822"/>
    </row>
    <row r="823" spans="4:8" x14ac:dyDescent="0.35">
      <c r="D823"/>
      <c r="F823"/>
      <c r="G823" s="19"/>
      <c r="H823"/>
    </row>
    <row r="824" spans="4:8" x14ac:dyDescent="0.35">
      <c r="D824"/>
      <c r="F824"/>
      <c r="G824" s="19"/>
      <c r="H824"/>
    </row>
    <row r="825" spans="4:8" x14ac:dyDescent="0.35">
      <c r="D825"/>
      <c r="F825"/>
      <c r="G825" s="19"/>
      <c r="H825"/>
    </row>
    <row r="826" spans="4:8" x14ac:dyDescent="0.35">
      <c r="D826"/>
      <c r="F826"/>
      <c r="G826" s="19"/>
      <c r="H826"/>
    </row>
    <row r="827" spans="4:8" x14ac:dyDescent="0.35">
      <c r="D827"/>
      <c r="F827"/>
      <c r="G827" s="19"/>
      <c r="H827"/>
    </row>
    <row r="828" spans="4:8" x14ac:dyDescent="0.35">
      <c r="D828"/>
      <c r="F828"/>
      <c r="G828" s="19"/>
      <c r="H828"/>
    </row>
    <row r="829" spans="4:8" x14ac:dyDescent="0.35">
      <c r="D829"/>
      <c r="F829"/>
      <c r="G829" s="19"/>
      <c r="H829"/>
    </row>
    <row r="830" spans="4:8" x14ac:dyDescent="0.35">
      <c r="D830"/>
      <c r="F830"/>
      <c r="G830" s="19"/>
      <c r="H830"/>
    </row>
    <row r="831" spans="4:8" x14ac:dyDescent="0.35">
      <c r="D831"/>
      <c r="F831"/>
      <c r="G831" s="19"/>
      <c r="H831"/>
    </row>
    <row r="832" spans="4:8" x14ac:dyDescent="0.35">
      <c r="D832"/>
      <c r="F832"/>
      <c r="G832" s="19"/>
      <c r="H832"/>
    </row>
    <row r="833" spans="4:8" x14ac:dyDescent="0.35">
      <c r="D833"/>
      <c r="F833"/>
      <c r="G833" s="19"/>
      <c r="H833"/>
    </row>
    <row r="834" spans="4:8" x14ac:dyDescent="0.35">
      <c r="D834"/>
      <c r="F834"/>
      <c r="G834" s="19"/>
      <c r="H834"/>
    </row>
    <row r="835" spans="4:8" x14ac:dyDescent="0.35">
      <c r="D835"/>
      <c r="F835"/>
      <c r="G835" s="19"/>
      <c r="H835"/>
    </row>
    <row r="836" spans="4:8" x14ac:dyDescent="0.35">
      <c r="D836"/>
      <c r="F836"/>
      <c r="G836" s="19"/>
      <c r="H836"/>
    </row>
    <row r="837" spans="4:8" x14ac:dyDescent="0.35">
      <c r="D837"/>
      <c r="F837"/>
      <c r="G837" s="19"/>
      <c r="H837"/>
    </row>
    <row r="838" spans="4:8" x14ac:dyDescent="0.35">
      <c r="D838"/>
      <c r="F838"/>
      <c r="G838" s="19"/>
      <c r="H838"/>
    </row>
    <row r="839" spans="4:8" x14ac:dyDescent="0.35">
      <c r="D839"/>
      <c r="F839"/>
      <c r="G839" s="19"/>
      <c r="H839"/>
    </row>
    <row r="840" spans="4:8" x14ac:dyDescent="0.35">
      <c r="D840"/>
      <c r="F840"/>
      <c r="G840" s="19"/>
      <c r="H840"/>
    </row>
    <row r="841" spans="4:8" x14ac:dyDescent="0.35">
      <c r="D841"/>
      <c r="F841"/>
      <c r="G841" s="19"/>
      <c r="H841"/>
    </row>
    <row r="842" spans="4:8" x14ac:dyDescent="0.35">
      <c r="D842"/>
      <c r="F842"/>
      <c r="G842" s="19"/>
      <c r="H842"/>
    </row>
    <row r="843" spans="4:8" x14ac:dyDescent="0.35">
      <c r="D843"/>
      <c r="F843"/>
      <c r="G843" s="19"/>
      <c r="H843"/>
    </row>
    <row r="844" spans="4:8" x14ac:dyDescent="0.35">
      <c r="D844"/>
      <c r="F844"/>
      <c r="G844" s="19"/>
      <c r="H844"/>
    </row>
    <row r="845" spans="4:8" x14ac:dyDescent="0.35">
      <c r="D845"/>
      <c r="F845"/>
      <c r="G845" s="19"/>
      <c r="H845"/>
    </row>
    <row r="846" spans="4:8" x14ac:dyDescent="0.35">
      <c r="D846"/>
      <c r="F846"/>
      <c r="G846" s="19"/>
      <c r="H846"/>
    </row>
    <row r="847" spans="4:8" x14ac:dyDescent="0.35">
      <c r="D847"/>
      <c r="F847"/>
      <c r="G847" s="19"/>
      <c r="H847"/>
    </row>
    <row r="848" spans="4:8" x14ac:dyDescent="0.35">
      <c r="D848"/>
      <c r="F848"/>
      <c r="G848" s="19"/>
      <c r="H848"/>
    </row>
    <row r="849" spans="4:8" x14ac:dyDescent="0.35">
      <c r="D849"/>
      <c r="F849"/>
      <c r="G849" s="19"/>
      <c r="H849"/>
    </row>
    <row r="850" spans="4:8" x14ac:dyDescent="0.35">
      <c r="D850"/>
      <c r="F850"/>
      <c r="G850" s="19"/>
      <c r="H850"/>
    </row>
    <row r="851" spans="4:8" x14ac:dyDescent="0.35">
      <c r="D851"/>
      <c r="F851"/>
      <c r="G851" s="19"/>
      <c r="H851"/>
    </row>
    <row r="852" spans="4:8" x14ac:dyDescent="0.35">
      <c r="D852"/>
      <c r="F852"/>
      <c r="G852" s="19"/>
      <c r="H852"/>
    </row>
    <row r="853" spans="4:8" x14ac:dyDescent="0.35">
      <c r="D853"/>
      <c r="F853"/>
      <c r="G853" s="19"/>
      <c r="H853"/>
    </row>
    <row r="854" spans="4:8" x14ac:dyDescent="0.35">
      <c r="D854"/>
      <c r="F854"/>
      <c r="G854" s="19"/>
      <c r="H854"/>
    </row>
    <row r="855" spans="4:8" x14ac:dyDescent="0.35">
      <c r="D855"/>
      <c r="F855"/>
      <c r="G855" s="19"/>
      <c r="H855"/>
    </row>
    <row r="856" spans="4:8" x14ac:dyDescent="0.35">
      <c r="D856"/>
      <c r="F856"/>
      <c r="G856" s="19"/>
      <c r="H856"/>
    </row>
    <row r="857" spans="4:8" x14ac:dyDescent="0.35">
      <c r="D857"/>
      <c r="F857"/>
      <c r="G857" s="19"/>
      <c r="H857"/>
    </row>
    <row r="858" spans="4:8" x14ac:dyDescent="0.35">
      <c r="D858"/>
      <c r="F858"/>
      <c r="G858" s="19"/>
      <c r="H858"/>
    </row>
    <row r="859" spans="4:8" x14ac:dyDescent="0.35">
      <c r="D859"/>
      <c r="F859"/>
      <c r="G859" s="19"/>
      <c r="H859"/>
    </row>
    <row r="860" spans="4:8" x14ac:dyDescent="0.35">
      <c r="D860"/>
      <c r="F860"/>
      <c r="G860" s="19"/>
      <c r="H860"/>
    </row>
    <row r="861" spans="4:8" x14ac:dyDescent="0.35">
      <c r="D861"/>
      <c r="F861"/>
      <c r="G861" s="19"/>
      <c r="H861"/>
    </row>
    <row r="862" spans="4:8" x14ac:dyDescent="0.35">
      <c r="D862"/>
      <c r="F862"/>
      <c r="G862" s="19"/>
      <c r="H862"/>
    </row>
    <row r="863" spans="4:8" x14ac:dyDescent="0.35">
      <c r="D863"/>
      <c r="F863"/>
      <c r="G863" s="19"/>
      <c r="H863"/>
    </row>
    <row r="864" spans="4:8" x14ac:dyDescent="0.35">
      <c r="D864"/>
      <c r="F864"/>
      <c r="G864" s="19"/>
      <c r="H864"/>
    </row>
    <row r="865" spans="4:8" x14ac:dyDescent="0.35">
      <c r="D865"/>
      <c r="F865"/>
      <c r="G865" s="19"/>
      <c r="H865"/>
    </row>
    <row r="866" spans="4:8" x14ac:dyDescent="0.35">
      <c r="D866"/>
      <c r="F866"/>
      <c r="G866" s="19"/>
      <c r="H866"/>
    </row>
    <row r="867" spans="4:8" x14ac:dyDescent="0.35">
      <c r="D867"/>
      <c r="F867"/>
      <c r="G867" s="19"/>
      <c r="H867"/>
    </row>
    <row r="868" spans="4:8" x14ac:dyDescent="0.35">
      <c r="D868"/>
      <c r="F868"/>
      <c r="G868" s="19"/>
      <c r="H868"/>
    </row>
    <row r="869" spans="4:8" x14ac:dyDescent="0.35">
      <c r="D869"/>
      <c r="F869"/>
      <c r="G869" s="19"/>
      <c r="H869"/>
    </row>
    <row r="870" spans="4:8" x14ac:dyDescent="0.35">
      <c r="D870"/>
      <c r="F870"/>
      <c r="G870" s="19"/>
      <c r="H870"/>
    </row>
    <row r="871" spans="4:8" x14ac:dyDescent="0.35">
      <c r="D871"/>
      <c r="F871"/>
      <c r="G871" s="19"/>
      <c r="H871"/>
    </row>
    <row r="872" spans="4:8" x14ac:dyDescent="0.35">
      <c r="D872"/>
      <c r="F872"/>
      <c r="G872" s="19"/>
      <c r="H872"/>
    </row>
    <row r="873" spans="4:8" x14ac:dyDescent="0.35">
      <c r="D873"/>
      <c r="F873"/>
      <c r="G873" s="19"/>
      <c r="H873"/>
    </row>
    <row r="874" spans="4:8" x14ac:dyDescent="0.35">
      <c r="D874"/>
      <c r="F874"/>
      <c r="G874" s="19"/>
      <c r="H874"/>
    </row>
    <row r="875" spans="4:8" x14ac:dyDescent="0.35">
      <c r="D875"/>
      <c r="F875"/>
      <c r="G875" s="19"/>
      <c r="H875"/>
    </row>
    <row r="876" spans="4:8" x14ac:dyDescent="0.35">
      <c r="D876"/>
      <c r="F876"/>
      <c r="G876" s="19"/>
      <c r="H876"/>
    </row>
    <row r="877" spans="4:8" x14ac:dyDescent="0.35">
      <c r="D877"/>
      <c r="F877"/>
      <c r="G877" s="19"/>
      <c r="H877"/>
    </row>
    <row r="878" spans="4:8" x14ac:dyDescent="0.35">
      <c r="D878"/>
      <c r="F878"/>
      <c r="G878" s="19"/>
      <c r="H878"/>
    </row>
    <row r="879" spans="4:8" x14ac:dyDescent="0.35">
      <c r="D879"/>
      <c r="F879"/>
      <c r="G879" s="19"/>
      <c r="H879"/>
    </row>
    <row r="880" spans="4:8" x14ac:dyDescent="0.35">
      <c r="D880"/>
      <c r="F880"/>
      <c r="G880" s="19"/>
      <c r="H880"/>
    </row>
    <row r="881" spans="4:8" x14ac:dyDescent="0.35">
      <c r="D881"/>
      <c r="F881"/>
      <c r="G881" s="19"/>
      <c r="H881"/>
    </row>
    <row r="882" spans="4:8" x14ac:dyDescent="0.35">
      <c r="D882"/>
      <c r="F882"/>
      <c r="G882" s="19"/>
      <c r="H882"/>
    </row>
    <row r="883" spans="4:8" x14ac:dyDescent="0.35">
      <c r="D883"/>
      <c r="F883"/>
      <c r="G883" s="19"/>
      <c r="H883"/>
    </row>
    <row r="884" spans="4:8" x14ac:dyDescent="0.35">
      <c r="D884"/>
      <c r="F884"/>
      <c r="G884" s="19"/>
      <c r="H884"/>
    </row>
    <row r="885" spans="4:8" x14ac:dyDescent="0.35">
      <c r="D885"/>
      <c r="F885"/>
      <c r="G885" s="19"/>
      <c r="H885"/>
    </row>
    <row r="886" spans="4:8" x14ac:dyDescent="0.35">
      <c r="D886"/>
      <c r="F886"/>
      <c r="G886" s="19"/>
      <c r="H886"/>
    </row>
    <row r="887" spans="4:8" x14ac:dyDescent="0.35">
      <c r="D887"/>
      <c r="F887"/>
      <c r="G887" s="19"/>
      <c r="H887"/>
    </row>
    <row r="888" spans="4:8" x14ac:dyDescent="0.35">
      <c r="D888"/>
      <c r="F888"/>
      <c r="G888" s="19"/>
      <c r="H888"/>
    </row>
    <row r="889" spans="4:8" x14ac:dyDescent="0.35">
      <c r="D889"/>
      <c r="F889"/>
      <c r="G889" s="19"/>
      <c r="H889"/>
    </row>
    <row r="890" spans="4:8" x14ac:dyDescent="0.35">
      <c r="D890"/>
      <c r="F890"/>
      <c r="G890" s="19"/>
      <c r="H890"/>
    </row>
    <row r="891" spans="4:8" x14ac:dyDescent="0.35">
      <c r="D891"/>
      <c r="F891"/>
      <c r="G891" s="19"/>
      <c r="H891"/>
    </row>
    <row r="892" spans="4:8" x14ac:dyDescent="0.35">
      <c r="D892"/>
      <c r="F892"/>
      <c r="G892" s="19"/>
      <c r="H892"/>
    </row>
    <row r="893" spans="4:8" x14ac:dyDescent="0.35">
      <c r="D893"/>
      <c r="F893"/>
      <c r="G893" s="19"/>
      <c r="H893"/>
    </row>
    <row r="894" spans="4:8" x14ac:dyDescent="0.35">
      <c r="D894"/>
      <c r="F894"/>
      <c r="G894" s="19"/>
      <c r="H894"/>
    </row>
    <row r="895" spans="4:8" x14ac:dyDescent="0.35">
      <c r="D895"/>
      <c r="F895"/>
      <c r="G895" s="19"/>
      <c r="H895"/>
    </row>
    <row r="896" spans="4:8" x14ac:dyDescent="0.35">
      <c r="D896"/>
      <c r="F896"/>
      <c r="G896" s="19"/>
      <c r="H896"/>
    </row>
    <row r="897" spans="4:8" x14ac:dyDescent="0.35">
      <c r="D897"/>
      <c r="F897"/>
      <c r="G897" s="19"/>
      <c r="H897"/>
    </row>
    <row r="898" spans="4:8" x14ac:dyDescent="0.35">
      <c r="D898"/>
      <c r="F898"/>
      <c r="G898" s="19"/>
      <c r="H898"/>
    </row>
    <row r="899" spans="4:8" x14ac:dyDescent="0.35">
      <c r="D899"/>
      <c r="F899"/>
      <c r="G899" s="19"/>
      <c r="H899"/>
    </row>
    <row r="900" spans="4:8" x14ac:dyDescent="0.35">
      <c r="D900"/>
      <c r="F900"/>
      <c r="G900" s="19"/>
      <c r="H900"/>
    </row>
    <row r="901" spans="4:8" x14ac:dyDescent="0.35">
      <c r="D901"/>
      <c r="F901"/>
      <c r="G901" s="19"/>
      <c r="H901"/>
    </row>
    <row r="902" spans="4:8" x14ac:dyDescent="0.35">
      <c r="D902"/>
      <c r="F902"/>
      <c r="G902" s="19"/>
      <c r="H902"/>
    </row>
    <row r="903" spans="4:8" x14ac:dyDescent="0.35">
      <c r="D903"/>
      <c r="F903"/>
      <c r="G903" s="19"/>
      <c r="H903"/>
    </row>
    <row r="904" spans="4:8" x14ac:dyDescent="0.35">
      <c r="D904"/>
      <c r="F904"/>
      <c r="G904" s="19"/>
      <c r="H904"/>
    </row>
    <row r="905" spans="4:8" x14ac:dyDescent="0.35">
      <c r="D905"/>
      <c r="F905"/>
      <c r="G905" s="19"/>
      <c r="H905"/>
    </row>
    <row r="906" spans="4:8" x14ac:dyDescent="0.35">
      <c r="D906"/>
      <c r="F906"/>
      <c r="G906" s="19"/>
      <c r="H906"/>
    </row>
    <row r="907" spans="4:8" x14ac:dyDescent="0.35">
      <c r="D907"/>
      <c r="F907"/>
      <c r="G907" s="19"/>
      <c r="H907"/>
    </row>
    <row r="908" spans="4:8" x14ac:dyDescent="0.35">
      <c r="D908"/>
      <c r="F908"/>
      <c r="G908" s="19"/>
      <c r="H908"/>
    </row>
    <row r="909" spans="4:8" x14ac:dyDescent="0.35">
      <c r="D909"/>
      <c r="F909"/>
      <c r="G909" s="19"/>
      <c r="H909"/>
    </row>
    <row r="910" spans="4:8" x14ac:dyDescent="0.35">
      <c r="D910"/>
      <c r="F910"/>
      <c r="G910" s="19"/>
      <c r="H910"/>
    </row>
    <row r="911" spans="4:8" x14ac:dyDescent="0.35">
      <c r="D911"/>
      <c r="F911"/>
      <c r="G911" s="19"/>
      <c r="H911"/>
    </row>
    <row r="912" spans="4:8" x14ac:dyDescent="0.35">
      <c r="D912"/>
      <c r="F912"/>
      <c r="G912" s="19"/>
      <c r="H912"/>
    </row>
    <row r="913" spans="4:8" x14ac:dyDescent="0.35">
      <c r="D913"/>
      <c r="F913"/>
      <c r="G913" s="19"/>
      <c r="H913"/>
    </row>
    <row r="914" spans="4:8" x14ac:dyDescent="0.35">
      <c r="D914"/>
      <c r="F914"/>
      <c r="G914" s="19"/>
      <c r="H914"/>
    </row>
    <row r="915" spans="4:8" x14ac:dyDescent="0.35">
      <c r="D915"/>
      <c r="F915"/>
      <c r="G915" s="19"/>
      <c r="H915"/>
    </row>
    <row r="916" spans="4:8" x14ac:dyDescent="0.35">
      <c r="D916"/>
      <c r="F916"/>
      <c r="G916" s="19"/>
      <c r="H916"/>
    </row>
    <row r="917" spans="4:8" x14ac:dyDescent="0.35">
      <c r="D917"/>
      <c r="F917"/>
      <c r="G917" s="19"/>
      <c r="H917"/>
    </row>
    <row r="918" spans="4:8" x14ac:dyDescent="0.35">
      <c r="D918"/>
      <c r="F918"/>
      <c r="G918" s="19"/>
      <c r="H918"/>
    </row>
    <row r="919" spans="4:8" x14ac:dyDescent="0.35">
      <c r="D919"/>
      <c r="F919"/>
      <c r="G919" s="19"/>
      <c r="H919"/>
    </row>
    <row r="920" spans="4:8" x14ac:dyDescent="0.35">
      <c r="D920"/>
      <c r="F920"/>
      <c r="G920" s="19"/>
      <c r="H920"/>
    </row>
    <row r="921" spans="4:8" x14ac:dyDescent="0.35">
      <c r="D921"/>
      <c r="F921"/>
      <c r="G921" s="19"/>
      <c r="H921"/>
    </row>
    <row r="922" spans="4:8" x14ac:dyDescent="0.35">
      <c r="D922"/>
      <c r="F922"/>
      <c r="G922" s="19"/>
      <c r="H922"/>
    </row>
    <row r="923" spans="4:8" x14ac:dyDescent="0.35">
      <c r="D923"/>
      <c r="F923"/>
      <c r="G923" s="19"/>
      <c r="H923"/>
    </row>
    <row r="924" spans="4:8" x14ac:dyDescent="0.35">
      <c r="D924"/>
      <c r="F924"/>
      <c r="G924" s="19"/>
      <c r="H924"/>
    </row>
    <row r="925" spans="4:8" x14ac:dyDescent="0.35">
      <c r="D925"/>
      <c r="F925"/>
      <c r="G925" s="19"/>
      <c r="H925"/>
    </row>
    <row r="926" spans="4:8" x14ac:dyDescent="0.35">
      <c r="D926"/>
      <c r="F926"/>
      <c r="G926" s="19"/>
      <c r="H926"/>
    </row>
    <row r="927" spans="4:8" x14ac:dyDescent="0.35">
      <c r="D927"/>
      <c r="F927"/>
      <c r="G927" s="19"/>
      <c r="H927"/>
    </row>
    <row r="928" spans="4:8" x14ac:dyDescent="0.35">
      <c r="D928"/>
      <c r="F928"/>
      <c r="G928" s="19"/>
      <c r="H928"/>
    </row>
    <row r="929" spans="4:8" x14ac:dyDescent="0.35">
      <c r="D929"/>
      <c r="F929"/>
      <c r="G929" s="19"/>
      <c r="H929"/>
    </row>
    <row r="930" spans="4:8" x14ac:dyDescent="0.35">
      <c r="D930"/>
      <c r="F930"/>
      <c r="G930" s="19"/>
      <c r="H930"/>
    </row>
    <row r="931" spans="4:8" x14ac:dyDescent="0.35">
      <c r="D931"/>
      <c r="F931"/>
      <c r="G931" s="19"/>
      <c r="H931"/>
    </row>
    <row r="932" spans="4:8" x14ac:dyDescent="0.35">
      <c r="D932"/>
      <c r="F932"/>
      <c r="G932" s="19"/>
      <c r="H932"/>
    </row>
    <row r="933" spans="4:8" x14ac:dyDescent="0.35">
      <c r="D933"/>
      <c r="F933"/>
      <c r="G933" s="19"/>
      <c r="H933"/>
    </row>
    <row r="934" spans="4:8" x14ac:dyDescent="0.35">
      <c r="D934"/>
      <c r="F934"/>
      <c r="G934" s="19"/>
      <c r="H934"/>
    </row>
    <row r="935" spans="4:8" x14ac:dyDescent="0.35">
      <c r="D935"/>
      <c r="F935"/>
      <c r="G935" s="19"/>
      <c r="H935"/>
    </row>
    <row r="936" spans="4:8" x14ac:dyDescent="0.35">
      <c r="D936"/>
      <c r="F936"/>
      <c r="G936" s="19"/>
      <c r="H936"/>
    </row>
    <row r="937" spans="4:8" x14ac:dyDescent="0.35">
      <c r="D937"/>
      <c r="F937"/>
      <c r="G937" s="19"/>
      <c r="H937"/>
    </row>
    <row r="938" spans="4:8" x14ac:dyDescent="0.35">
      <c r="D938"/>
      <c r="F938"/>
      <c r="G938" s="19"/>
      <c r="H938"/>
    </row>
    <row r="939" spans="4:8" x14ac:dyDescent="0.35">
      <c r="D939"/>
      <c r="F939"/>
      <c r="G939" s="19"/>
      <c r="H939"/>
    </row>
    <row r="940" spans="4:8" x14ac:dyDescent="0.35">
      <c r="D940"/>
      <c r="F940"/>
      <c r="G940" s="19"/>
      <c r="H940"/>
    </row>
    <row r="941" spans="4:8" x14ac:dyDescent="0.35">
      <c r="D941"/>
      <c r="F941"/>
      <c r="G941" s="19"/>
      <c r="H941"/>
    </row>
    <row r="942" spans="4:8" x14ac:dyDescent="0.35">
      <c r="D942"/>
      <c r="F942"/>
      <c r="G942" s="19"/>
      <c r="H942"/>
    </row>
    <row r="943" spans="4:8" x14ac:dyDescent="0.35">
      <c r="D943"/>
      <c r="F943"/>
      <c r="G943" s="19"/>
      <c r="H943"/>
    </row>
    <row r="944" spans="4:8" x14ac:dyDescent="0.35">
      <c r="D944"/>
      <c r="F944"/>
      <c r="G944" s="19"/>
      <c r="H944"/>
    </row>
    <row r="945" spans="4:8" x14ac:dyDescent="0.35">
      <c r="D945"/>
      <c r="F945"/>
      <c r="G945" s="19"/>
      <c r="H945"/>
    </row>
    <row r="946" spans="4:8" x14ac:dyDescent="0.35">
      <c r="D946"/>
      <c r="F946"/>
      <c r="G946" s="19"/>
      <c r="H946"/>
    </row>
    <row r="947" spans="4:8" x14ac:dyDescent="0.35">
      <c r="D947"/>
      <c r="F947"/>
      <c r="G947" s="19"/>
      <c r="H947"/>
    </row>
    <row r="948" spans="4:8" x14ac:dyDescent="0.35">
      <c r="D948"/>
      <c r="F948"/>
      <c r="G948" s="19"/>
      <c r="H948"/>
    </row>
    <row r="949" spans="4:8" x14ac:dyDescent="0.35">
      <c r="D949"/>
      <c r="F949"/>
      <c r="G949" s="19"/>
      <c r="H949"/>
    </row>
    <row r="950" spans="4:8" x14ac:dyDescent="0.35">
      <c r="D950"/>
      <c r="F950"/>
      <c r="G950" s="19"/>
      <c r="H950"/>
    </row>
    <row r="951" spans="4:8" x14ac:dyDescent="0.35">
      <c r="D951"/>
      <c r="F951"/>
      <c r="G951" s="19"/>
      <c r="H951"/>
    </row>
    <row r="952" spans="4:8" x14ac:dyDescent="0.35">
      <c r="D952"/>
      <c r="F952"/>
      <c r="G952" s="19"/>
      <c r="H952"/>
    </row>
    <row r="953" spans="4:8" x14ac:dyDescent="0.35">
      <c r="D953"/>
      <c r="F953"/>
      <c r="G953" s="19"/>
      <c r="H953"/>
    </row>
    <row r="954" spans="4:8" x14ac:dyDescent="0.35">
      <c r="D954"/>
      <c r="F954"/>
      <c r="G954" s="19"/>
      <c r="H954"/>
    </row>
    <row r="955" spans="4:8" x14ac:dyDescent="0.35">
      <c r="D955"/>
      <c r="F955"/>
      <c r="G955" s="19"/>
      <c r="H955"/>
    </row>
    <row r="956" spans="4:8" x14ac:dyDescent="0.35">
      <c r="D956"/>
      <c r="F956"/>
      <c r="G956" s="19"/>
      <c r="H956"/>
    </row>
    <row r="957" spans="4:8" x14ac:dyDescent="0.35">
      <c r="D957"/>
      <c r="F957"/>
      <c r="G957" s="19"/>
      <c r="H957"/>
    </row>
    <row r="958" spans="4:8" x14ac:dyDescent="0.35">
      <c r="D958"/>
      <c r="F958"/>
      <c r="G958" s="19"/>
      <c r="H958"/>
    </row>
    <row r="959" spans="4:8" x14ac:dyDescent="0.35">
      <c r="D959"/>
      <c r="F959"/>
      <c r="G959" s="19"/>
      <c r="H959"/>
    </row>
    <row r="960" spans="4:8" x14ac:dyDescent="0.35">
      <c r="D960"/>
      <c r="F960"/>
      <c r="G960" s="19"/>
      <c r="H960"/>
    </row>
    <row r="961" spans="4:8" x14ac:dyDescent="0.35">
      <c r="D961"/>
      <c r="F961"/>
      <c r="G961" s="19"/>
      <c r="H961"/>
    </row>
    <row r="962" spans="4:8" x14ac:dyDescent="0.35">
      <c r="D962"/>
      <c r="F962"/>
      <c r="G962" s="19"/>
      <c r="H962"/>
    </row>
    <row r="963" spans="4:8" x14ac:dyDescent="0.35">
      <c r="D963"/>
      <c r="F963"/>
      <c r="G963" s="19"/>
      <c r="H963"/>
    </row>
    <row r="964" spans="4:8" x14ac:dyDescent="0.35">
      <c r="D964"/>
      <c r="F964"/>
      <c r="G964" s="19"/>
      <c r="H964"/>
    </row>
    <row r="965" spans="4:8" x14ac:dyDescent="0.35">
      <c r="D965"/>
      <c r="F965"/>
      <c r="G965" s="19"/>
      <c r="H965"/>
    </row>
    <row r="966" spans="4:8" x14ac:dyDescent="0.35">
      <c r="D966"/>
      <c r="F966"/>
      <c r="G966" s="19"/>
      <c r="H966"/>
    </row>
    <row r="967" spans="4:8" x14ac:dyDescent="0.35">
      <c r="D967"/>
      <c r="F967"/>
      <c r="G967" s="19"/>
      <c r="H967"/>
    </row>
    <row r="968" spans="4:8" x14ac:dyDescent="0.35">
      <c r="D968"/>
      <c r="F968"/>
      <c r="G968" s="19"/>
      <c r="H968"/>
    </row>
    <row r="969" spans="4:8" x14ac:dyDescent="0.35">
      <c r="D969"/>
      <c r="F969"/>
      <c r="G969" s="19"/>
      <c r="H969"/>
    </row>
    <row r="970" spans="4:8" x14ac:dyDescent="0.35">
      <c r="D970"/>
      <c r="F970"/>
      <c r="G970" s="19"/>
      <c r="H970"/>
    </row>
    <row r="971" spans="4:8" x14ac:dyDescent="0.35">
      <c r="D971"/>
      <c r="F971"/>
      <c r="G971" s="19"/>
      <c r="H971"/>
    </row>
    <row r="972" spans="4:8" x14ac:dyDescent="0.35">
      <c r="D972"/>
      <c r="F972"/>
      <c r="G972" s="19"/>
      <c r="H972"/>
    </row>
    <row r="973" spans="4:8" x14ac:dyDescent="0.35">
      <c r="D973"/>
      <c r="F973"/>
      <c r="G973" s="19"/>
      <c r="H973"/>
    </row>
    <row r="974" spans="4:8" x14ac:dyDescent="0.35">
      <c r="D974"/>
      <c r="F974"/>
      <c r="G974" s="19"/>
      <c r="H974"/>
    </row>
    <row r="975" spans="4:8" x14ac:dyDescent="0.35">
      <c r="D975"/>
      <c r="F975"/>
      <c r="G975" s="19"/>
      <c r="H975"/>
    </row>
    <row r="976" spans="4:8" x14ac:dyDescent="0.35">
      <c r="D976"/>
      <c r="F976"/>
      <c r="G976" s="19"/>
      <c r="H976"/>
    </row>
    <row r="977" spans="4:8" x14ac:dyDescent="0.35">
      <c r="D977"/>
      <c r="F977"/>
      <c r="G977" s="19"/>
      <c r="H977"/>
    </row>
    <row r="978" spans="4:8" x14ac:dyDescent="0.35">
      <c r="D978"/>
      <c r="F978"/>
      <c r="G978" s="19"/>
      <c r="H978"/>
    </row>
    <row r="979" spans="4:8" x14ac:dyDescent="0.35">
      <c r="D979"/>
      <c r="F979"/>
      <c r="G979" s="19"/>
      <c r="H979"/>
    </row>
    <row r="980" spans="4:8" x14ac:dyDescent="0.35">
      <c r="D980"/>
      <c r="F980"/>
      <c r="G980" s="19"/>
      <c r="H980"/>
    </row>
    <row r="981" spans="4:8" x14ac:dyDescent="0.35">
      <c r="D981"/>
      <c r="F981"/>
      <c r="G981" s="19"/>
      <c r="H981"/>
    </row>
    <row r="982" spans="4:8" x14ac:dyDescent="0.35">
      <c r="D982"/>
      <c r="F982"/>
      <c r="G982" s="19"/>
      <c r="H982"/>
    </row>
    <row r="983" spans="4:8" x14ac:dyDescent="0.35">
      <c r="D983"/>
      <c r="F983"/>
      <c r="G983" s="19"/>
      <c r="H983"/>
    </row>
    <row r="984" spans="4:8" x14ac:dyDescent="0.35">
      <c r="D984"/>
      <c r="F984"/>
      <c r="G984" s="19"/>
      <c r="H984"/>
    </row>
    <row r="985" spans="4:8" x14ac:dyDescent="0.35">
      <c r="D985"/>
      <c r="F985"/>
      <c r="G985" s="19"/>
      <c r="H985"/>
    </row>
    <row r="986" spans="4:8" x14ac:dyDescent="0.35">
      <c r="D986"/>
      <c r="F986"/>
      <c r="G986" s="19"/>
      <c r="H986"/>
    </row>
    <row r="987" spans="4:8" x14ac:dyDescent="0.35">
      <c r="D987"/>
      <c r="F987"/>
      <c r="G987" s="19"/>
      <c r="H987"/>
    </row>
    <row r="988" spans="4:8" x14ac:dyDescent="0.35">
      <c r="D988"/>
      <c r="F988"/>
      <c r="G988" s="19"/>
      <c r="H988"/>
    </row>
    <row r="989" spans="4:8" x14ac:dyDescent="0.35">
      <c r="D989"/>
      <c r="F989"/>
      <c r="G989" s="19"/>
      <c r="H989"/>
    </row>
    <row r="990" spans="4:8" x14ac:dyDescent="0.35">
      <c r="D990"/>
      <c r="F990"/>
      <c r="G990" s="19"/>
      <c r="H990"/>
    </row>
    <row r="991" spans="4:8" x14ac:dyDescent="0.35">
      <c r="D991"/>
      <c r="F991"/>
      <c r="G991" s="19"/>
      <c r="H991"/>
    </row>
    <row r="992" spans="4:8" x14ac:dyDescent="0.35">
      <c r="D992"/>
      <c r="F992"/>
      <c r="G992" s="19"/>
      <c r="H992"/>
    </row>
    <row r="993" spans="4:8" x14ac:dyDescent="0.35">
      <c r="D993"/>
      <c r="F993"/>
      <c r="G993" s="19"/>
      <c r="H993"/>
    </row>
    <row r="994" spans="4:8" x14ac:dyDescent="0.35">
      <c r="D994"/>
      <c r="F994"/>
      <c r="G994" s="19"/>
      <c r="H994"/>
    </row>
    <row r="995" spans="4:8" x14ac:dyDescent="0.35">
      <c r="D995"/>
      <c r="F995"/>
      <c r="G995" s="19"/>
      <c r="H995"/>
    </row>
    <row r="996" spans="4:8" x14ac:dyDescent="0.35">
      <c r="D996"/>
      <c r="F996"/>
      <c r="G996" s="19"/>
      <c r="H996"/>
    </row>
    <row r="997" spans="4:8" x14ac:dyDescent="0.35">
      <c r="D997"/>
      <c r="F997"/>
      <c r="G997" s="19"/>
      <c r="H997"/>
    </row>
    <row r="998" spans="4:8" x14ac:dyDescent="0.35">
      <c r="D998"/>
      <c r="F998"/>
      <c r="G998" s="19"/>
      <c r="H998"/>
    </row>
    <row r="999" spans="4:8" x14ac:dyDescent="0.35">
      <c r="D999"/>
      <c r="F999"/>
      <c r="G999" s="19"/>
      <c r="H999"/>
    </row>
    <row r="1000" spans="4:8" x14ac:dyDescent="0.35">
      <c r="D1000"/>
      <c r="F1000"/>
      <c r="G1000" s="19"/>
      <c r="H1000"/>
    </row>
    <row r="1001" spans="4:8" x14ac:dyDescent="0.35">
      <c r="D1001"/>
      <c r="F1001"/>
      <c r="G1001" s="19"/>
      <c r="H1001"/>
    </row>
    <row r="1002" spans="4:8" x14ac:dyDescent="0.35">
      <c r="D1002"/>
      <c r="F1002"/>
      <c r="G1002" s="19"/>
      <c r="H1002"/>
    </row>
    <row r="1003" spans="4:8" x14ac:dyDescent="0.35">
      <c r="D1003"/>
      <c r="F1003"/>
      <c r="G1003" s="19"/>
      <c r="H1003"/>
    </row>
    <row r="1004" spans="4:8" x14ac:dyDescent="0.35">
      <c r="D1004"/>
      <c r="F1004"/>
      <c r="G1004" s="19"/>
      <c r="H1004"/>
    </row>
    <row r="1005" spans="4:8" x14ac:dyDescent="0.35">
      <c r="D1005"/>
      <c r="F1005"/>
      <c r="G1005" s="19"/>
      <c r="H1005"/>
    </row>
    <row r="1006" spans="4:8" x14ac:dyDescent="0.35">
      <c r="D1006"/>
      <c r="F1006"/>
      <c r="G1006" s="19"/>
      <c r="H1006"/>
    </row>
    <row r="1007" spans="4:8" x14ac:dyDescent="0.35">
      <c r="D1007"/>
      <c r="F1007"/>
      <c r="G1007" s="19"/>
      <c r="H1007"/>
    </row>
    <row r="1008" spans="4:8" x14ac:dyDescent="0.35">
      <c r="D1008"/>
      <c r="F1008"/>
      <c r="G1008" s="19"/>
      <c r="H1008"/>
    </row>
    <row r="1009" spans="4:26" x14ac:dyDescent="0.35">
      <c r="D1009"/>
      <c r="F1009"/>
      <c r="G1009" s="19"/>
      <c r="H1009"/>
    </row>
    <row r="1010" spans="4:26" x14ac:dyDescent="0.35">
      <c r="D1010"/>
      <c r="F1010"/>
      <c r="G1010" s="19"/>
      <c r="H1010"/>
    </row>
    <row r="1011" spans="4:26" x14ac:dyDescent="0.35">
      <c r="D1011"/>
      <c r="F1011"/>
      <c r="G1011" s="19"/>
      <c r="H1011"/>
    </row>
    <row r="1012" spans="4:26" x14ac:dyDescent="0.35">
      <c r="D1012"/>
      <c r="F1012"/>
      <c r="G1012" s="19"/>
      <c r="H1012"/>
    </row>
    <row r="1013" spans="4:26" x14ac:dyDescent="0.35">
      <c r="D1013"/>
      <c r="F1013"/>
      <c r="G1013" s="19"/>
      <c r="H1013"/>
    </row>
    <row r="1014" spans="4:26" x14ac:dyDescent="0.35">
      <c r="D1014"/>
      <c r="F1014"/>
      <c r="G1014" s="19"/>
      <c r="H1014"/>
      <c r="Z1014" s="26"/>
    </row>
    <row r="1015" spans="4:26" x14ac:dyDescent="0.35">
      <c r="D1015"/>
      <c r="F1015"/>
      <c r="G1015" s="19"/>
      <c r="H1015"/>
    </row>
    <row r="1016" spans="4:26" x14ac:dyDescent="0.35">
      <c r="D1016"/>
      <c r="F1016"/>
      <c r="G1016" s="19"/>
      <c r="H1016"/>
    </row>
    <row r="1017" spans="4:26" x14ac:dyDescent="0.35">
      <c r="D1017"/>
      <c r="F1017"/>
      <c r="G1017" s="19"/>
      <c r="H1017"/>
    </row>
    <row r="1018" spans="4:26" x14ac:dyDescent="0.35">
      <c r="D1018"/>
      <c r="F1018"/>
      <c r="G1018" s="19"/>
      <c r="H1018"/>
    </row>
    <row r="1019" spans="4:26" x14ac:dyDescent="0.35">
      <c r="D1019"/>
      <c r="F1019"/>
      <c r="G1019" s="19"/>
      <c r="H1019"/>
    </row>
    <row r="1020" spans="4:26" x14ac:dyDescent="0.35">
      <c r="D1020"/>
      <c r="F1020"/>
      <c r="G1020" s="19"/>
      <c r="H1020"/>
    </row>
    <row r="1021" spans="4:26" x14ac:dyDescent="0.35">
      <c r="D1021"/>
      <c r="F1021"/>
      <c r="G1021" s="19"/>
      <c r="H1021"/>
    </row>
    <row r="1022" spans="4:26" x14ac:dyDescent="0.35">
      <c r="D1022"/>
      <c r="F1022"/>
      <c r="G1022" s="19"/>
      <c r="H1022"/>
    </row>
    <row r="1023" spans="4:26" x14ac:dyDescent="0.35">
      <c r="D1023"/>
      <c r="F1023"/>
      <c r="G1023" s="19"/>
      <c r="H1023"/>
    </row>
    <row r="1024" spans="4:26" x14ac:dyDescent="0.35">
      <c r="D1024"/>
      <c r="F1024"/>
      <c r="G1024" s="19"/>
      <c r="H1024"/>
    </row>
    <row r="1025" spans="4:8" x14ac:dyDescent="0.35">
      <c r="D1025"/>
      <c r="F1025"/>
      <c r="G1025" s="19"/>
      <c r="H1025"/>
    </row>
    <row r="1026" spans="4:8" x14ac:dyDescent="0.35">
      <c r="D1026"/>
      <c r="F1026"/>
      <c r="G1026" s="19"/>
      <c r="H1026"/>
    </row>
    <row r="1027" spans="4:8" x14ac:dyDescent="0.35">
      <c r="D1027"/>
      <c r="F1027"/>
      <c r="G1027" s="19"/>
      <c r="H1027"/>
    </row>
    <row r="1028" spans="4:8" x14ac:dyDescent="0.35">
      <c r="D1028"/>
      <c r="F1028"/>
      <c r="G1028" s="19"/>
      <c r="H1028"/>
    </row>
    <row r="1029" spans="4:8" x14ac:dyDescent="0.35">
      <c r="D1029"/>
      <c r="F1029"/>
      <c r="G1029" s="19"/>
      <c r="H1029"/>
    </row>
    <row r="1030" spans="4:8" x14ac:dyDescent="0.35">
      <c r="D1030"/>
      <c r="F1030"/>
      <c r="G1030" s="19"/>
      <c r="H1030"/>
    </row>
    <row r="1031" spans="4:8" x14ac:dyDescent="0.35">
      <c r="D1031"/>
      <c r="F1031"/>
      <c r="G1031" s="19"/>
      <c r="H1031"/>
    </row>
    <row r="1032" spans="4:8" x14ac:dyDescent="0.35">
      <c r="D1032"/>
      <c r="F1032"/>
      <c r="G1032" s="19"/>
      <c r="H1032"/>
    </row>
    <row r="1033" spans="4:8" x14ac:dyDescent="0.35">
      <c r="D1033"/>
      <c r="F1033"/>
      <c r="G1033" s="19"/>
      <c r="H1033"/>
    </row>
    <row r="1034" spans="4:8" x14ac:dyDescent="0.35">
      <c r="D1034"/>
      <c r="F1034"/>
      <c r="G1034" s="19"/>
      <c r="H1034"/>
    </row>
    <row r="1035" spans="4:8" x14ac:dyDescent="0.35">
      <c r="D1035"/>
      <c r="F1035"/>
      <c r="G1035" s="19"/>
      <c r="H1035"/>
    </row>
    <row r="1036" spans="4:8" x14ac:dyDescent="0.35">
      <c r="D1036"/>
      <c r="F1036"/>
      <c r="G1036" s="19"/>
      <c r="H1036"/>
    </row>
    <row r="1037" spans="4:8" x14ac:dyDescent="0.35">
      <c r="D1037"/>
      <c r="F1037"/>
      <c r="G1037" s="19"/>
      <c r="H1037"/>
    </row>
    <row r="1038" spans="4:8" x14ac:dyDescent="0.35">
      <c r="D1038"/>
      <c r="F1038"/>
      <c r="G1038" s="19"/>
      <c r="H1038"/>
    </row>
    <row r="1039" spans="4:8" x14ac:dyDescent="0.35">
      <c r="D1039"/>
      <c r="F1039"/>
      <c r="G1039" s="19"/>
      <c r="H1039"/>
    </row>
    <row r="1040" spans="4:8" x14ac:dyDescent="0.35">
      <c r="D1040"/>
      <c r="F1040"/>
      <c r="G1040" s="19"/>
      <c r="H1040"/>
    </row>
    <row r="1041" spans="4:8" x14ac:dyDescent="0.35">
      <c r="D1041"/>
      <c r="F1041"/>
      <c r="G1041" s="19"/>
      <c r="H1041"/>
    </row>
    <row r="1042" spans="4:8" x14ac:dyDescent="0.35">
      <c r="D1042"/>
      <c r="F1042"/>
      <c r="G1042" s="19"/>
      <c r="H1042"/>
    </row>
    <row r="1043" spans="4:8" x14ac:dyDescent="0.35">
      <c r="D1043"/>
      <c r="F1043"/>
      <c r="G1043" s="19"/>
      <c r="H1043"/>
    </row>
    <row r="1044" spans="4:8" x14ac:dyDescent="0.35">
      <c r="D1044"/>
      <c r="F1044"/>
      <c r="G1044" s="19"/>
      <c r="H1044"/>
    </row>
    <row r="1045" spans="4:8" x14ac:dyDescent="0.35">
      <c r="D1045"/>
      <c r="F1045"/>
      <c r="G1045" s="19"/>
      <c r="H1045"/>
    </row>
    <row r="1046" spans="4:8" x14ac:dyDescent="0.35">
      <c r="D1046"/>
      <c r="F1046"/>
      <c r="G1046" s="19"/>
      <c r="H1046"/>
    </row>
    <row r="1047" spans="4:8" x14ac:dyDescent="0.35">
      <c r="D1047"/>
      <c r="F1047"/>
      <c r="G1047" s="19"/>
      <c r="H1047"/>
    </row>
    <row r="1048" spans="4:8" x14ac:dyDescent="0.35">
      <c r="D1048"/>
      <c r="F1048"/>
      <c r="G1048" s="19"/>
      <c r="H1048"/>
    </row>
    <row r="1049" spans="4:8" x14ac:dyDescent="0.35">
      <c r="D1049"/>
      <c r="F1049"/>
      <c r="G1049" s="19"/>
      <c r="H1049"/>
    </row>
    <row r="1050" spans="4:8" x14ac:dyDescent="0.35">
      <c r="D1050"/>
      <c r="F1050"/>
      <c r="G1050" s="19"/>
      <c r="H1050"/>
    </row>
    <row r="1051" spans="4:8" x14ac:dyDescent="0.35">
      <c r="D1051"/>
      <c r="F1051"/>
      <c r="G1051" s="19"/>
      <c r="H1051"/>
    </row>
    <row r="1052" spans="4:8" x14ac:dyDescent="0.35">
      <c r="D1052"/>
      <c r="F1052"/>
      <c r="G1052" s="19"/>
      <c r="H1052"/>
    </row>
    <row r="1053" spans="4:8" x14ac:dyDescent="0.35">
      <c r="D1053"/>
      <c r="F1053"/>
      <c r="G1053" s="19"/>
      <c r="H1053"/>
    </row>
    <row r="1054" spans="4:8" x14ac:dyDescent="0.35">
      <c r="D1054"/>
      <c r="F1054"/>
      <c r="G1054" s="19"/>
      <c r="H1054"/>
    </row>
    <row r="1055" spans="4:8" x14ac:dyDescent="0.35">
      <c r="D1055"/>
      <c r="F1055"/>
      <c r="G1055" s="19"/>
      <c r="H1055"/>
    </row>
    <row r="1056" spans="4:8" x14ac:dyDescent="0.35">
      <c r="D1056"/>
      <c r="F1056"/>
      <c r="G1056" s="19"/>
      <c r="H1056"/>
    </row>
    <row r="1057" spans="4:8" x14ac:dyDescent="0.35">
      <c r="D1057"/>
      <c r="F1057"/>
      <c r="G1057" s="19"/>
      <c r="H1057"/>
    </row>
    <row r="1058" spans="4:8" x14ac:dyDescent="0.35">
      <c r="D1058"/>
      <c r="F1058"/>
      <c r="G1058" s="19"/>
      <c r="H1058"/>
    </row>
    <row r="1059" spans="4:8" x14ac:dyDescent="0.35">
      <c r="D1059"/>
      <c r="F1059"/>
      <c r="G1059" s="19"/>
      <c r="H1059"/>
    </row>
    <row r="1060" spans="4:8" x14ac:dyDescent="0.35">
      <c r="D1060"/>
      <c r="F1060"/>
      <c r="G1060" s="19"/>
      <c r="H1060"/>
    </row>
    <row r="1061" spans="4:8" x14ac:dyDescent="0.35">
      <c r="D1061"/>
      <c r="F1061"/>
      <c r="G1061" s="19"/>
      <c r="H1061"/>
    </row>
    <row r="1062" spans="4:8" x14ac:dyDescent="0.35">
      <c r="D1062"/>
      <c r="F1062"/>
      <c r="G1062" s="19"/>
      <c r="H1062"/>
    </row>
    <row r="1063" spans="4:8" x14ac:dyDescent="0.35">
      <c r="D1063"/>
      <c r="F1063"/>
      <c r="G1063" s="19"/>
      <c r="H1063"/>
    </row>
    <row r="1064" spans="4:8" x14ac:dyDescent="0.35">
      <c r="D1064"/>
      <c r="F1064"/>
      <c r="G1064" s="19"/>
      <c r="H1064"/>
    </row>
    <row r="1065" spans="4:8" x14ac:dyDescent="0.35">
      <c r="D1065"/>
      <c r="F1065"/>
      <c r="G1065" s="19"/>
      <c r="H1065"/>
    </row>
    <row r="1066" spans="4:8" x14ac:dyDescent="0.35">
      <c r="D1066"/>
      <c r="F1066"/>
      <c r="G1066" s="19"/>
      <c r="H1066"/>
    </row>
    <row r="1067" spans="4:8" x14ac:dyDescent="0.35">
      <c r="D1067"/>
      <c r="F1067"/>
      <c r="G1067" s="19"/>
      <c r="H1067"/>
    </row>
    <row r="1068" spans="4:8" x14ac:dyDescent="0.35">
      <c r="D1068"/>
      <c r="F1068"/>
      <c r="G1068" s="19"/>
      <c r="H1068"/>
    </row>
    <row r="1069" spans="4:8" x14ac:dyDescent="0.35">
      <c r="D1069"/>
      <c r="F1069"/>
      <c r="G1069" s="19"/>
      <c r="H1069"/>
    </row>
    <row r="1070" spans="4:8" x14ac:dyDescent="0.35">
      <c r="D1070"/>
      <c r="F1070"/>
      <c r="G1070" s="19"/>
      <c r="H1070"/>
    </row>
    <row r="1071" spans="4:8" x14ac:dyDescent="0.35">
      <c r="D1071"/>
      <c r="F1071"/>
      <c r="G1071" s="19"/>
      <c r="H1071"/>
    </row>
    <row r="1072" spans="4:8" x14ac:dyDescent="0.35">
      <c r="D1072"/>
      <c r="F1072"/>
      <c r="G1072" s="19"/>
      <c r="H1072"/>
    </row>
    <row r="1073" spans="4:8" x14ac:dyDescent="0.35">
      <c r="D1073"/>
      <c r="F1073"/>
      <c r="G1073" s="19"/>
      <c r="H1073"/>
    </row>
    <row r="1074" spans="4:8" x14ac:dyDescent="0.35">
      <c r="D1074"/>
      <c r="F1074"/>
      <c r="G1074" s="19"/>
      <c r="H1074"/>
    </row>
    <row r="1075" spans="4:8" x14ac:dyDescent="0.35">
      <c r="D1075"/>
      <c r="F1075"/>
      <c r="G1075" s="19"/>
      <c r="H1075"/>
    </row>
    <row r="1076" spans="4:8" x14ac:dyDescent="0.35">
      <c r="D1076"/>
      <c r="F1076"/>
      <c r="G1076" s="19"/>
      <c r="H1076"/>
    </row>
    <row r="1077" spans="4:8" x14ac:dyDescent="0.35">
      <c r="D1077"/>
      <c r="F1077"/>
      <c r="G1077" s="19"/>
      <c r="H1077"/>
    </row>
    <row r="1078" spans="4:8" x14ac:dyDescent="0.35">
      <c r="D1078"/>
      <c r="F1078"/>
      <c r="G1078" s="19"/>
      <c r="H1078"/>
    </row>
    <row r="1079" spans="4:8" x14ac:dyDescent="0.35">
      <c r="D1079"/>
      <c r="F1079"/>
      <c r="G1079" s="19"/>
      <c r="H1079"/>
    </row>
    <row r="1080" spans="4:8" x14ac:dyDescent="0.35">
      <c r="D1080"/>
      <c r="F1080"/>
      <c r="G1080" s="19"/>
      <c r="H1080"/>
    </row>
    <row r="1081" spans="4:8" x14ac:dyDescent="0.35">
      <c r="D1081"/>
      <c r="F1081"/>
      <c r="G1081" s="19"/>
      <c r="H1081"/>
    </row>
    <row r="1082" spans="4:8" x14ac:dyDescent="0.35">
      <c r="D1082"/>
      <c r="F1082"/>
      <c r="G1082" s="19"/>
      <c r="H1082"/>
    </row>
    <row r="1083" spans="4:8" x14ac:dyDescent="0.35">
      <c r="D1083"/>
      <c r="F1083"/>
      <c r="G1083" s="19"/>
      <c r="H1083"/>
    </row>
    <row r="1084" spans="4:8" x14ac:dyDescent="0.35">
      <c r="D1084"/>
      <c r="F1084"/>
      <c r="G1084" s="19"/>
      <c r="H1084"/>
    </row>
    <row r="1085" spans="4:8" x14ac:dyDescent="0.35">
      <c r="D1085"/>
      <c r="F1085"/>
      <c r="G1085" s="19"/>
      <c r="H1085"/>
    </row>
    <row r="1086" spans="4:8" x14ac:dyDescent="0.35">
      <c r="D1086"/>
      <c r="F1086"/>
      <c r="G1086" s="19"/>
      <c r="H1086"/>
    </row>
    <row r="1087" spans="4:8" x14ac:dyDescent="0.35">
      <c r="D1087"/>
      <c r="F1087"/>
      <c r="G1087" s="19"/>
      <c r="H1087"/>
    </row>
    <row r="1088" spans="4:8" x14ac:dyDescent="0.35">
      <c r="D1088"/>
      <c r="F1088"/>
      <c r="G1088" s="19"/>
      <c r="H1088"/>
    </row>
    <row r="1089" spans="4:8" x14ac:dyDescent="0.35">
      <c r="D1089"/>
      <c r="F1089"/>
      <c r="G1089" s="19"/>
      <c r="H1089"/>
    </row>
    <row r="1090" spans="4:8" x14ac:dyDescent="0.35">
      <c r="D1090"/>
      <c r="F1090"/>
      <c r="G1090" s="19"/>
      <c r="H1090"/>
    </row>
    <row r="1091" spans="4:8" x14ac:dyDescent="0.35">
      <c r="D1091"/>
      <c r="F1091"/>
      <c r="G1091" s="19"/>
      <c r="H1091"/>
    </row>
    <row r="1092" spans="4:8" x14ac:dyDescent="0.35">
      <c r="D1092"/>
      <c r="F1092"/>
      <c r="G1092" s="19"/>
      <c r="H1092"/>
    </row>
    <row r="1093" spans="4:8" x14ac:dyDescent="0.35">
      <c r="D1093"/>
      <c r="F1093"/>
      <c r="G1093" s="19"/>
      <c r="H1093"/>
    </row>
    <row r="1094" spans="4:8" x14ac:dyDescent="0.35">
      <c r="D1094"/>
      <c r="F1094"/>
      <c r="G1094" s="19"/>
      <c r="H1094"/>
    </row>
    <row r="1095" spans="4:8" x14ac:dyDescent="0.35">
      <c r="D1095"/>
      <c r="F1095"/>
      <c r="G1095" s="19"/>
      <c r="H1095"/>
    </row>
    <row r="1096" spans="4:8" x14ac:dyDescent="0.35">
      <c r="D1096"/>
      <c r="F1096"/>
      <c r="G1096" s="19"/>
      <c r="H1096"/>
    </row>
    <row r="1097" spans="4:8" x14ac:dyDescent="0.35">
      <c r="D1097"/>
      <c r="F1097"/>
      <c r="G1097" s="19"/>
      <c r="H1097"/>
    </row>
    <row r="1098" spans="4:8" x14ac:dyDescent="0.35">
      <c r="D1098"/>
      <c r="F1098"/>
      <c r="G1098" s="19"/>
      <c r="H1098"/>
    </row>
    <row r="1099" spans="4:8" x14ac:dyDescent="0.35">
      <c r="D1099"/>
      <c r="F1099"/>
      <c r="G1099" s="19"/>
      <c r="H1099"/>
    </row>
    <row r="1100" spans="4:8" x14ac:dyDescent="0.35">
      <c r="D1100"/>
      <c r="F1100"/>
      <c r="G1100" s="19"/>
      <c r="H1100"/>
    </row>
    <row r="1101" spans="4:8" x14ac:dyDescent="0.35">
      <c r="D1101"/>
      <c r="F1101"/>
      <c r="G1101" s="19"/>
      <c r="H1101"/>
    </row>
    <row r="1102" spans="4:8" x14ac:dyDescent="0.35">
      <c r="D1102"/>
      <c r="F1102"/>
      <c r="G1102" s="19"/>
      <c r="H1102"/>
    </row>
    <row r="1103" spans="4:8" x14ac:dyDescent="0.35">
      <c r="D1103"/>
      <c r="F1103"/>
      <c r="G1103" s="19"/>
      <c r="H1103"/>
    </row>
    <row r="1104" spans="4:8" x14ac:dyDescent="0.35">
      <c r="D1104"/>
      <c r="F1104"/>
      <c r="G1104" s="19"/>
      <c r="H1104"/>
    </row>
    <row r="1105" spans="4:8" x14ac:dyDescent="0.35">
      <c r="D1105"/>
      <c r="F1105"/>
      <c r="G1105" s="19"/>
      <c r="H1105"/>
    </row>
    <row r="1106" spans="4:8" x14ac:dyDescent="0.35">
      <c r="D1106"/>
      <c r="F1106"/>
      <c r="G1106" s="19"/>
      <c r="H1106"/>
    </row>
    <row r="1107" spans="4:8" x14ac:dyDescent="0.35">
      <c r="D1107"/>
      <c r="F1107"/>
      <c r="G1107" s="19"/>
      <c r="H1107"/>
    </row>
    <row r="1108" spans="4:8" x14ac:dyDescent="0.35">
      <c r="D1108"/>
      <c r="F1108"/>
      <c r="G1108" s="19"/>
      <c r="H1108"/>
    </row>
    <row r="1109" spans="4:8" x14ac:dyDescent="0.35">
      <c r="D1109"/>
      <c r="F1109"/>
      <c r="G1109" s="19"/>
      <c r="H1109"/>
    </row>
    <row r="1110" spans="4:8" x14ac:dyDescent="0.35">
      <c r="D1110"/>
      <c r="F1110"/>
      <c r="G1110" s="19"/>
      <c r="H1110"/>
    </row>
    <row r="1111" spans="4:8" x14ac:dyDescent="0.35">
      <c r="D1111"/>
      <c r="F1111"/>
      <c r="G1111" s="19"/>
      <c r="H1111"/>
    </row>
  </sheetData>
  <sortState xmlns:xlrd2="http://schemas.microsoft.com/office/spreadsheetml/2017/richdata2" ref="A7:Q185">
    <sortCondition descending="1" ref="Q7:Q185"/>
  </sortState>
  <mergeCells count="2">
    <mergeCell ref="AD6:AE6"/>
    <mergeCell ref="G6:O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6313C-FA62-4C30-A024-A1B5E4DE29AF}">
  <sheetPr>
    <tabColor rgb="FF92D050"/>
  </sheetPr>
  <dimension ref="A1:AF44"/>
  <sheetViews>
    <sheetView workbookViewId="0">
      <selection activeCell="C3" sqref="C3"/>
    </sheetView>
  </sheetViews>
  <sheetFormatPr defaultRowHeight="14.5" x14ac:dyDescent="0.35"/>
  <cols>
    <col min="3" max="3" width="12.54296875" customWidth="1"/>
    <col min="5" max="5" width="10.7265625" style="19" bestFit="1" customWidth="1"/>
    <col min="6" max="6" width="11.81640625" style="48" customWidth="1"/>
    <col min="7" max="7" width="14.1796875" style="55" customWidth="1"/>
    <col min="8" max="8" width="17.453125" style="48" customWidth="1"/>
    <col min="9" max="9" width="22.26953125" style="48" customWidth="1"/>
    <col min="10" max="15" width="22.26953125" customWidth="1"/>
    <col min="16" max="16" width="2" style="5" customWidth="1"/>
    <col min="17" max="17" width="10.1796875" style="3" bestFit="1" customWidth="1"/>
    <col min="18" max="19" width="14.54296875" style="48" customWidth="1"/>
  </cols>
  <sheetData>
    <row r="1" spans="1:32" x14ac:dyDescent="0.35">
      <c r="A1" t="s">
        <v>59</v>
      </c>
      <c r="C1" s="24">
        <f>Summary!A17</f>
        <v>5160999000</v>
      </c>
      <c r="D1" s="3"/>
    </row>
    <row r="2" spans="1:32" x14ac:dyDescent="0.35">
      <c r="A2" t="s">
        <v>60</v>
      </c>
      <c r="C2" s="24" t="str">
        <f>Summary!B17</f>
        <v>Public relations</v>
      </c>
      <c r="D2" s="3"/>
      <c r="F2" s="48" t="s">
        <v>98</v>
      </c>
    </row>
    <row r="3" spans="1:32" x14ac:dyDescent="0.35">
      <c r="A3" t="s">
        <v>61</v>
      </c>
      <c r="C3" s="22">
        <v>11669.68</v>
      </c>
      <c r="D3" s="3"/>
      <c r="F3" s="49" t="s">
        <v>140</v>
      </c>
    </row>
    <row r="4" spans="1:32" x14ac:dyDescent="0.35">
      <c r="A4" t="s">
        <v>36</v>
      </c>
      <c r="C4" s="22">
        <f>SUM(E:E)</f>
        <v>11669.679999999998</v>
      </c>
      <c r="D4" s="3"/>
      <c r="T4" s="24" t="s">
        <v>0</v>
      </c>
      <c r="U4" s="24"/>
      <c r="V4" s="3">
        <f>SUMIF($A$10:$A$23974,"AU001",V9:V23973)</f>
        <v>0</v>
      </c>
    </row>
    <row r="5" spans="1:32" ht="15" thickBot="1" x14ac:dyDescent="0.4">
      <c r="A5" t="s">
        <v>62</v>
      </c>
      <c r="C5" s="3">
        <f>C3-C4</f>
        <v>0</v>
      </c>
      <c r="D5" s="3"/>
      <c r="Q5" s="28"/>
      <c r="R5" s="50"/>
      <c r="T5" s="24" t="s">
        <v>27</v>
      </c>
      <c r="U5" s="24"/>
      <c r="V5" s="3">
        <f>SUMIF($A$10:$A$23975,"AU052",V9:V23974)</f>
        <v>0</v>
      </c>
    </row>
    <row r="6" spans="1:32" ht="15" thickBot="1" x14ac:dyDescent="0.4">
      <c r="D6" s="3"/>
      <c r="F6" s="55"/>
      <c r="AD6" s="207" t="s">
        <v>35</v>
      </c>
      <c r="AE6" s="208"/>
    </row>
    <row r="7" spans="1:32" ht="87.5" thickBot="1" x14ac:dyDescent="0.4">
      <c r="A7" s="130" t="s">
        <v>63</v>
      </c>
      <c r="B7" s="130" t="s">
        <v>313</v>
      </c>
      <c r="C7" s="130" t="s">
        <v>64</v>
      </c>
      <c r="D7" s="130" t="s">
        <v>65</v>
      </c>
      <c r="E7" s="130" t="s">
        <v>66</v>
      </c>
      <c r="F7" s="130" t="s">
        <v>67</v>
      </c>
      <c r="G7" s="101" t="s">
        <v>68</v>
      </c>
      <c r="H7" s="130" t="s">
        <v>69</v>
      </c>
      <c r="I7" s="130" t="s">
        <v>70</v>
      </c>
      <c r="J7" s="130" t="s">
        <v>71</v>
      </c>
      <c r="K7" s="130" t="s">
        <v>72</v>
      </c>
      <c r="L7" s="130" t="s">
        <v>73</v>
      </c>
      <c r="M7" s="130" t="s">
        <v>74</v>
      </c>
      <c r="N7" s="130" t="s">
        <v>75</v>
      </c>
      <c r="O7" s="130" t="s">
        <v>304</v>
      </c>
      <c r="Q7" s="29" t="s">
        <v>95</v>
      </c>
      <c r="R7" s="25" t="s">
        <v>76</v>
      </c>
      <c r="S7" s="8" t="s">
        <v>37</v>
      </c>
      <c r="T7" s="7" t="s">
        <v>38</v>
      </c>
      <c r="U7" s="7" t="s">
        <v>417</v>
      </c>
      <c r="V7" s="8" t="s">
        <v>39</v>
      </c>
      <c r="W7" s="9" t="s">
        <v>40</v>
      </c>
      <c r="X7" s="10" t="s">
        <v>41</v>
      </c>
      <c r="Y7" s="11" t="s">
        <v>42</v>
      </c>
      <c r="Z7" s="12" t="s">
        <v>43</v>
      </c>
      <c r="AA7" s="13" t="s">
        <v>44</v>
      </c>
      <c r="AB7" s="13" t="s">
        <v>45</v>
      </c>
      <c r="AC7" s="13" t="s">
        <v>46</v>
      </c>
      <c r="AD7" s="14" t="s">
        <v>47</v>
      </c>
      <c r="AE7" s="14" t="s">
        <v>48</v>
      </c>
      <c r="AF7" s="15" t="s">
        <v>49</v>
      </c>
    </row>
    <row r="8" spans="1:32" ht="29" x14ac:dyDescent="0.35">
      <c r="A8" s="129" t="s">
        <v>0</v>
      </c>
      <c r="B8" s="129" t="s">
        <v>348</v>
      </c>
      <c r="C8" s="129" t="s">
        <v>14</v>
      </c>
      <c r="D8" s="129" t="s">
        <v>15</v>
      </c>
      <c r="E8" s="129">
        <v>11300.44</v>
      </c>
      <c r="F8" s="129" t="s">
        <v>77</v>
      </c>
      <c r="G8" s="102">
        <v>45734</v>
      </c>
      <c r="H8" s="129" t="s">
        <v>78</v>
      </c>
      <c r="I8" s="129" t="s">
        <v>1390</v>
      </c>
      <c r="J8" s="129"/>
      <c r="K8" s="129" t="s">
        <v>582</v>
      </c>
      <c r="L8" s="129" t="s">
        <v>1391</v>
      </c>
      <c r="M8" s="129" t="s">
        <v>117</v>
      </c>
      <c r="N8" s="129"/>
      <c r="O8" s="129"/>
      <c r="Q8" s="3">
        <f>ABS(E8)</f>
        <v>11300.44</v>
      </c>
      <c r="S8" s="48" t="s">
        <v>583</v>
      </c>
    </row>
    <row r="9" spans="1:32" x14ac:dyDescent="0.35">
      <c r="A9" s="129" t="s">
        <v>27</v>
      </c>
      <c r="B9" s="129" t="s">
        <v>348</v>
      </c>
      <c r="C9" s="129" t="s">
        <v>14</v>
      </c>
      <c r="D9" s="129" t="s">
        <v>15</v>
      </c>
      <c r="E9" s="129">
        <v>15.67</v>
      </c>
      <c r="F9" s="129" t="s">
        <v>77</v>
      </c>
      <c r="G9" s="102">
        <v>45674</v>
      </c>
      <c r="H9" s="129" t="s">
        <v>79</v>
      </c>
      <c r="I9" s="129" t="s">
        <v>127</v>
      </c>
      <c r="J9" s="129" t="s">
        <v>1433</v>
      </c>
      <c r="K9" s="129"/>
      <c r="L9" s="129"/>
      <c r="M9" s="129"/>
      <c r="N9" s="129"/>
      <c r="O9" s="129" t="s">
        <v>1434</v>
      </c>
      <c r="Q9" s="3">
        <f t="shared" ref="Q9:Q16" si="0">ABS(E9)</f>
        <v>15.67</v>
      </c>
      <c r="S9" s="48" t="s">
        <v>743</v>
      </c>
      <c r="V9" s="99"/>
    </row>
    <row r="10" spans="1:32" ht="29" x14ac:dyDescent="0.35">
      <c r="A10" s="129" t="s">
        <v>27</v>
      </c>
      <c r="B10" s="129" t="s">
        <v>348</v>
      </c>
      <c r="C10" s="129" t="s">
        <v>14</v>
      </c>
      <c r="D10" s="129" t="s">
        <v>15</v>
      </c>
      <c r="E10" s="129">
        <v>14.55</v>
      </c>
      <c r="F10" s="129" t="s">
        <v>77</v>
      </c>
      <c r="G10" s="102">
        <v>45686</v>
      </c>
      <c r="H10" s="129" t="s">
        <v>79</v>
      </c>
      <c r="I10" s="129" t="s">
        <v>127</v>
      </c>
      <c r="J10" s="129" t="s">
        <v>1476</v>
      </c>
      <c r="K10" s="129"/>
      <c r="L10" s="129"/>
      <c r="M10" s="129"/>
      <c r="N10" s="129"/>
      <c r="O10" s="129" t="s">
        <v>275</v>
      </c>
      <c r="Q10" s="3">
        <f t="shared" si="0"/>
        <v>14.55</v>
      </c>
      <c r="S10" s="48" t="s">
        <v>583</v>
      </c>
    </row>
    <row r="11" spans="1:32" ht="29" x14ac:dyDescent="0.35">
      <c r="A11" s="129" t="s">
        <v>27</v>
      </c>
      <c r="B11" s="129" t="s">
        <v>348</v>
      </c>
      <c r="C11" s="129" t="s">
        <v>14</v>
      </c>
      <c r="D11" s="129" t="s">
        <v>15</v>
      </c>
      <c r="E11" s="129">
        <v>99.09</v>
      </c>
      <c r="F11" s="129" t="s">
        <v>77</v>
      </c>
      <c r="G11" s="102">
        <v>45694</v>
      </c>
      <c r="H11" s="129" t="s">
        <v>79</v>
      </c>
      <c r="I11" s="129" t="s">
        <v>126</v>
      </c>
      <c r="J11" s="129" t="s">
        <v>1491</v>
      </c>
      <c r="K11" s="129"/>
      <c r="L11" s="129"/>
      <c r="M11" s="129"/>
      <c r="N11" s="129"/>
      <c r="O11" s="129" t="s">
        <v>596</v>
      </c>
      <c r="Q11" s="3">
        <f t="shared" si="0"/>
        <v>99.09</v>
      </c>
      <c r="S11" s="48" t="s">
        <v>583</v>
      </c>
    </row>
    <row r="12" spans="1:32" ht="29" x14ac:dyDescent="0.35">
      <c r="A12" s="129" t="s">
        <v>27</v>
      </c>
      <c r="B12" s="129" t="s">
        <v>348</v>
      </c>
      <c r="C12" s="129" t="s">
        <v>14</v>
      </c>
      <c r="D12" s="129" t="s">
        <v>15</v>
      </c>
      <c r="E12" s="129">
        <v>54.55</v>
      </c>
      <c r="F12" s="129" t="s">
        <v>77</v>
      </c>
      <c r="G12" s="102">
        <v>45694</v>
      </c>
      <c r="H12" s="129" t="s">
        <v>79</v>
      </c>
      <c r="I12" s="129" t="s">
        <v>127</v>
      </c>
      <c r="J12" s="129" t="s">
        <v>128</v>
      </c>
      <c r="K12" s="129"/>
      <c r="L12" s="129"/>
      <c r="M12" s="129"/>
      <c r="N12" s="129"/>
      <c r="O12" s="129" t="s">
        <v>275</v>
      </c>
      <c r="Q12" s="3">
        <f t="shared" si="0"/>
        <v>54.55</v>
      </c>
      <c r="S12" s="48" t="s">
        <v>583</v>
      </c>
    </row>
    <row r="13" spans="1:32" ht="29" x14ac:dyDescent="0.35">
      <c r="A13" s="129" t="s">
        <v>27</v>
      </c>
      <c r="B13" s="129" t="s">
        <v>348</v>
      </c>
      <c r="C13" s="129" t="s">
        <v>14</v>
      </c>
      <c r="D13" s="129" t="s">
        <v>15</v>
      </c>
      <c r="E13" s="129">
        <v>14.55</v>
      </c>
      <c r="F13" s="129" t="s">
        <v>77</v>
      </c>
      <c r="G13" s="102">
        <v>45694</v>
      </c>
      <c r="H13" s="129" t="s">
        <v>79</v>
      </c>
      <c r="I13" s="129" t="s">
        <v>127</v>
      </c>
      <c r="J13" s="129" t="s">
        <v>1492</v>
      </c>
      <c r="K13" s="129"/>
      <c r="L13" s="129"/>
      <c r="M13" s="129"/>
      <c r="N13" s="129"/>
      <c r="O13" s="129" t="s">
        <v>275</v>
      </c>
      <c r="Q13" s="3">
        <f t="shared" si="0"/>
        <v>14.55</v>
      </c>
      <c r="S13" s="48" t="s">
        <v>583</v>
      </c>
    </row>
    <row r="14" spans="1:32" ht="29" x14ac:dyDescent="0.35">
      <c r="A14" s="129" t="s">
        <v>27</v>
      </c>
      <c r="B14" s="129" t="s">
        <v>348</v>
      </c>
      <c r="C14" s="129" t="s">
        <v>14</v>
      </c>
      <c r="D14" s="129" t="s">
        <v>15</v>
      </c>
      <c r="E14" s="129">
        <v>109.1</v>
      </c>
      <c r="F14" s="129" t="s">
        <v>77</v>
      </c>
      <c r="G14" s="102">
        <v>45734</v>
      </c>
      <c r="H14" s="129" t="s">
        <v>79</v>
      </c>
      <c r="I14" s="129" t="s">
        <v>127</v>
      </c>
      <c r="J14" s="129" t="s">
        <v>128</v>
      </c>
      <c r="K14" s="129"/>
      <c r="L14" s="129"/>
      <c r="M14" s="129"/>
      <c r="N14" s="129"/>
      <c r="O14" s="129" t="s">
        <v>275</v>
      </c>
      <c r="Q14" s="3">
        <f t="shared" si="0"/>
        <v>109.1</v>
      </c>
      <c r="S14" s="48" t="s">
        <v>583</v>
      </c>
    </row>
    <row r="15" spans="1:32" ht="29" x14ac:dyDescent="0.35">
      <c r="A15" s="129" t="s">
        <v>27</v>
      </c>
      <c r="B15" s="129" t="s">
        <v>348</v>
      </c>
      <c r="C15" s="129" t="s">
        <v>14</v>
      </c>
      <c r="D15" s="129" t="s">
        <v>15</v>
      </c>
      <c r="E15" s="129">
        <v>14.55</v>
      </c>
      <c r="F15" s="129" t="s">
        <v>77</v>
      </c>
      <c r="G15" s="102">
        <v>45734</v>
      </c>
      <c r="H15" s="129" t="s">
        <v>79</v>
      </c>
      <c r="I15" s="129" t="s">
        <v>127</v>
      </c>
      <c r="J15" s="129" t="s">
        <v>1589</v>
      </c>
      <c r="K15" s="129"/>
      <c r="L15" s="129"/>
      <c r="M15" s="129"/>
      <c r="N15" s="129"/>
      <c r="O15" s="129" t="s">
        <v>275</v>
      </c>
      <c r="Q15" s="3">
        <f t="shared" si="0"/>
        <v>14.55</v>
      </c>
      <c r="S15" s="48" t="s">
        <v>583</v>
      </c>
    </row>
    <row r="16" spans="1:32" x14ac:dyDescent="0.35">
      <c r="A16" s="129" t="s">
        <v>27</v>
      </c>
      <c r="B16" s="129" t="s">
        <v>396</v>
      </c>
      <c r="C16" s="129" t="s">
        <v>14</v>
      </c>
      <c r="D16" s="129" t="s">
        <v>15</v>
      </c>
      <c r="E16" s="129">
        <v>47.18</v>
      </c>
      <c r="F16" s="129" t="s">
        <v>77</v>
      </c>
      <c r="G16" s="102">
        <v>45736</v>
      </c>
      <c r="H16" s="129" t="s">
        <v>79</v>
      </c>
      <c r="I16" s="129" t="s">
        <v>397</v>
      </c>
      <c r="J16" s="129" t="s">
        <v>1600</v>
      </c>
      <c r="K16" s="129"/>
      <c r="L16" s="129"/>
      <c r="M16" s="129"/>
      <c r="N16" s="129"/>
      <c r="O16" s="129" t="s">
        <v>730</v>
      </c>
      <c r="Q16" s="3">
        <f t="shared" si="0"/>
        <v>47.18</v>
      </c>
      <c r="S16" s="48" t="s">
        <v>743</v>
      </c>
    </row>
    <row r="17" spans="1:15" x14ac:dyDescent="0.35">
      <c r="A17" s="31"/>
      <c r="B17" s="31"/>
      <c r="C17" s="31"/>
      <c r="D17" s="31"/>
      <c r="E17" s="98"/>
      <c r="F17" s="52"/>
      <c r="G17" s="100"/>
      <c r="H17" s="52"/>
      <c r="I17" s="52"/>
      <c r="J17" s="31"/>
      <c r="K17" s="31"/>
      <c r="L17" s="31"/>
      <c r="M17" s="31"/>
      <c r="N17" s="31"/>
      <c r="O17" s="31"/>
    </row>
    <row r="18" spans="1:15" x14ac:dyDescent="0.35">
      <c r="A18" s="31"/>
      <c r="B18" s="31"/>
      <c r="C18" s="31"/>
      <c r="D18" s="31"/>
      <c r="E18" s="98"/>
      <c r="F18" s="52"/>
      <c r="G18" s="100"/>
      <c r="H18" s="52"/>
      <c r="I18" s="52"/>
      <c r="J18" s="31"/>
      <c r="K18" s="31"/>
      <c r="L18" s="31"/>
      <c r="M18" s="31"/>
      <c r="N18" s="31"/>
      <c r="O18" s="31"/>
    </row>
    <row r="19" spans="1:15" x14ac:dyDescent="0.35">
      <c r="A19" s="31"/>
      <c r="B19" s="31"/>
      <c r="C19" s="31"/>
      <c r="D19" s="31"/>
      <c r="E19" s="98"/>
      <c r="F19" s="52"/>
      <c r="G19" s="100"/>
      <c r="H19" s="52"/>
      <c r="I19" s="52"/>
      <c r="J19" s="31"/>
      <c r="K19" s="31"/>
      <c r="L19" s="31"/>
      <c r="M19" s="31"/>
      <c r="N19" s="31"/>
      <c r="O19" s="31"/>
    </row>
    <row r="20" spans="1:15" x14ac:dyDescent="0.35">
      <c r="A20" s="31"/>
      <c r="B20" s="31"/>
      <c r="C20" s="31"/>
      <c r="D20" s="31"/>
      <c r="E20" s="98"/>
      <c r="F20" s="52"/>
      <c r="G20" s="100"/>
      <c r="H20" s="52"/>
      <c r="I20" s="52"/>
      <c r="J20" s="31"/>
      <c r="K20" s="31"/>
      <c r="L20" s="31"/>
      <c r="M20" s="31"/>
      <c r="N20" s="31"/>
      <c r="O20" s="31"/>
    </row>
    <row r="21" spans="1:15" x14ac:dyDescent="0.35">
      <c r="A21" s="31"/>
      <c r="B21" s="31"/>
      <c r="C21" s="31"/>
      <c r="D21" s="31"/>
      <c r="E21" s="98"/>
      <c r="F21" s="52"/>
      <c r="G21" s="100"/>
      <c r="H21" s="52"/>
      <c r="I21" s="52"/>
      <c r="J21" s="31"/>
      <c r="K21" s="31"/>
      <c r="L21" s="31"/>
      <c r="M21" s="31"/>
      <c r="N21" s="31"/>
      <c r="O21" s="31"/>
    </row>
    <row r="22" spans="1:15" x14ac:dyDescent="0.35">
      <c r="E22" s="99"/>
    </row>
    <row r="23" spans="1:15" x14ac:dyDescent="0.35">
      <c r="E23" s="99"/>
    </row>
    <row r="24" spans="1:15" x14ac:dyDescent="0.35">
      <c r="E24" s="99"/>
    </row>
    <row r="25" spans="1:15" x14ac:dyDescent="0.35">
      <c r="E25" s="99"/>
    </row>
    <row r="26" spans="1:15" x14ac:dyDescent="0.35">
      <c r="E26" s="99"/>
    </row>
    <row r="27" spans="1:15" x14ac:dyDescent="0.35">
      <c r="E27" s="99"/>
    </row>
    <row r="28" spans="1:15" x14ac:dyDescent="0.35">
      <c r="E28" s="99"/>
    </row>
    <row r="29" spans="1:15" x14ac:dyDescent="0.35">
      <c r="E29" s="99"/>
    </row>
    <row r="30" spans="1:15" x14ac:dyDescent="0.35">
      <c r="E30" s="99"/>
    </row>
    <row r="31" spans="1:15" x14ac:dyDescent="0.35">
      <c r="E31" s="99"/>
    </row>
    <row r="32" spans="1:15" x14ac:dyDescent="0.35">
      <c r="E32" s="99"/>
    </row>
    <row r="33" spans="5:22" x14ac:dyDescent="0.35">
      <c r="E33" s="99"/>
    </row>
    <row r="34" spans="5:22" x14ac:dyDescent="0.35">
      <c r="E34" s="99"/>
    </row>
    <row r="35" spans="5:22" x14ac:dyDescent="0.35">
      <c r="E35" s="99"/>
    </row>
    <row r="36" spans="5:22" x14ac:dyDescent="0.35">
      <c r="E36" s="99"/>
    </row>
    <row r="37" spans="5:22" x14ac:dyDescent="0.35">
      <c r="E37" s="99"/>
    </row>
    <row r="38" spans="5:22" x14ac:dyDescent="0.35">
      <c r="E38" s="99"/>
      <c r="V38" s="99"/>
    </row>
    <row r="39" spans="5:22" x14ac:dyDescent="0.35">
      <c r="E39" s="99"/>
    </row>
    <row r="40" spans="5:22" x14ac:dyDescent="0.35">
      <c r="E40" s="99"/>
    </row>
    <row r="41" spans="5:22" x14ac:dyDescent="0.35">
      <c r="E41" s="99"/>
    </row>
    <row r="42" spans="5:22" x14ac:dyDescent="0.35">
      <c r="E42" s="99"/>
    </row>
    <row r="43" spans="5:22" x14ac:dyDescent="0.35">
      <c r="E43" s="99"/>
    </row>
    <row r="44" spans="5:22" x14ac:dyDescent="0.35">
      <c r="E44" s="99"/>
    </row>
  </sheetData>
  <autoFilter ref="A7:AF7" xr:uid="{1CD6313C-FA62-4C30-A024-A1B5E4DE29AF}"/>
  <sortState xmlns:xlrd2="http://schemas.microsoft.com/office/spreadsheetml/2017/richdata2" ref="A7:Q21">
    <sortCondition descending="1" ref="Q7:Q21"/>
  </sortState>
  <mergeCells count="1">
    <mergeCell ref="AD6:AE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44833-5703-4B0E-8061-D63AD93B4197}">
  <sheetPr>
    <tabColor rgb="FF92D050"/>
  </sheetPr>
  <dimension ref="A1:AF45"/>
  <sheetViews>
    <sheetView workbookViewId="0">
      <selection activeCell="C3" sqref="C3"/>
    </sheetView>
  </sheetViews>
  <sheetFormatPr defaultRowHeight="14.5" x14ac:dyDescent="0.35"/>
  <cols>
    <col min="2" max="2" width="13.1796875" customWidth="1"/>
    <col min="3" max="3" width="13.54296875" customWidth="1"/>
    <col min="4" max="4" width="22.26953125" customWidth="1"/>
    <col min="5" max="5" width="11.453125" customWidth="1"/>
    <col min="6" max="6" width="7.453125" style="19" customWidth="1"/>
    <col min="7" max="7" width="10.453125" style="19" bestFit="1" customWidth="1"/>
    <col min="8" max="8" width="17.7265625" style="48" customWidth="1"/>
    <col min="9" max="9" width="18" style="48" customWidth="1"/>
    <col min="10" max="10" width="26.7265625" style="48" customWidth="1"/>
    <col min="11" max="11" width="31.54296875" bestFit="1" customWidth="1"/>
    <col min="13" max="13" width="39" customWidth="1"/>
    <col min="14" max="14" width="21.81640625" bestFit="1" customWidth="1"/>
    <col min="15" max="15" width="28.26953125" customWidth="1"/>
    <col min="16" max="16" width="3.453125" style="5" customWidth="1"/>
    <col min="17" max="17" width="10.1796875" style="3" bestFit="1" customWidth="1"/>
    <col min="18" max="18" width="18" style="48" customWidth="1"/>
    <col min="19" max="19" width="20.453125" style="48" customWidth="1"/>
  </cols>
  <sheetData>
    <row r="1" spans="1:32" x14ac:dyDescent="0.35">
      <c r="A1" t="s">
        <v>59</v>
      </c>
      <c r="C1" s="24">
        <f>Summary!A19</f>
        <v>5190001000</v>
      </c>
      <c r="D1" s="3"/>
    </row>
    <row r="2" spans="1:32" x14ac:dyDescent="0.35">
      <c r="A2" t="s">
        <v>60</v>
      </c>
      <c r="C2" s="24" t="str">
        <f>Summary!B19</f>
        <v>Contributions&amp; club membership</v>
      </c>
      <c r="D2" s="3"/>
      <c r="G2" s="19" t="s">
        <v>98</v>
      </c>
    </row>
    <row r="3" spans="1:32" x14ac:dyDescent="0.35">
      <c r="A3" t="s">
        <v>61</v>
      </c>
      <c r="C3" s="22">
        <v>36644.04</v>
      </c>
      <c r="D3" s="3"/>
      <c r="G3" s="19" t="s">
        <v>151</v>
      </c>
      <c r="T3" s="24" t="s">
        <v>0</v>
      </c>
      <c r="U3" s="24"/>
      <c r="V3" s="3">
        <f>SUMIF($A$10:$A$23974,"AU001",V8:V23972)</f>
        <v>0</v>
      </c>
    </row>
    <row r="4" spans="1:32" x14ac:dyDescent="0.35">
      <c r="A4" t="s">
        <v>36</v>
      </c>
      <c r="C4" s="22">
        <f>SUM(E:E)</f>
        <v>36644.039999999979</v>
      </c>
      <c r="D4" s="3"/>
      <c r="G4" s="19" t="s">
        <v>152</v>
      </c>
      <c r="T4" s="24" t="s">
        <v>27</v>
      </c>
      <c r="U4" s="24"/>
      <c r="V4" s="3">
        <f>SUMIF($A$10:$A$23975,"AU052",V8:V23973)</f>
        <v>0</v>
      </c>
    </row>
    <row r="5" spans="1:32" ht="15" thickBot="1" x14ac:dyDescent="0.4">
      <c r="A5" t="s">
        <v>62</v>
      </c>
      <c r="C5" s="3">
        <f>C3-C4</f>
        <v>0</v>
      </c>
      <c r="D5" s="3"/>
      <c r="G5" s="19" t="s">
        <v>153</v>
      </c>
      <c r="Q5" s="28"/>
      <c r="R5" s="50"/>
      <c r="V5" s="3"/>
    </row>
    <row r="6" spans="1:32" ht="15" thickBot="1" x14ac:dyDescent="0.4">
      <c r="D6" s="3"/>
      <c r="AD6" s="207" t="s">
        <v>35</v>
      </c>
      <c r="AE6" s="208"/>
    </row>
    <row r="7" spans="1:32" s="46" customFormat="1" ht="87.5" thickBot="1" x14ac:dyDescent="0.4">
      <c r="A7" s="133" t="s">
        <v>63</v>
      </c>
      <c r="B7" s="133" t="s">
        <v>313</v>
      </c>
      <c r="C7" s="133" t="s">
        <v>64</v>
      </c>
      <c r="D7" s="133" t="s">
        <v>65</v>
      </c>
      <c r="E7" s="133" t="s">
        <v>66</v>
      </c>
      <c r="F7" s="133" t="s">
        <v>67</v>
      </c>
      <c r="G7" s="101" t="s">
        <v>68</v>
      </c>
      <c r="H7" s="133" t="s">
        <v>69</v>
      </c>
      <c r="I7" s="133" t="s">
        <v>70</v>
      </c>
      <c r="J7" s="133" t="s">
        <v>71</v>
      </c>
      <c r="K7" s="133" t="s">
        <v>72</v>
      </c>
      <c r="L7" s="133" t="s">
        <v>73</v>
      </c>
      <c r="M7" s="133" t="s">
        <v>74</v>
      </c>
      <c r="N7" s="133" t="s">
        <v>75</v>
      </c>
      <c r="O7" s="133" t="s">
        <v>304</v>
      </c>
      <c r="P7" s="36"/>
      <c r="Q7" s="47" t="s">
        <v>95</v>
      </c>
      <c r="R7" s="37" t="s">
        <v>76</v>
      </c>
      <c r="S7" s="38" t="s">
        <v>37</v>
      </c>
      <c r="T7" s="38" t="s">
        <v>38</v>
      </c>
      <c r="U7" s="77" t="s">
        <v>417</v>
      </c>
      <c r="V7" s="38" t="s">
        <v>39</v>
      </c>
      <c r="W7" s="39" t="s">
        <v>40</v>
      </c>
      <c r="X7" s="40" t="s">
        <v>41</v>
      </c>
      <c r="Y7" s="41" t="s">
        <v>42</v>
      </c>
      <c r="Z7" s="42" t="s">
        <v>43</v>
      </c>
      <c r="AA7" s="43" t="s">
        <v>44</v>
      </c>
      <c r="AB7" s="43" t="s">
        <v>45</v>
      </c>
      <c r="AC7" s="43" t="s">
        <v>46</v>
      </c>
      <c r="AD7" s="44" t="s">
        <v>47</v>
      </c>
      <c r="AE7" s="44" t="s">
        <v>48</v>
      </c>
      <c r="AF7" s="45" t="s">
        <v>49</v>
      </c>
    </row>
    <row r="8" spans="1:32" x14ac:dyDescent="0.35">
      <c r="A8" s="132" t="s">
        <v>0</v>
      </c>
      <c r="B8" s="132" t="s">
        <v>386</v>
      </c>
      <c r="C8" s="132" t="s">
        <v>17</v>
      </c>
      <c r="D8" s="132" t="s">
        <v>18</v>
      </c>
      <c r="E8" s="132">
        <v>18964.509999999998</v>
      </c>
      <c r="F8" s="132" t="s">
        <v>77</v>
      </c>
      <c r="G8" s="102">
        <v>45736</v>
      </c>
      <c r="H8" s="132" t="s">
        <v>78</v>
      </c>
      <c r="I8" s="132" t="s">
        <v>1676</v>
      </c>
      <c r="J8" s="132"/>
      <c r="K8" s="132" t="s">
        <v>1677</v>
      </c>
      <c r="L8" s="132" t="s">
        <v>1678</v>
      </c>
      <c r="M8" s="132" t="s">
        <v>590</v>
      </c>
      <c r="N8" s="132"/>
      <c r="O8" s="132"/>
      <c r="Q8" s="3">
        <f t="shared" ref="Q8:Q45" si="0">ABS(E8)</f>
        <v>18964.509999999998</v>
      </c>
    </row>
    <row r="9" spans="1:32" x14ac:dyDescent="0.35">
      <c r="A9" s="132" t="s">
        <v>0</v>
      </c>
      <c r="B9" s="132" t="s">
        <v>386</v>
      </c>
      <c r="C9" s="132" t="s">
        <v>17</v>
      </c>
      <c r="D9" s="132" t="s">
        <v>18</v>
      </c>
      <c r="E9" s="132">
        <v>-18964.509999999998</v>
      </c>
      <c r="F9" s="132" t="s">
        <v>77</v>
      </c>
      <c r="G9" s="102">
        <v>45742</v>
      </c>
      <c r="H9" s="132" t="s">
        <v>395</v>
      </c>
      <c r="I9" s="132" t="s">
        <v>1676</v>
      </c>
      <c r="J9" s="132"/>
      <c r="K9" s="132" t="s">
        <v>1677</v>
      </c>
      <c r="L9" s="132" t="s">
        <v>1678</v>
      </c>
      <c r="M9" s="132" t="s">
        <v>590</v>
      </c>
      <c r="N9" s="132"/>
      <c r="O9" s="132"/>
      <c r="Q9" s="3">
        <f t="shared" si="0"/>
        <v>18964.509999999998</v>
      </c>
    </row>
    <row r="10" spans="1:32" x14ac:dyDescent="0.35">
      <c r="A10" s="132" t="s">
        <v>27</v>
      </c>
      <c r="B10" s="132" t="s">
        <v>386</v>
      </c>
      <c r="C10" s="132" t="s">
        <v>17</v>
      </c>
      <c r="D10" s="132" t="s">
        <v>18</v>
      </c>
      <c r="E10" s="132">
        <v>-13420</v>
      </c>
      <c r="F10" s="132" t="s">
        <v>77</v>
      </c>
      <c r="G10" s="102">
        <v>45658</v>
      </c>
      <c r="H10" s="132" t="s">
        <v>602</v>
      </c>
      <c r="I10" s="132" t="s">
        <v>602</v>
      </c>
      <c r="J10" s="132"/>
      <c r="K10" s="132"/>
      <c r="L10" s="132"/>
      <c r="M10" s="132"/>
      <c r="N10" s="132"/>
      <c r="O10" s="132"/>
      <c r="Q10" s="3">
        <f t="shared" si="0"/>
        <v>13420</v>
      </c>
    </row>
    <row r="11" spans="1:32" x14ac:dyDescent="0.35">
      <c r="A11" s="132" t="s">
        <v>0</v>
      </c>
      <c r="B11" s="132" t="s">
        <v>386</v>
      </c>
      <c r="C11" s="132" t="s">
        <v>17</v>
      </c>
      <c r="D11" s="132" t="s">
        <v>18</v>
      </c>
      <c r="E11" s="132">
        <v>12821.71</v>
      </c>
      <c r="F11" s="132" t="s">
        <v>77</v>
      </c>
      <c r="G11" s="102">
        <v>45664</v>
      </c>
      <c r="H11" s="132" t="s">
        <v>78</v>
      </c>
      <c r="I11" s="132" t="s">
        <v>1663</v>
      </c>
      <c r="J11" s="132"/>
      <c r="K11" s="132" t="s">
        <v>1664</v>
      </c>
      <c r="L11" s="132" t="s">
        <v>1715</v>
      </c>
      <c r="M11" s="132" t="s">
        <v>144</v>
      </c>
      <c r="N11" s="132"/>
      <c r="O11" s="132"/>
      <c r="Q11" s="3">
        <f t="shared" si="0"/>
        <v>12821.71</v>
      </c>
    </row>
    <row r="12" spans="1:32" x14ac:dyDescent="0.35">
      <c r="A12" s="132" t="s">
        <v>0</v>
      </c>
      <c r="B12" s="132" t="s">
        <v>386</v>
      </c>
      <c r="C12" s="132" t="s">
        <v>17</v>
      </c>
      <c r="D12" s="132" t="s">
        <v>18</v>
      </c>
      <c r="E12" s="132">
        <v>12821.71</v>
      </c>
      <c r="F12" s="132" t="s">
        <v>77</v>
      </c>
      <c r="G12" s="102">
        <v>45733</v>
      </c>
      <c r="H12" s="132" t="s">
        <v>78</v>
      </c>
      <c r="I12" s="132" t="s">
        <v>1674</v>
      </c>
      <c r="J12" s="132"/>
      <c r="K12" s="132" t="s">
        <v>1675</v>
      </c>
      <c r="L12" s="132" t="s">
        <v>1718</v>
      </c>
      <c r="M12" s="132" t="s">
        <v>144</v>
      </c>
      <c r="N12" s="132"/>
      <c r="O12" s="132"/>
      <c r="Q12" s="3">
        <f t="shared" si="0"/>
        <v>12821.71</v>
      </c>
    </row>
    <row r="13" spans="1:32" x14ac:dyDescent="0.35">
      <c r="A13" s="132" t="s">
        <v>27</v>
      </c>
      <c r="B13" s="132" t="s">
        <v>345</v>
      </c>
      <c r="C13" s="132" t="s">
        <v>17</v>
      </c>
      <c r="D13" s="132" t="s">
        <v>18</v>
      </c>
      <c r="E13" s="132">
        <v>12340.51</v>
      </c>
      <c r="F13" s="132" t="s">
        <v>77</v>
      </c>
      <c r="G13" s="102">
        <v>45677</v>
      </c>
      <c r="H13" s="132" t="s">
        <v>79</v>
      </c>
      <c r="I13" s="132" t="s">
        <v>145</v>
      </c>
      <c r="J13" s="132" t="s">
        <v>1687</v>
      </c>
      <c r="K13" s="132"/>
      <c r="L13" s="132"/>
      <c r="M13" s="132"/>
      <c r="N13" s="132"/>
      <c r="O13" s="132" t="s">
        <v>601</v>
      </c>
      <c r="Q13" s="3">
        <f t="shared" si="0"/>
        <v>12340.51</v>
      </c>
    </row>
    <row r="14" spans="1:32" x14ac:dyDescent="0.35">
      <c r="A14" s="132" t="s">
        <v>27</v>
      </c>
      <c r="B14" s="132" t="s">
        <v>345</v>
      </c>
      <c r="C14" s="132" t="s">
        <v>17</v>
      </c>
      <c r="D14" s="132" t="s">
        <v>18</v>
      </c>
      <c r="E14" s="132">
        <v>-12340.51</v>
      </c>
      <c r="F14" s="132" t="s">
        <v>77</v>
      </c>
      <c r="G14" s="102">
        <v>45693</v>
      </c>
      <c r="H14" s="132" t="s">
        <v>145</v>
      </c>
      <c r="I14" s="132" t="s">
        <v>145</v>
      </c>
      <c r="J14" s="132"/>
      <c r="K14" s="132"/>
      <c r="L14" s="132"/>
      <c r="M14" s="132"/>
      <c r="N14" s="132"/>
      <c r="O14" s="132"/>
      <c r="Q14" s="3">
        <f t="shared" si="0"/>
        <v>12340.51</v>
      </c>
    </row>
    <row r="15" spans="1:32" x14ac:dyDescent="0.35">
      <c r="A15" s="132" t="s">
        <v>27</v>
      </c>
      <c r="B15" s="132" t="s">
        <v>603</v>
      </c>
      <c r="C15" s="132" t="s">
        <v>17</v>
      </c>
      <c r="D15" s="132" t="s">
        <v>18</v>
      </c>
      <c r="E15" s="132">
        <v>-8800</v>
      </c>
      <c r="F15" s="132" t="s">
        <v>77</v>
      </c>
      <c r="G15" s="102">
        <v>45658</v>
      </c>
      <c r="H15" s="132" t="s">
        <v>602</v>
      </c>
      <c r="I15" s="132" t="s">
        <v>602</v>
      </c>
      <c r="J15" s="132"/>
      <c r="K15" s="132"/>
      <c r="L15" s="132"/>
      <c r="M15" s="132"/>
      <c r="N15" s="132"/>
      <c r="O15" s="132"/>
      <c r="Q15" s="3">
        <f t="shared" si="0"/>
        <v>8800</v>
      </c>
    </row>
    <row r="16" spans="1:32" x14ac:dyDescent="0.35">
      <c r="A16" s="132" t="s">
        <v>27</v>
      </c>
      <c r="B16" s="132" t="s">
        <v>358</v>
      </c>
      <c r="C16" s="132" t="s">
        <v>17</v>
      </c>
      <c r="D16" s="132" t="s">
        <v>18</v>
      </c>
      <c r="E16" s="132">
        <v>4995.83</v>
      </c>
      <c r="F16" s="132" t="s">
        <v>77</v>
      </c>
      <c r="G16" s="102">
        <v>45679</v>
      </c>
      <c r="H16" s="132" t="s">
        <v>412</v>
      </c>
      <c r="I16" s="132" t="s">
        <v>598</v>
      </c>
      <c r="J16" s="132"/>
      <c r="K16" s="132"/>
      <c r="L16" s="132"/>
      <c r="M16" s="132"/>
      <c r="N16" s="132"/>
      <c r="O16" s="132"/>
      <c r="Q16" s="3">
        <f t="shared" si="0"/>
        <v>4995.83</v>
      </c>
    </row>
    <row r="17" spans="1:17" x14ac:dyDescent="0.35">
      <c r="A17" s="132" t="s">
        <v>27</v>
      </c>
      <c r="B17" s="132" t="s">
        <v>358</v>
      </c>
      <c r="C17" s="132" t="s">
        <v>17</v>
      </c>
      <c r="D17" s="132" t="s">
        <v>18</v>
      </c>
      <c r="E17" s="132">
        <v>4995.83</v>
      </c>
      <c r="F17" s="132" t="s">
        <v>77</v>
      </c>
      <c r="G17" s="102">
        <v>45711</v>
      </c>
      <c r="H17" s="132" t="s">
        <v>798</v>
      </c>
      <c r="I17" s="132" t="s">
        <v>598</v>
      </c>
      <c r="J17" s="132"/>
      <c r="K17" s="132"/>
      <c r="L17" s="132"/>
      <c r="M17" s="132"/>
      <c r="N17" s="132"/>
      <c r="O17" s="132"/>
      <c r="Q17" s="3">
        <f t="shared" si="0"/>
        <v>4995.83</v>
      </c>
    </row>
    <row r="18" spans="1:17" x14ac:dyDescent="0.35">
      <c r="A18" s="132" t="s">
        <v>27</v>
      </c>
      <c r="B18" s="132" t="s">
        <v>358</v>
      </c>
      <c r="C18" s="132" t="s">
        <v>17</v>
      </c>
      <c r="D18" s="132" t="s">
        <v>18</v>
      </c>
      <c r="E18" s="132">
        <v>4995.83</v>
      </c>
      <c r="F18" s="132" t="s">
        <v>77</v>
      </c>
      <c r="G18" s="102">
        <v>45734</v>
      </c>
      <c r="H18" s="132" t="s">
        <v>812</v>
      </c>
      <c r="I18" s="132" t="s">
        <v>598</v>
      </c>
      <c r="J18" s="132"/>
      <c r="K18" s="132"/>
      <c r="L18" s="132"/>
      <c r="M18" s="132"/>
      <c r="N18" s="132"/>
      <c r="O18" s="132"/>
      <c r="Q18" s="3">
        <f t="shared" si="0"/>
        <v>4995.83</v>
      </c>
    </row>
    <row r="19" spans="1:17" x14ac:dyDescent="0.35">
      <c r="A19" s="132" t="s">
        <v>27</v>
      </c>
      <c r="B19" s="132" t="s">
        <v>363</v>
      </c>
      <c r="C19" s="132" t="s">
        <v>17</v>
      </c>
      <c r="D19" s="132" t="s">
        <v>18</v>
      </c>
      <c r="E19" s="132">
        <v>4222.0200000000004</v>
      </c>
      <c r="F19" s="132" t="s">
        <v>77</v>
      </c>
      <c r="G19" s="102">
        <v>45733</v>
      </c>
      <c r="H19" s="132" t="s">
        <v>79</v>
      </c>
      <c r="I19" s="132" t="s">
        <v>146</v>
      </c>
      <c r="J19" s="132" t="s">
        <v>1707</v>
      </c>
      <c r="K19" s="132"/>
      <c r="L19" s="132"/>
      <c r="M19" s="132"/>
      <c r="N19" s="132"/>
      <c r="O19" s="132" t="s">
        <v>1708</v>
      </c>
      <c r="Q19" s="3">
        <f t="shared" si="0"/>
        <v>4222.0200000000004</v>
      </c>
    </row>
    <row r="20" spans="1:17" x14ac:dyDescent="0.35">
      <c r="A20" s="132" t="s">
        <v>0</v>
      </c>
      <c r="B20" s="132" t="s">
        <v>343</v>
      </c>
      <c r="C20" s="132" t="s">
        <v>17</v>
      </c>
      <c r="D20" s="132" t="s">
        <v>18</v>
      </c>
      <c r="E20" s="132">
        <v>3000</v>
      </c>
      <c r="F20" s="132" t="s">
        <v>77</v>
      </c>
      <c r="G20" s="102">
        <v>45677</v>
      </c>
      <c r="H20" s="132" t="s">
        <v>78</v>
      </c>
      <c r="I20" s="132" t="s">
        <v>1665</v>
      </c>
      <c r="J20" s="132"/>
      <c r="K20" s="132" t="s">
        <v>1666</v>
      </c>
      <c r="L20" s="132" t="s">
        <v>1667</v>
      </c>
      <c r="M20" s="132" t="s">
        <v>1668</v>
      </c>
      <c r="N20" s="132"/>
      <c r="O20" s="132"/>
      <c r="Q20" s="3">
        <f t="shared" si="0"/>
        <v>3000</v>
      </c>
    </row>
    <row r="21" spans="1:17" x14ac:dyDescent="0.35">
      <c r="A21" s="132" t="s">
        <v>27</v>
      </c>
      <c r="B21" s="132" t="s">
        <v>363</v>
      </c>
      <c r="C21" s="132" t="s">
        <v>17</v>
      </c>
      <c r="D21" s="132" t="s">
        <v>18</v>
      </c>
      <c r="E21" s="132">
        <v>2647.07</v>
      </c>
      <c r="F21" s="132" t="s">
        <v>77</v>
      </c>
      <c r="G21" s="102">
        <v>45714</v>
      </c>
      <c r="H21" s="132" t="s">
        <v>79</v>
      </c>
      <c r="I21" s="132" t="s">
        <v>1699</v>
      </c>
      <c r="J21" s="132" t="s">
        <v>1700</v>
      </c>
      <c r="K21" s="132"/>
      <c r="L21" s="132"/>
      <c r="M21" s="132"/>
      <c r="N21" s="132"/>
      <c r="O21" s="132" t="s">
        <v>1701</v>
      </c>
      <c r="Q21" s="3">
        <f t="shared" si="0"/>
        <v>2647.07</v>
      </c>
    </row>
    <row r="22" spans="1:17" x14ac:dyDescent="0.35">
      <c r="A22" s="132" t="s">
        <v>0</v>
      </c>
      <c r="B22" s="132" t="s">
        <v>321</v>
      </c>
      <c r="C22" s="132" t="s">
        <v>17</v>
      </c>
      <c r="D22" s="132" t="s">
        <v>18</v>
      </c>
      <c r="E22" s="132">
        <v>2272.4899999999998</v>
      </c>
      <c r="F22" s="132" t="s">
        <v>77</v>
      </c>
      <c r="G22" s="102">
        <v>45706</v>
      </c>
      <c r="H22" s="132" t="s">
        <v>78</v>
      </c>
      <c r="I22" s="132" t="s">
        <v>1669</v>
      </c>
      <c r="J22" s="132"/>
      <c r="K22" s="132" t="s">
        <v>1670</v>
      </c>
      <c r="L22" s="132" t="s">
        <v>1716</v>
      </c>
      <c r="M22" s="132" t="s">
        <v>1671</v>
      </c>
      <c r="N22" s="132"/>
      <c r="O22" s="132"/>
      <c r="Q22" s="3">
        <f t="shared" si="0"/>
        <v>2272.4899999999998</v>
      </c>
    </row>
    <row r="23" spans="1:17" x14ac:dyDescent="0.35">
      <c r="A23" s="132" t="s">
        <v>27</v>
      </c>
      <c r="B23" s="132" t="s">
        <v>315</v>
      </c>
      <c r="C23" s="132" t="s">
        <v>17</v>
      </c>
      <c r="D23" s="132" t="s">
        <v>18</v>
      </c>
      <c r="E23" s="132">
        <v>890.37</v>
      </c>
      <c r="F23" s="132" t="s">
        <v>77</v>
      </c>
      <c r="G23" s="102">
        <v>45672</v>
      </c>
      <c r="H23" s="132" t="s">
        <v>79</v>
      </c>
      <c r="I23" s="132" t="s">
        <v>94</v>
      </c>
      <c r="J23" s="132" t="s">
        <v>1684</v>
      </c>
      <c r="K23" s="132"/>
      <c r="L23" s="132"/>
      <c r="M23" s="132"/>
      <c r="N23" s="132"/>
      <c r="O23" s="132" t="s">
        <v>403</v>
      </c>
      <c r="Q23" s="3">
        <f t="shared" si="0"/>
        <v>890.37</v>
      </c>
    </row>
    <row r="24" spans="1:17" x14ac:dyDescent="0.35">
      <c r="A24" s="132" t="s">
        <v>27</v>
      </c>
      <c r="B24" s="132" t="s">
        <v>336</v>
      </c>
      <c r="C24" s="132" t="s">
        <v>17</v>
      </c>
      <c r="D24" s="132" t="s">
        <v>18</v>
      </c>
      <c r="E24" s="132">
        <v>890.37</v>
      </c>
      <c r="F24" s="132" t="s">
        <v>77</v>
      </c>
      <c r="G24" s="102">
        <v>45691</v>
      </c>
      <c r="H24" s="132" t="s">
        <v>79</v>
      </c>
      <c r="I24" s="132" t="s">
        <v>411</v>
      </c>
      <c r="J24" s="132" t="s">
        <v>1688</v>
      </c>
      <c r="K24" s="132"/>
      <c r="L24" s="132"/>
      <c r="M24" s="132"/>
      <c r="N24" s="132"/>
      <c r="O24" s="132" t="s">
        <v>403</v>
      </c>
      <c r="Q24" s="3">
        <f t="shared" si="0"/>
        <v>890.37</v>
      </c>
    </row>
    <row r="25" spans="1:17" x14ac:dyDescent="0.35">
      <c r="A25" s="132" t="s">
        <v>27</v>
      </c>
      <c r="B25" s="132" t="s">
        <v>586</v>
      </c>
      <c r="C25" s="132" t="s">
        <v>17</v>
      </c>
      <c r="D25" s="132" t="s">
        <v>18</v>
      </c>
      <c r="E25" s="132">
        <v>860.71</v>
      </c>
      <c r="F25" s="132" t="s">
        <v>77</v>
      </c>
      <c r="G25" s="102">
        <v>45670</v>
      </c>
      <c r="H25" s="132" t="s">
        <v>78</v>
      </c>
      <c r="I25" s="132" t="s">
        <v>1680</v>
      </c>
      <c r="J25" s="132"/>
      <c r="K25" s="132" t="s">
        <v>1681</v>
      </c>
      <c r="L25" s="132" t="s">
        <v>1682</v>
      </c>
      <c r="M25" s="132" t="s">
        <v>1683</v>
      </c>
      <c r="N25" s="132"/>
      <c r="O25" s="132"/>
      <c r="Q25" s="3">
        <f t="shared" si="0"/>
        <v>860.71</v>
      </c>
    </row>
    <row r="26" spans="1:17" x14ac:dyDescent="0.35">
      <c r="A26" s="132" t="s">
        <v>27</v>
      </c>
      <c r="B26" s="132" t="s">
        <v>415</v>
      </c>
      <c r="C26" s="132" t="s">
        <v>17</v>
      </c>
      <c r="D26" s="132" t="s">
        <v>18</v>
      </c>
      <c r="E26" s="132">
        <v>798.76</v>
      </c>
      <c r="F26" s="132" t="s">
        <v>77</v>
      </c>
      <c r="G26" s="102">
        <v>45677</v>
      </c>
      <c r="H26" s="132" t="s">
        <v>79</v>
      </c>
      <c r="I26" s="132" t="s">
        <v>1685</v>
      </c>
      <c r="J26" s="132" t="s">
        <v>1686</v>
      </c>
      <c r="K26" s="132"/>
      <c r="L26" s="132"/>
      <c r="M26" s="132"/>
      <c r="N26" s="132"/>
      <c r="O26" s="132" t="s">
        <v>601</v>
      </c>
      <c r="Q26" s="3">
        <f t="shared" si="0"/>
        <v>798.76</v>
      </c>
    </row>
    <row r="27" spans="1:17" x14ac:dyDescent="0.35">
      <c r="A27" s="132" t="s">
        <v>27</v>
      </c>
      <c r="B27" s="132" t="s">
        <v>356</v>
      </c>
      <c r="C27" s="132" t="s">
        <v>17</v>
      </c>
      <c r="D27" s="132" t="s">
        <v>18</v>
      </c>
      <c r="E27" s="132">
        <v>717.88</v>
      </c>
      <c r="F27" s="132" t="s">
        <v>77</v>
      </c>
      <c r="G27" s="102">
        <v>45699</v>
      </c>
      <c r="H27" s="132" t="s">
        <v>79</v>
      </c>
      <c r="I27" s="132" t="s">
        <v>1694</v>
      </c>
      <c r="J27" s="132" t="s">
        <v>1695</v>
      </c>
      <c r="K27" s="132"/>
      <c r="L27" s="132"/>
      <c r="M27" s="132"/>
      <c r="N27" s="132"/>
      <c r="O27" s="132" t="s">
        <v>1696</v>
      </c>
      <c r="Q27" s="3">
        <f t="shared" si="0"/>
        <v>717.88</v>
      </c>
    </row>
    <row r="28" spans="1:17" x14ac:dyDescent="0.35">
      <c r="A28" s="132" t="s">
        <v>27</v>
      </c>
      <c r="B28" s="132" t="s">
        <v>345</v>
      </c>
      <c r="C28" s="132" t="s">
        <v>17</v>
      </c>
      <c r="D28" s="132" t="s">
        <v>18</v>
      </c>
      <c r="E28" s="132">
        <v>659.09</v>
      </c>
      <c r="F28" s="132" t="s">
        <v>77</v>
      </c>
      <c r="G28" s="102">
        <v>45733</v>
      </c>
      <c r="H28" s="132" t="s">
        <v>79</v>
      </c>
      <c r="I28" s="132" t="s">
        <v>1709</v>
      </c>
      <c r="J28" s="132" t="s">
        <v>1710</v>
      </c>
      <c r="K28" s="132"/>
      <c r="L28" s="132"/>
      <c r="M28" s="132"/>
      <c r="N28" s="132"/>
      <c r="O28" s="132" t="s">
        <v>331</v>
      </c>
      <c r="Q28" s="3">
        <f t="shared" si="0"/>
        <v>659.09</v>
      </c>
    </row>
    <row r="29" spans="1:17" x14ac:dyDescent="0.35">
      <c r="A29" s="132" t="s">
        <v>27</v>
      </c>
      <c r="B29" s="132" t="s">
        <v>329</v>
      </c>
      <c r="C29" s="132" t="s">
        <v>17</v>
      </c>
      <c r="D29" s="132" t="s">
        <v>18</v>
      </c>
      <c r="E29" s="132">
        <v>252.35</v>
      </c>
      <c r="F29" s="132" t="s">
        <v>77</v>
      </c>
      <c r="G29" s="102">
        <v>45700</v>
      </c>
      <c r="H29" s="132" t="s">
        <v>79</v>
      </c>
      <c r="I29" s="132" t="s">
        <v>587</v>
      </c>
      <c r="J29" s="132" t="s">
        <v>1697</v>
      </c>
      <c r="K29" s="132"/>
      <c r="L29" s="132"/>
      <c r="M29" s="132"/>
      <c r="N29" s="132"/>
      <c r="O29" s="132" t="s">
        <v>1698</v>
      </c>
      <c r="Q29" s="3">
        <f t="shared" si="0"/>
        <v>252.35</v>
      </c>
    </row>
    <row r="30" spans="1:17" x14ac:dyDescent="0.35">
      <c r="A30" s="132" t="s">
        <v>27</v>
      </c>
      <c r="B30" s="132" t="s">
        <v>401</v>
      </c>
      <c r="C30" s="132" t="s">
        <v>17</v>
      </c>
      <c r="D30" s="132" t="s">
        <v>18</v>
      </c>
      <c r="E30" s="132">
        <v>177.27</v>
      </c>
      <c r="F30" s="132" t="s">
        <v>77</v>
      </c>
      <c r="G30" s="102">
        <v>45736</v>
      </c>
      <c r="H30" s="132" t="s">
        <v>79</v>
      </c>
      <c r="I30" s="132" t="s">
        <v>1711</v>
      </c>
      <c r="J30" s="132" t="s">
        <v>1712</v>
      </c>
      <c r="K30" s="132"/>
      <c r="L30" s="132"/>
      <c r="M30" s="132"/>
      <c r="N30" s="132"/>
      <c r="O30" s="132" t="s">
        <v>593</v>
      </c>
      <c r="Q30" s="3">
        <f t="shared" si="0"/>
        <v>177.27</v>
      </c>
    </row>
    <row r="31" spans="1:17" x14ac:dyDescent="0.35">
      <c r="A31" s="132" t="s">
        <v>27</v>
      </c>
      <c r="B31" s="132" t="s">
        <v>628</v>
      </c>
      <c r="C31" s="132" t="s">
        <v>17</v>
      </c>
      <c r="D31" s="132" t="s">
        <v>18</v>
      </c>
      <c r="E31" s="132">
        <v>177.27</v>
      </c>
      <c r="F31" s="132" t="s">
        <v>77</v>
      </c>
      <c r="G31" s="102">
        <v>45737</v>
      </c>
      <c r="H31" s="132" t="s">
        <v>79</v>
      </c>
      <c r="I31" s="132" t="s">
        <v>136</v>
      </c>
      <c r="J31" s="132" t="s">
        <v>594</v>
      </c>
      <c r="K31" s="132"/>
      <c r="L31" s="132"/>
      <c r="M31" s="132"/>
      <c r="N31" s="132"/>
      <c r="O31" s="132" t="s">
        <v>593</v>
      </c>
      <c r="Q31" s="3">
        <f t="shared" si="0"/>
        <v>177.27</v>
      </c>
    </row>
    <row r="32" spans="1:17" x14ac:dyDescent="0.35">
      <c r="A32" s="132" t="s">
        <v>27</v>
      </c>
      <c r="B32" s="132" t="s">
        <v>342</v>
      </c>
      <c r="C32" s="132" t="s">
        <v>17</v>
      </c>
      <c r="D32" s="132" t="s">
        <v>18</v>
      </c>
      <c r="E32" s="132">
        <v>127.28</v>
      </c>
      <c r="F32" s="132" t="s">
        <v>77</v>
      </c>
      <c r="G32" s="102">
        <v>45708</v>
      </c>
      <c r="H32" s="132" t="s">
        <v>79</v>
      </c>
      <c r="I32" s="132" t="s">
        <v>149</v>
      </c>
      <c r="J32" s="132" t="s">
        <v>150</v>
      </c>
      <c r="K32" s="132"/>
      <c r="L32" s="132"/>
      <c r="M32" s="132"/>
      <c r="N32" s="132"/>
      <c r="O32" s="132" t="s">
        <v>589</v>
      </c>
      <c r="Q32" s="3">
        <f t="shared" si="0"/>
        <v>127.28</v>
      </c>
    </row>
    <row r="33" spans="1:17" x14ac:dyDescent="0.35">
      <c r="A33" s="132" t="s">
        <v>0</v>
      </c>
      <c r="B33" s="132" t="s">
        <v>480</v>
      </c>
      <c r="C33" s="132" t="s">
        <v>17</v>
      </c>
      <c r="D33" s="132" t="s">
        <v>18</v>
      </c>
      <c r="E33" s="132">
        <v>85</v>
      </c>
      <c r="F33" s="132" t="s">
        <v>77</v>
      </c>
      <c r="G33" s="102">
        <v>45707</v>
      </c>
      <c r="H33" s="132" t="s">
        <v>78</v>
      </c>
      <c r="I33" s="132" t="s">
        <v>1672</v>
      </c>
      <c r="J33" s="132"/>
      <c r="K33" s="132" t="s">
        <v>1673</v>
      </c>
      <c r="L33" s="132" t="s">
        <v>1717</v>
      </c>
      <c r="M33" s="132" t="s">
        <v>597</v>
      </c>
      <c r="N33" s="132"/>
      <c r="O33" s="132"/>
      <c r="Q33" s="3">
        <f t="shared" si="0"/>
        <v>85</v>
      </c>
    </row>
    <row r="34" spans="1:17" x14ac:dyDescent="0.35">
      <c r="A34" s="132" t="s">
        <v>27</v>
      </c>
      <c r="B34" s="132" t="s">
        <v>336</v>
      </c>
      <c r="C34" s="132" t="s">
        <v>17</v>
      </c>
      <c r="D34" s="132" t="s">
        <v>18</v>
      </c>
      <c r="E34" s="132">
        <v>83.3</v>
      </c>
      <c r="F34" s="132" t="s">
        <v>77</v>
      </c>
      <c r="G34" s="102">
        <v>45663</v>
      </c>
      <c r="H34" s="132" t="s">
        <v>79</v>
      </c>
      <c r="I34" s="132" t="s">
        <v>600</v>
      </c>
      <c r="J34" s="132" t="s">
        <v>1679</v>
      </c>
      <c r="K34" s="132"/>
      <c r="L34" s="132"/>
      <c r="M34" s="132"/>
      <c r="N34" s="132"/>
      <c r="O34" s="132" t="s">
        <v>403</v>
      </c>
      <c r="Q34" s="3">
        <f t="shared" si="0"/>
        <v>83.3</v>
      </c>
    </row>
    <row r="35" spans="1:17" x14ac:dyDescent="0.35">
      <c r="A35" s="132" t="s">
        <v>27</v>
      </c>
      <c r="B35" s="132" t="s">
        <v>485</v>
      </c>
      <c r="C35" s="132" t="s">
        <v>17</v>
      </c>
      <c r="D35" s="132" t="s">
        <v>18</v>
      </c>
      <c r="E35" s="132">
        <v>59.08</v>
      </c>
      <c r="F35" s="132" t="s">
        <v>77</v>
      </c>
      <c r="G35" s="102">
        <v>45699</v>
      </c>
      <c r="H35" s="132" t="s">
        <v>79</v>
      </c>
      <c r="I35" s="132" t="s">
        <v>147</v>
      </c>
      <c r="J35" s="132" t="s">
        <v>148</v>
      </c>
      <c r="K35" s="132"/>
      <c r="L35" s="132"/>
      <c r="M35" s="132"/>
      <c r="N35" s="132"/>
      <c r="O35" s="132" t="s">
        <v>1692</v>
      </c>
      <c r="Q35" s="3">
        <f t="shared" si="0"/>
        <v>59.08</v>
      </c>
    </row>
    <row r="36" spans="1:17" x14ac:dyDescent="0.35">
      <c r="A36" s="132" t="s">
        <v>27</v>
      </c>
      <c r="B36" s="132" t="s">
        <v>485</v>
      </c>
      <c r="C36" s="132" t="s">
        <v>17</v>
      </c>
      <c r="D36" s="132" t="s">
        <v>18</v>
      </c>
      <c r="E36" s="132">
        <v>59.08</v>
      </c>
      <c r="F36" s="132" t="s">
        <v>77</v>
      </c>
      <c r="G36" s="102">
        <v>45699</v>
      </c>
      <c r="H36" s="132" t="s">
        <v>79</v>
      </c>
      <c r="I36" s="132" t="s">
        <v>147</v>
      </c>
      <c r="J36" s="132" t="s">
        <v>148</v>
      </c>
      <c r="K36" s="132"/>
      <c r="L36" s="132"/>
      <c r="M36" s="132"/>
      <c r="N36" s="132"/>
      <c r="O36" s="132" t="s">
        <v>1693</v>
      </c>
      <c r="Q36" s="3">
        <f t="shared" si="0"/>
        <v>59.08</v>
      </c>
    </row>
    <row r="37" spans="1:17" x14ac:dyDescent="0.35">
      <c r="A37" s="132" t="s">
        <v>27</v>
      </c>
      <c r="B37" s="132" t="s">
        <v>363</v>
      </c>
      <c r="C37" s="132" t="s">
        <v>17</v>
      </c>
      <c r="D37" s="132" t="s">
        <v>18</v>
      </c>
      <c r="E37" s="132">
        <v>55.51</v>
      </c>
      <c r="F37" s="132" t="s">
        <v>77</v>
      </c>
      <c r="G37" s="102">
        <v>45733</v>
      </c>
      <c r="H37" s="132" t="s">
        <v>79</v>
      </c>
      <c r="I37" s="132" t="s">
        <v>146</v>
      </c>
      <c r="J37" s="132" t="s">
        <v>1706</v>
      </c>
      <c r="K37" s="132"/>
      <c r="L37" s="132"/>
      <c r="M37" s="132"/>
      <c r="N37" s="132"/>
      <c r="O37" s="132" t="s">
        <v>592</v>
      </c>
      <c r="Q37" s="3">
        <f t="shared" si="0"/>
        <v>55.51</v>
      </c>
    </row>
    <row r="38" spans="1:17" x14ac:dyDescent="0.35">
      <c r="A38" s="132" t="s">
        <v>27</v>
      </c>
      <c r="B38" s="132" t="s">
        <v>363</v>
      </c>
      <c r="C38" s="132" t="s">
        <v>17</v>
      </c>
      <c r="D38" s="132" t="s">
        <v>18</v>
      </c>
      <c r="E38" s="132">
        <v>49.84</v>
      </c>
      <c r="F38" s="132" t="s">
        <v>77</v>
      </c>
      <c r="G38" s="102">
        <v>45694</v>
      </c>
      <c r="H38" s="132" t="s">
        <v>79</v>
      </c>
      <c r="I38" s="132" t="s">
        <v>146</v>
      </c>
      <c r="J38" s="132" t="s">
        <v>1689</v>
      </c>
      <c r="K38" s="132"/>
      <c r="L38" s="132"/>
      <c r="M38" s="132"/>
      <c r="N38" s="132"/>
      <c r="O38" s="132" t="s">
        <v>592</v>
      </c>
      <c r="Q38" s="3">
        <f t="shared" si="0"/>
        <v>49.84</v>
      </c>
    </row>
    <row r="39" spans="1:17" x14ac:dyDescent="0.35">
      <c r="A39" s="132" t="s">
        <v>27</v>
      </c>
      <c r="B39" s="132" t="s">
        <v>363</v>
      </c>
      <c r="C39" s="132" t="s">
        <v>17</v>
      </c>
      <c r="D39" s="132" t="s">
        <v>18</v>
      </c>
      <c r="E39" s="132">
        <v>32.85</v>
      </c>
      <c r="F39" s="132" t="s">
        <v>77</v>
      </c>
      <c r="G39" s="102">
        <v>45694</v>
      </c>
      <c r="H39" s="132" t="s">
        <v>79</v>
      </c>
      <c r="I39" s="132" t="s">
        <v>146</v>
      </c>
      <c r="J39" s="132" t="s">
        <v>1690</v>
      </c>
      <c r="K39" s="132"/>
      <c r="L39" s="132"/>
      <c r="M39" s="132"/>
      <c r="N39" s="132"/>
      <c r="O39" s="132" t="s">
        <v>1691</v>
      </c>
      <c r="Q39" s="3">
        <f t="shared" si="0"/>
        <v>32.85</v>
      </c>
    </row>
    <row r="40" spans="1:17" x14ac:dyDescent="0.35">
      <c r="A40" s="132" t="s">
        <v>27</v>
      </c>
      <c r="B40" s="132" t="s">
        <v>363</v>
      </c>
      <c r="C40" s="132" t="s">
        <v>17</v>
      </c>
      <c r="D40" s="132" t="s">
        <v>18</v>
      </c>
      <c r="E40" s="132">
        <v>32.85</v>
      </c>
      <c r="F40" s="132" t="s">
        <v>77</v>
      </c>
      <c r="G40" s="102">
        <v>45714</v>
      </c>
      <c r="H40" s="132" t="s">
        <v>79</v>
      </c>
      <c r="I40" s="132" t="s">
        <v>146</v>
      </c>
      <c r="J40" s="132" t="s">
        <v>1704</v>
      </c>
      <c r="K40" s="132"/>
      <c r="L40" s="132"/>
      <c r="M40" s="132"/>
      <c r="N40" s="132"/>
      <c r="O40" s="132" t="s">
        <v>1705</v>
      </c>
      <c r="Q40" s="3">
        <f t="shared" si="0"/>
        <v>32.85</v>
      </c>
    </row>
    <row r="41" spans="1:17" x14ac:dyDescent="0.35">
      <c r="A41" s="132" t="s">
        <v>27</v>
      </c>
      <c r="B41" s="132" t="s">
        <v>363</v>
      </c>
      <c r="C41" s="132" t="s">
        <v>17</v>
      </c>
      <c r="D41" s="132" t="s">
        <v>18</v>
      </c>
      <c r="E41" s="132">
        <v>32.85</v>
      </c>
      <c r="F41" s="132" t="s">
        <v>77</v>
      </c>
      <c r="G41" s="102">
        <v>45744</v>
      </c>
      <c r="H41" s="132" t="s">
        <v>79</v>
      </c>
      <c r="I41" s="132" t="s">
        <v>146</v>
      </c>
      <c r="J41" s="132" t="s">
        <v>1713</v>
      </c>
      <c r="K41" s="132"/>
      <c r="L41" s="132"/>
      <c r="M41" s="132"/>
      <c r="N41" s="132"/>
      <c r="O41" s="132" t="s">
        <v>1714</v>
      </c>
      <c r="Q41" s="3">
        <f t="shared" si="0"/>
        <v>32.85</v>
      </c>
    </row>
    <row r="42" spans="1:17" x14ac:dyDescent="0.35">
      <c r="A42" s="132" t="s">
        <v>27</v>
      </c>
      <c r="B42" s="132" t="s">
        <v>363</v>
      </c>
      <c r="C42" s="132" t="s">
        <v>17</v>
      </c>
      <c r="D42" s="132" t="s">
        <v>18</v>
      </c>
      <c r="E42" s="132">
        <v>24.92</v>
      </c>
      <c r="F42" s="132" t="s">
        <v>77</v>
      </c>
      <c r="G42" s="102">
        <v>45705</v>
      </c>
      <c r="H42" s="132" t="s">
        <v>79</v>
      </c>
      <c r="I42" s="132" t="s">
        <v>146</v>
      </c>
      <c r="J42" s="132" t="s">
        <v>1689</v>
      </c>
      <c r="K42" s="132"/>
      <c r="L42" s="132"/>
      <c r="M42" s="132"/>
      <c r="N42" s="132"/>
      <c r="O42" s="132" t="s">
        <v>592</v>
      </c>
      <c r="Q42" s="3">
        <f t="shared" si="0"/>
        <v>24.92</v>
      </c>
    </row>
    <row r="43" spans="1:17" x14ac:dyDescent="0.35">
      <c r="A43" s="132" t="s">
        <v>27</v>
      </c>
      <c r="B43" s="132" t="s">
        <v>363</v>
      </c>
      <c r="C43" s="132" t="s">
        <v>17</v>
      </c>
      <c r="D43" s="132" t="s">
        <v>18</v>
      </c>
      <c r="E43" s="132">
        <v>24.92</v>
      </c>
      <c r="F43" s="132" t="s">
        <v>77</v>
      </c>
      <c r="G43" s="102">
        <v>45714</v>
      </c>
      <c r="H43" s="132" t="s">
        <v>79</v>
      </c>
      <c r="I43" s="132" t="s">
        <v>146</v>
      </c>
      <c r="J43" s="132" t="s">
        <v>1689</v>
      </c>
      <c r="K43" s="132"/>
      <c r="L43" s="132"/>
      <c r="M43" s="132"/>
      <c r="N43" s="132"/>
      <c r="O43" s="132" t="s">
        <v>592</v>
      </c>
      <c r="Q43" s="3">
        <f t="shared" si="0"/>
        <v>24.92</v>
      </c>
    </row>
    <row r="44" spans="1:17" x14ac:dyDescent="0.35">
      <c r="A44" s="132" t="s">
        <v>27</v>
      </c>
      <c r="B44" s="132" t="s">
        <v>363</v>
      </c>
      <c r="C44" s="132" t="s">
        <v>17</v>
      </c>
      <c r="D44" s="132" t="s">
        <v>18</v>
      </c>
      <c r="E44" s="132">
        <v>-9.08</v>
      </c>
      <c r="F44" s="132" t="s">
        <v>77</v>
      </c>
      <c r="G44" s="102">
        <v>45714</v>
      </c>
      <c r="H44" s="132" t="s">
        <v>79</v>
      </c>
      <c r="I44" s="132" t="s">
        <v>1702</v>
      </c>
      <c r="J44" s="132" t="s">
        <v>1703</v>
      </c>
      <c r="K44" s="132"/>
      <c r="L44" s="132"/>
      <c r="M44" s="132"/>
      <c r="N44" s="132"/>
      <c r="O44" s="132" t="s">
        <v>595</v>
      </c>
      <c r="Q44" s="3">
        <f t="shared" si="0"/>
        <v>9.08</v>
      </c>
    </row>
    <row r="45" spans="1:17" x14ac:dyDescent="0.35">
      <c r="A45" s="132" t="s">
        <v>27</v>
      </c>
      <c r="B45" s="132" t="s">
        <v>363</v>
      </c>
      <c r="C45" s="132" t="s">
        <v>17</v>
      </c>
      <c r="D45" s="132" t="s">
        <v>18</v>
      </c>
      <c r="E45" s="132">
        <v>9.08</v>
      </c>
      <c r="F45" s="132" t="s">
        <v>77</v>
      </c>
      <c r="G45" s="102">
        <v>45715</v>
      </c>
      <c r="H45" s="132" t="s">
        <v>1702</v>
      </c>
      <c r="I45" s="132" t="s">
        <v>1702</v>
      </c>
      <c r="J45" s="132"/>
      <c r="K45" s="132"/>
      <c r="L45" s="132"/>
      <c r="M45" s="132"/>
      <c r="N45" s="132"/>
      <c r="O45" s="132"/>
      <c r="Q45" s="3">
        <f t="shared" si="0"/>
        <v>9.08</v>
      </c>
    </row>
  </sheetData>
  <autoFilter ref="A7:AF91" xr:uid="{9E744833-5703-4B0E-8061-D63AD93B4197}">
    <sortState xmlns:xlrd2="http://schemas.microsoft.com/office/spreadsheetml/2017/richdata2" ref="A8:AF91">
      <sortCondition descending="1" ref="Q7:Q91"/>
    </sortState>
  </autoFilter>
  <sortState xmlns:xlrd2="http://schemas.microsoft.com/office/spreadsheetml/2017/richdata2" ref="A7:Q91">
    <sortCondition descending="1" ref="Q7:Q91"/>
  </sortState>
  <mergeCells count="1">
    <mergeCell ref="AD6:AE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01777-F32E-43FE-A8CD-DB4CD13654B1}">
  <sheetPr>
    <tabColor rgb="FF92D050"/>
  </sheetPr>
  <dimension ref="A1:AF161"/>
  <sheetViews>
    <sheetView workbookViewId="0">
      <pane ySplit="7" topLeftCell="A82" activePane="bottomLeft" state="frozen"/>
      <selection pane="bottomLeft" activeCell="C3" sqref="C3"/>
    </sheetView>
  </sheetViews>
  <sheetFormatPr defaultRowHeight="14.5" x14ac:dyDescent="0.35"/>
  <cols>
    <col min="1" max="2" width="5.81640625" customWidth="1"/>
    <col min="3" max="3" width="11.453125" customWidth="1"/>
    <col min="4" max="4" width="4.453125" style="3" customWidth="1"/>
    <col min="5" max="5" width="4.453125" style="103" customWidth="1"/>
    <col min="6" max="6" width="4.453125" customWidth="1"/>
    <col min="7" max="7" width="4.453125" style="55" customWidth="1"/>
    <col min="8" max="8" width="4.453125" style="48" customWidth="1"/>
    <col min="9" max="10" width="16" style="48" customWidth="1"/>
    <col min="11" max="11" width="22.453125" style="48" customWidth="1"/>
    <col min="12" max="12" width="9.54296875" customWidth="1"/>
    <col min="13" max="13" width="16" customWidth="1"/>
    <col min="14" max="15" width="16" style="48" customWidth="1"/>
    <col min="16" max="16" width="2.81640625" style="5" customWidth="1"/>
    <col min="17" max="17" width="10.54296875" style="3" bestFit="1" customWidth="1"/>
    <col min="18" max="18" width="1.81640625" style="48" customWidth="1"/>
    <col min="19" max="19" width="22.54296875" style="48" customWidth="1"/>
    <col min="22" max="22" width="10.1796875" style="3" bestFit="1" customWidth="1"/>
    <col min="27" max="27" width="4.7265625" customWidth="1"/>
  </cols>
  <sheetData>
    <row r="1" spans="1:32" x14ac:dyDescent="0.35">
      <c r="A1" t="s">
        <v>59</v>
      </c>
      <c r="C1" s="24">
        <f>Summary!A20</f>
        <v>5200006000</v>
      </c>
    </row>
    <row r="2" spans="1:32" x14ac:dyDescent="0.35">
      <c r="A2" t="s">
        <v>60</v>
      </c>
      <c r="C2" s="24" t="str">
        <f>Summary!B20</f>
        <v>Meeting costs</v>
      </c>
      <c r="F2" s="24" t="s">
        <v>98</v>
      </c>
    </row>
    <row r="3" spans="1:32" x14ac:dyDescent="0.35">
      <c r="A3" t="s">
        <v>61</v>
      </c>
      <c r="C3" s="22">
        <v>112631.6</v>
      </c>
      <c r="F3" s="19" t="s">
        <v>175</v>
      </c>
      <c r="T3" s="24" t="s">
        <v>0</v>
      </c>
      <c r="U3" s="24"/>
      <c r="V3" s="3">
        <f>SUMIF($A$8:$A$23971,"AU001",V8:V23971)</f>
        <v>4862</v>
      </c>
    </row>
    <row r="4" spans="1:32" ht="15" thickBot="1" x14ac:dyDescent="0.4">
      <c r="A4" t="s">
        <v>36</v>
      </c>
      <c r="C4" s="22">
        <f>SUM(E:E)</f>
        <v>112631.59999999993</v>
      </c>
      <c r="F4" s="19" t="s">
        <v>176</v>
      </c>
      <c r="T4" s="24" t="s">
        <v>27</v>
      </c>
      <c r="U4" s="24"/>
      <c r="V4" s="3">
        <f>SUMIF($A$7:$A$23972,"AU052",V8:V23973)+V8</f>
        <v>7576.54</v>
      </c>
    </row>
    <row r="5" spans="1:32" ht="15" thickBot="1" x14ac:dyDescent="0.4">
      <c r="A5" t="s">
        <v>62</v>
      </c>
      <c r="C5" s="3">
        <f>C3-C4</f>
        <v>0</v>
      </c>
      <c r="F5" s="19" t="s">
        <v>177</v>
      </c>
      <c r="V5" s="58">
        <f>SUM(V3:V4)</f>
        <v>12438.54</v>
      </c>
    </row>
    <row r="6" spans="1:32" ht="15" thickBot="1" x14ac:dyDescent="0.4">
      <c r="F6" s="19"/>
      <c r="AD6" s="207" t="s">
        <v>35</v>
      </c>
      <c r="AE6" s="208"/>
    </row>
    <row r="7" spans="1:32" s="46" customFormat="1" ht="70.5" customHeight="1" thickBot="1" x14ac:dyDescent="0.4">
      <c r="A7" s="173" t="s">
        <v>63</v>
      </c>
      <c r="B7" s="174" t="s">
        <v>313</v>
      </c>
      <c r="C7" s="174" t="s">
        <v>64</v>
      </c>
      <c r="D7" s="174" t="s">
        <v>65</v>
      </c>
      <c r="E7" s="174" t="s">
        <v>66</v>
      </c>
      <c r="F7" s="174" t="s">
        <v>67</v>
      </c>
      <c r="G7" s="175" t="s">
        <v>68</v>
      </c>
      <c r="H7" s="174" t="s">
        <v>69</v>
      </c>
      <c r="I7" s="176" t="s">
        <v>70</v>
      </c>
      <c r="J7" s="176" t="s">
        <v>71</v>
      </c>
      <c r="K7" s="176" t="s">
        <v>72</v>
      </c>
      <c r="L7" s="174" t="s">
        <v>73</v>
      </c>
      <c r="M7" s="174" t="s">
        <v>74</v>
      </c>
      <c r="N7" s="176" t="s">
        <v>75</v>
      </c>
      <c r="O7" s="177" t="s">
        <v>304</v>
      </c>
      <c r="P7" s="5"/>
      <c r="Q7" s="47" t="s">
        <v>95</v>
      </c>
      <c r="R7" s="148" t="s">
        <v>76</v>
      </c>
      <c r="S7" s="149" t="s">
        <v>37</v>
      </c>
      <c r="T7" s="149" t="s">
        <v>38</v>
      </c>
      <c r="U7" s="149" t="s">
        <v>417</v>
      </c>
      <c r="V7" s="58" t="s">
        <v>39</v>
      </c>
      <c r="W7" s="39" t="s">
        <v>40</v>
      </c>
      <c r="X7" s="40" t="s">
        <v>41</v>
      </c>
      <c r="Y7" s="41" t="s">
        <v>42</v>
      </c>
      <c r="Z7" s="42" t="s">
        <v>43</v>
      </c>
      <c r="AA7" s="43" t="s">
        <v>44</v>
      </c>
      <c r="AB7" s="43" t="s">
        <v>45</v>
      </c>
      <c r="AC7" s="43" t="s">
        <v>46</v>
      </c>
      <c r="AD7" s="44" t="s">
        <v>47</v>
      </c>
      <c r="AE7" s="44" t="s">
        <v>48</v>
      </c>
      <c r="AF7" s="45" t="s">
        <v>49</v>
      </c>
    </row>
    <row r="8" spans="1:32" s="83" customFormat="1" ht="29" x14ac:dyDescent="0.35">
      <c r="A8" s="134" t="s">
        <v>0</v>
      </c>
      <c r="B8" s="134" t="s">
        <v>317</v>
      </c>
      <c r="C8" s="134" t="s">
        <v>19</v>
      </c>
      <c r="D8" s="134" t="s">
        <v>20</v>
      </c>
      <c r="E8" s="134">
        <v>58612.91</v>
      </c>
      <c r="F8" s="134" t="s">
        <v>77</v>
      </c>
      <c r="G8" s="102">
        <v>45720</v>
      </c>
      <c r="H8" s="134" t="s">
        <v>78</v>
      </c>
      <c r="I8" s="170" t="s">
        <v>1719</v>
      </c>
      <c r="J8" s="170"/>
      <c r="K8" s="170" t="s">
        <v>1720</v>
      </c>
      <c r="L8" s="134" t="s">
        <v>1721</v>
      </c>
      <c r="M8" s="134" t="s">
        <v>1722</v>
      </c>
      <c r="N8" s="170"/>
      <c r="O8" s="170"/>
      <c r="P8" s="5"/>
      <c r="Q8" s="104">
        <f t="shared" ref="Q8:Q39" si="0">ABS(E8)</f>
        <v>58612.91</v>
      </c>
      <c r="R8" s="82"/>
      <c r="S8" s="82"/>
      <c r="V8" s="104"/>
    </row>
    <row r="9" spans="1:32" s="83" customFormat="1" ht="29" x14ac:dyDescent="0.35">
      <c r="A9" s="134" t="s">
        <v>27</v>
      </c>
      <c r="B9" s="134" t="s">
        <v>328</v>
      </c>
      <c r="C9" s="134" t="s">
        <v>19</v>
      </c>
      <c r="D9" s="134" t="s">
        <v>20</v>
      </c>
      <c r="E9" s="134">
        <v>19323.37</v>
      </c>
      <c r="F9" s="134" t="s">
        <v>77</v>
      </c>
      <c r="G9" s="102">
        <v>45720</v>
      </c>
      <c r="H9" s="134" t="s">
        <v>78</v>
      </c>
      <c r="I9" s="170" t="s">
        <v>1760</v>
      </c>
      <c r="J9" s="170"/>
      <c r="K9" s="170" t="s">
        <v>1761</v>
      </c>
      <c r="L9" s="134" t="s">
        <v>1762</v>
      </c>
      <c r="M9" s="134" t="s">
        <v>1763</v>
      </c>
      <c r="N9" s="170"/>
      <c r="O9" s="170"/>
      <c r="P9" s="5"/>
      <c r="Q9" s="104">
        <f t="shared" si="0"/>
        <v>19323.37</v>
      </c>
      <c r="R9" s="82"/>
      <c r="S9" s="48"/>
      <c r="V9" s="104"/>
    </row>
    <row r="10" spans="1:32" s="83" customFormat="1" ht="43.5" x14ac:dyDescent="0.35">
      <c r="A10" s="134" t="s">
        <v>27</v>
      </c>
      <c r="B10" s="134" t="s">
        <v>328</v>
      </c>
      <c r="C10" s="134" t="s">
        <v>19</v>
      </c>
      <c r="D10" s="134" t="s">
        <v>20</v>
      </c>
      <c r="E10" s="134">
        <v>7993.81</v>
      </c>
      <c r="F10" s="134" t="s">
        <v>77</v>
      </c>
      <c r="G10" s="102">
        <v>45694</v>
      </c>
      <c r="H10" s="134" t="s">
        <v>79</v>
      </c>
      <c r="I10" s="170" t="s">
        <v>1750</v>
      </c>
      <c r="J10" s="170" t="s">
        <v>1751</v>
      </c>
      <c r="K10" s="170"/>
      <c r="L10" s="134"/>
      <c r="M10" s="134"/>
      <c r="N10" s="170"/>
      <c r="O10" s="170" t="s">
        <v>609</v>
      </c>
      <c r="P10" s="5"/>
      <c r="Q10" s="104">
        <f t="shared" si="0"/>
        <v>7993.81</v>
      </c>
      <c r="R10" s="48"/>
      <c r="S10" s="48" t="s">
        <v>1804</v>
      </c>
      <c r="T10"/>
      <c r="U10"/>
      <c r="V10" s="3"/>
      <c r="W10"/>
      <c r="X10"/>
      <c r="Y10"/>
      <c r="Z10"/>
      <c r="AA10"/>
      <c r="AB10"/>
      <c r="AC10"/>
      <c r="AD10"/>
      <c r="AE10"/>
      <c r="AF10"/>
    </row>
    <row r="11" spans="1:32" s="83" customFormat="1" ht="58" x14ac:dyDescent="0.35">
      <c r="A11" s="134" t="s">
        <v>27</v>
      </c>
      <c r="B11" s="134" t="s">
        <v>382</v>
      </c>
      <c r="C11" s="134" t="s">
        <v>19</v>
      </c>
      <c r="D11" s="134" t="s">
        <v>20</v>
      </c>
      <c r="E11" s="134">
        <v>5437.97</v>
      </c>
      <c r="F11" s="134" t="s">
        <v>77</v>
      </c>
      <c r="G11" s="102">
        <v>45736</v>
      </c>
      <c r="H11" s="134" t="s">
        <v>79</v>
      </c>
      <c r="I11" s="170" t="s">
        <v>90</v>
      </c>
      <c r="J11" s="170" t="s">
        <v>1790</v>
      </c>
      <c r="K11" s="170"/>
      <c r="L11" s="134"/>
      <c r="M11" s="134"/>
      <c r="N11" s="170"/>
      <c r="O11" s="170" t="s">
        <v>1791</v>
      </c>
      <c r="P11" s="5"/>
      <c r="Q11" s="104">
        <f t="shared" si="0"/>
        <v>5437.97</v>
      </c>
      <c r="R11" s="48"/>
      <c r="S11" s="48" t="s">
        <v>1804</v>
      </c>
      <c r="T11"/>
      <c r="U11"/>
      <c r="V11" s="3"/>
      <c r="W11"/>
      <c r="X11"/>
      <c r="Y11"/>
      <c r="Z11"/>
      <c r="AA11"/>
      <c r="AB11"/>
      <c r="AC11"/>
      <c r="AD11"/>
      <c r="AE11"/>
      <c r="AF11"/>
    </row>
    <row r="12" spans="1:32" s="83" customFormat="1" ht="29" x14ac:dyDescent="0.35">
      <c r="A12" s="134" t="s">
        <v>0</v>
      </c>
      <c r="B12" s="134" t="s">
        <v>329</v>
      </c>
      <c r="C12" s="134" t="s">
        <v>19</v>
      </c>
      <c r="D12" s="134" t="s">
        <v>20</v>
      </c>
      <c r="E12" s="134">
        <v>4862</v>
      </c>
      <c r="F12" s="134" t="s">
        <v>77</v>
      </c>
      <c r="G12" s="102">
        <v>45733</v>
      </c>
      <c r="H12" s="134" t="s">
        <v>78</v>
      </c>
      <c r="I12" s="170" t="s">
        <v>1727</v>
      </c>
      <c r="J12" s="170"/>
      <c r="K12" s="170" t="s">
        <v>1728</v>
      </c>
      <c r="L12" s="134" t="s">
        <v>1729</v>
      </c>
      <c r="M12" s="134" t="s">
        <v>611</v>
      </c>
      <c r="N12" s="170"/>
      <c r="O12" s="170"/>
      <c r="P12" s="5"/>
      <c r="Q12" s="104">
        <f t="shared" si="0"/>
        <v>4862</v>
      </c>
      <c r="R12" s="82"/>
      <c r="S12" s="82" t="s">
        <v>44</v>
      </c>
      <c r="T12" s="83" t="s">
        <v>54</v>
      </c>
      <c r="U12" s="83" t="str">
        <f>B12</f>
        <v>AU070150</v>
      </c>
      <c r="V12" s="104">
        <f>E12</f>
        <v>4862</v>
      </c>
    </row>
    <row r="13" spans="1:32" s="83" customFormat="1" ht="29" x14ac:dyDescent="0.35">
      <c r="A13" s="134" t="s">
        <v>0</v>
      </c>
      <c r="B13" s="134" t="s">
        <v>477</v>
      </c>
      <c r="C13" s="134" t="s">
        <v>19</v>
      </c>
      <c r="D13" s="134" t="s">
        <v>20</v>
      </c>
      <c r="E13" s="134">
        <v>2034.75</v>
      </c>
      <c r="F13" s="134" t="s">
        <v>77</v>
      </c>
      <c r="G13" s="102">
        <v>45720</v>
      </c>
      <c r="H13" s="134" t="s">
        <v>78</v>
      </c>
      <c r="I13" s="170" t="s">
        <v>1723</v>
      </c>
      <c r="J13" s="170"/>
      <c r="K13" s="170" t="s">
        <v>1724</v>
      </c>
      <c r="L13" s="134" t="s">
        <v>1725</v>
      </c>
      <c r="M13" s="134" t="s">
        <v>1726</v>
      </c>
      <c r="N13" s="170"/>
      <c r="O13" s="170"/>
      <c r="P13" s="5"/>
      <c r="Q13" s="104">
        <f t="shared" si="0"/>
        <v>2034.75</v>
      </c>
      <c r="R13" s="82"/>
      <c r="S13" s="82"/>
      <c r="V13" s="104"/>
    </row>
    <row r="14" spans="1:32" s="83" customFormat="1" ht="72.5" x14ac:dyDescent="0.35">
      <c r="A14" s="134" t="s">
        <v>27</v>
      </c>
      <c r="B14" s="134" t="s">
        <v>317</v>
      </c>
      <c r="C14" s="134" t="s">
        <v>19</v>
      </c>
      <c r="D14" s="134" t="s">
        <v>20</v>
      </c>
      <c r="E14" s="134">
        <v>1981.82</v>
      </c>
      <c r="F14" s="134" t="s">
        <v>77</v>
      </c>
      <c r="G14" s="102">
        <v>45737</v>
      </c>
      <c r="H14" s="134" t="s">
        <v>79</v>
      </c>
      <c r="I14" s="170" t="s">
        <v>1792</v>
      </c>
      <c r="J14" s="170" t="s">
        <v>1793</v>
      </c>
      <c r="K14" s="170"/>
      <c r="L14" s="134"/>
      <c r="M14" s="134"/>
      <c r="N14" s="170"/>
      <c r="O14" s="170" t="s">
        <v>1794</v>
      </c>
      <c r="P14" s="5"/>
      <c r="Q14" s="104">
        <f t="shared" si="0"/>
        <v>1981.82</v>
      </c>
      <c r="R14" s="48"/>
      <c r="S14" s="82" t="s">
        <v>1805</v>
      </c>
      <c r="T14" s="83" t="s">
        <v>54</v>
      </c>
      <c r="U14" s="83" t="str">
        <f>B14</f>
        <v>AU030310</v>
      </c>
      <c r="V14" s="104">
        <f>E14</f>
        <v>1981.82</v>
      </c>
      <c r="W14"/>
      <c r="X14"/>
      <c r="Y14"/>
      <c r="Z14"/>
      <c r="AA14"/>
      <c r="AB14"/>
      <c r="AC14"/>
      <c r="AD14"/>
      <c r="AE14"/>
      <c r="AF14"/>
    </row>
    <row r="15" spans="1:32" s="83" customFormat="1" ht="43.5" x14ac:dyDescent="0.35">
      <c r="A15" s="134" t="s">
        <v>27</v>
      </c>
      <c r="B15" s="134" t="s">
        <v>328</v>
      </c>
      <c r="C15" s="134" t="s">
        <v>19</v>
      </c>
      <c r="D15" s="134" t="s">
        <v>20</v>
      </c>
      <c r="E15" s="134">
        <v>1800.99</v>
      </c>
      <c r="F15" s="134" t="s">
        <v>77</v>
      </c>
      <c r="G15" s="102">
        <v>45735</v>
      </c>
      <c r="H15" s="134" t="s">
        <v>79</v>
      </c>
      <c r="I15" s="170" t="s">
        <v>1750</v>
      </c>
      <c r="J15" s="170" t="s">
        <v>1789</v>
      </c>
      <c r="K15" s="170"/>
      <c r="L15" s="134"/>
      <c r="M15" s="134"/>
      <c r="N15" s="170"/>
      <c r="O15" s="170" t="s">
        <v>609</v>
      </c>
      <c r="P15" s="5"/>
      <c r="Q15" s="104">
        <f t="shared" si="0"/>
        <v>1800.99</v>
      </c>
      <c r="R15" s="48"/>
      <c r="S15" s="48"/>
      <c r="T15"/>
      <c r="U15"/>
      <c r="V15" s="3"/>
      <c r="W15"/>
      <c r="X15"/>
      <c r="Y15"/>
      <c r="Z15"/>
      <c r="AA15"/>
      <c r="AB15"/>
      <c r="AC15"/>
      <c r="AD15"/>
      <c r="AE15"/>
      <c r="AF15"/>
    </row>
    <row r="16" spans="1:32" s="83" customFormat="1" ht="43.5" x14ac:dyDescent="0.35">
      <c r="A16" s="134" t="s">
        <v>27</v>
      </c>
      <c r="B16" s="134" t="s">
        <v>327</v>
      </c>
      <c r="C16" s="134" t="s">
        <v>19</v>
      </c>
      <c r="D16" s="134" t="s">
        <v>20</v>
      </c>
      <c r="E16" s="134">
        <v>1767.27</v>
      </c>
      <c r="F16" s="134" t="s">
        <v>77</v>
      </c>
      <c r="G16" s="102">
        <v>45722</v>
      </c>
      <c r="H16" s="134" t="s">
        <v>79</v>
      </c>
      <c r="I16" s="170" t="s">
        <v>1767</v>
      </c>
      <c r="J16" s="170" t="s">
        <v>1768</v>
      </c>
      <c r="K16" s="170"/>
      <c r="L16" s="134"/>
      <c r="M16" s="134"/>
      <c r="N16" s="170"/>
      <c r="O16" s="170" t="s">
        <v>1769</v>
      </c>
      <c r="P16" s="5"/>
      <c r="Q16" s="104">
        <f t="shared" si="0"/>
        <v>1767.27</v>
      </c>
      <c r="R16" s="48"/>
      <c r="S16" s="82" t="s">
        <v>44</v>
      </c>
      <c r="T16" s="83" t="s">
        <v>54</v>
      </c>
      <c r="U16" s="83" t="str">
        <f>B16</f>
        <v>AU030510</v>
      </c>
      <c r="V16" s="104">
        <f>E16</f>
        <v>1767.27</v>
      </c>
      <c r="W16"/>
      <c r="X16"/>
      <c r="Y16"/>
      <c r="Z16"/>
      <c r="AA16"/>
      <c r="AB16"/>
      <c r="AC16"/>
      <c r="AD16"/>
      <c r="AE16"/>
      <c r="AF16"/>
    </row>
    <row r="17" spans="1:32" s="83" customFormat="1" ht="58" x14ac:dyDescent="0.35">
      <c r="A17" s="134" t="s">
        <v>27</v>
      </c>
      <c r="B17" s="134" t="s">
        <v>330</v>
      </c>
      <c r="C17" s="134" t="s">
        <v>19</v>
      </c>
      <c r="D17" s="134" t="s">
        <v>20</v>
      </c>
      <c r="E17" s="134">
        <v>1291.48</v>
      </c>
      <c r="F17" s="134" t="s">
        <v>77</v>
      </c>
      <c r="G17" s="102">
        <v>45740</v>
      </c>
      <c r="H17" s="134" t="s">
        <v>79</v>
      </c>
      <c r="I17" s="170" t="s">
        <v>613</v>
      </c>
      <c r="J17" s="170" t="s">
        <v>1801</v>
      </c>
      <c r="K17" s="170"/>
      <c r="L17" s="134"/>
      <c r="M17" s="134"/>
      <c r="N17" s="170"/>
      <c r="O17" s="170" t="s">
        <v>614</v>
      </c>
      <c r="P17" s="5"/>
      <c r="Q17" s="104">
        <f t="shared" si="0"/>
        <v>1291.48</v>
      </c>
      <c r="R17" s="48"/>
      <c r="S17" s="48"/>
      <c r="T17"/>
      <c r="U17"/>
      <c r="V17" s="3"/>
      <c r="W17"/>
      <c r="X17"/>
      <c r="Y17"/>
      <c r="Z17"/>
      <c r="AA17"/>
      <c r="AB17"/>
      <c r="AC17"/>
      <c r="AD17"/>
      <c r="AE17"/>
      <c r="AF17"/>
    </row>
    <row r="18" spans="1:32" s="83" customFormat="1" ht="43.5" x14ac:dyDescent="0.35">
      <c r="A18" s="134" t="s">
        <v>27</v>
      </c>
      <c r="B18" s="134" t="s">
        <v>363</v>
      </c>
      <c r="C18" s="134" t="s">
        <v>19</v>
      </c>
      <c r="D18" s="134" t="s">
        <v>20</v>
      </c>
      <c r="E18" s="134">
        <v>913.5</v>
      </c>
      <c r="F18" s="134" t="s">
        <v>77</v>
      </c>
      <c r="G18" s="102">
        <v>45694</v>
      </c>
      <c r="H18" s="134" t="s">
        <v>79</v>
      </c>
      <c r="I18" s="170" t="s">
        <v>1748</v>
      </c>
      <c r="J18" s="170" t="s">
        <v>1749</v>
      </c>
      <c r="K18" s="170"/>
      <c r="L18" s="134"/>
      <c r="M18" s="134"/>
      <c r="N18" s="170"/>
      <c r="O18" s="170" t="s">
        <v>513</v>
      </c>
      <c r="P18" s="5"/>
      <c r="Q18" s="104">
        <f t="shared" si="0"/>
        <v>913.5</v>
      </c>
      <c r="R18" s="48"/>
      <c r="S18" s="48"/>
      <c r="T18"/>
      <c r="U18"/>
      <c r="V18" s="3"/>
      <c r="W18"/>
      <c r="X18"/>
      <c r="Y18"/>
      <c r="Z18"/>
      <c r="AA18"/>
      <c r="AB18"/>
      <c r="AC18"/>
      <c r="AD18"/>
      <c r="AE18"/>
      <c r="AF18"/>
    </row>
    <row r="19" spans="1:32" s="83" customFormat="1" ht="29" x14ac:dyDescent="0.35">
      <c r="A19" s="134" t="s">
        <v>27</v>
      </c>
      <c r="B19" s="134" t="s">
        <v>347</v>
      </c>
      <c r="C19" s="134" t="s">
        <v>19</v>
      </c>
      <c r="D19" s="134" t="s">
        <v>20</v>
      </c>
      <c r="E19" s="134">
        <v>441.14</v>
      </c>
      <c r="F19" s="134" t="s">
        <v>77</v>
      </c>
      <c r="G19" s="102">
        <v>45740</v>
      </c>
      <c r="H19" s="134" t="s">
        <v>79</v>
      </c>
      <c r="I19" s="170" t="s">
        <v>157</v>
      </c>
      <c r="J19" s="170" t="s">
        <v>1795</v>
      </c>
      <c r="K19" s="170"/>
      <c r="L19" s="134"/>
      <c r="M19" s="134"/>
      <c r="N19" s="170"/>
      <c r="O19" s="170" t="s">
        <v>639</v>
      </c>
      <c r="P19" s="5"/>
      <c r="Q19" s="104">
        <f t="shared" si="0"/>
        <v>441.14</v>
      </c>
      <c r="R19" s="48"/>
      <c r="S19" s="48"/>
      <c r="T19"/>
      <c r="U19"/>
      <c r="V19" s="3"/>
      <c r="W19"/>
      <c r="X19"/>
      <c r="Y19"/>
      <c r="Z19"/>
      <c r="AA19"/>
      <c r="AB19"/>
      <c r="AC19"/>
      <c r="AD19"/>
      <c r="AE19"/>
      <c r="AF19"/>
    </row>
    <row r="20" spans="1:32" s="83" customFormat="1" ht="29" x14ac:dyDescent="0.35">
      <c r="A20" s="134" t="s">
        <v>27</v>
      </c>
      <c r="B20" s="134" t="s">
        <v>319</v>
      </c>
      <c r="C20" s="134" t="s">
        <v>19</v>
      </c>
      <c r="D20" s="134" t="s">
        <v>20</v>
      </c>
      <c r="E20" s="134">
        <v>373.95</v>
      </c>
      <c r="F20" s="134" t="s">
        <v>77</v>
      </c>
      <c r="G20" s="102">
        <v>45708</v>
      </c>
      <c r="H20" s="134" t="s">
        <v>78</v>
      </c>
      <c r="I20" s="170" t="s">
        <v>1754</v>
      </c>
      <c r="J20" s="170"/>
      <c r="K20" s="170" t="s">
        <v>1755</v>
      </c>
      <c r="L20" s="134" t="s">
        <v>1756</v>
      </c>
      <c r="M20" s="134" t="s">
        <v>1757</v>
      </c>
      <c r="N20" s="170"/>
      <c r="O20" s="170"/>
      <c r="P20" s="5"/>
      <c r="Q20" s="104">
        <f t="shared" si="0"/>
        <v>373.95</v>
      </c>
      <c r="R20" s="48"/>
      <c r="S20" s="82" t="s">
        <v>44</v>
      </c>
      <c r="T20" s="83" t="s">
        <v>54</v>
      </c>
      <c r="U20" s="83" t="str">
        <f>B20</f>
        <v>AU025109</v>
      </c>
      <c r="V20" s="104">
        <f>E20</f>
        <v>373.95</v>
      </c>
      <c r="W20"/>
      <c r="X20"/>
      <c r="Y20"/>
      <c r="Z20"/>
      <c r="AA20"/>
      <c r="AB20"/>
      <c r="AC20"/>
      <c r="AD20"/>
      <c r="AE20"/>
      <c r="AF20"/>
    </row>
    <row r="21" spans="1:32" s="83" customFormat="1" ht="43.5" x14ac:dyDescent="0.35">
      <c r="A21" s="134" t="s">
        <v>27</v>
      </c>
      <c r="B21" s="134" t="s">
        <v>328</v>
      </c>
      <c r="C21" s="134" t="s">
        <v>19</v>
      </c>
      <c r="D21" s="134" t="s">
        <v>20</v>
      </c>
      <c r="E21" s="134">
        <v>347.55</v>
      </c>
      <c r="F21" s="134" t="s">
        <v>77</v>
      </c>
      <c r="G21" s="102">
        <v>45694</v>
      </c>
      <c r="H21" s="134" t="s">
        <v>79</v>
      </c>
      <c r="I21" s="170" t="s">
        <v>1750</v>
      </c>
      <c r="J21" s="170" t="s">
        <v>1752</v>
      </c>
      <c r="K21" s="170"/>
      <c r="L21" s="134"/>
      <c r="M21" s="134"/>
      <c r="N21" s="170"/>
      <c r="O21" s="170" t="s">
        <v>609</v>
      </c>
      <c r="P21" s="5"/>
      <c r="Q21" s="104">
        <f t="shared" si="0"/>
        <v>347.55</v>
      </c>
      <c r="R21" s="48"/>
      <c r="S21" s="48"/>
      <c r="T21"/>
      <c r="U21"/>
      <c r="V21" s="3"/>
      <c r="W21"/>
      <c r="X21"/>
      <c r="Y21"/>
      <c r="Z21"/>
      <c r="AA21"/>
      <c r="AB21"/>
      <c r="AC21"/>
      <c r="AD21"/>
      <c r="AE21"/>
      <c r="AF21"/>
    </row>
    <row r="22" spans="1:32" s="83" customFormat="1" ht="58" x14ac:dyDescent="0.35">
      <c r="A22" s="134" t="s">
        <v>27</v>
      </c>
      <c r="B22" s="134" t="s">
        <v>327</v>
      </c>
      <c r="C22" s="134" t="s">
        <v>19</v>
      </c>
      <c r="D22" s="134" t="s">
        <v>20</v>
      </c>
      <c r="E22" s="134">
        <v>329.83</v>
      </c>
      <c r="F22" s="134" t="s">
        <v>77</v>
      </c>
      <c r="G22" s="102">
        <v>45722</v>
      </c>
      <c r="H22" s="134" t="s">
        <v>79</v>
      </c>
      <c r="I22" s="170" t="s">
        <v>229</v>
      </c>
      <c r="J22" s="170" t="s">
        <v>1770</v>
      </c>
      <c r="K22" s="170"/>
      <c r="L22" s="134"/>
      <c r="M22" s="134"/>
      <c r="N22" s="170"/>
      <c r="O22" s="170" t="s">
        <v>546</v>
      </c>
      <c r="P22" s="5"/>
      <c r="Q22" s="104">
        <f t="shared" si="0"/>
        <v>329.83</v>
      </c>
      <c r="R22" s="48"/>
      <c r="S22" s="48"/>
      <c r="T22"/>
      <c r="U22"/>
      <c r="V22" s="3"/>
      <c r="W22"/>
      <c r="X22"/>
      <c r="Y22"/>
      <c r="Z22"/>
      <c r="AA22"/>
      <c r="AB22"/>
      <c r="AC22"/>
      <c r="AD22"/>
      <c r="AE22"/>
      <c r="AF22"/>
    </row>
    <row r="23" spans="1:32" s="83" customFormat="1" ht="43.5" x14ac:dyDescent="0.35">
      <c r="A23" s="134" t="s">
        <v>27</v>
      </c>
      <c r="B23" s="134" t="s">
        <v>327</v>
      </c>
      <c r="C23" s="134" t="s">
        <v>19</v>
      </c>
      <c r="D23" s="134" t="s">
        <v>20</v>
      </c>
      <c r="E23" s="134">
        <v>271.45</v>
      </c>
      <c r="F23" s="134" t="s">
        <v>77</v>
      </c>
      <c r="G23" s="102">
        <v>45722</v>
      </c>
      <c r="H23" s="134" t="s">
        <v>79</v>
      </c>
      <c r="I23" s="170" t="s">
        <v>135</v>
      </c>
      <c r="J23" s="170" t="s">
        <v>1765</v>
      </c>
      <c r="K23" s="170"/>
      <c r="L23" s="134"/>
      <c r="M23" s="134"/>
      <c r="N23" s="170"/>
      <c r="O23" s="170" t="s">
        <v>1766</v>
      </c>
      <c r="P23" s="5"/>
      <c r="Q23" s="104">
        <f t="shared" si="0"/>
        <v>271.45</v>
      </c>
      <c r="R23" s="48"/>
      <c r="S23" s="48"/>
      <c r="T23"/>
      <c r="U23"/>
      <c r="V23" s="3"/>
      <c r="W23"/>
      <c r="X23"/>
      <c r="Y23"/>
      <c r="Z23"/>
      <c r="AA23"/>
      <c r="AB23"/>
      <c r="AC23"/>
      <c r="AD23"/>
      <c r="AE23"/>
      <c r="AF23"/>
    </row>
    <row r="24" spans="1:32" s="83" customFormat="1" ht="58" x14ac:dyDescent="0.35">
      <c r="A24" s="134" t="s">
        <v>27</v>
      </c>
      <c r="B24" s="134" t="s">
        <v>584</v>
      </c>
      <c r="C24" s="134" t="s">
        <v>19</v>
      </c>
      <c r="D24" s="134" t="s">
        <v>20</v>
      </c>
      <c r="E24" s="134">
        <v>258.29000000000002</v>
      </c>
      <c r="F24" s="134" t="s">
        <v>77</v>
      </c>
      <c r="G24" s="102">
        <v>45740</v>
      </c>
      <c r="H24" s="134" t="s">
        <v>79</v>
      </c>
      <c r="I24" s="170" t="s">
        <v>613</v>
      </c>
      <c r="J24" s="170" t="s">
        <v>1801</v>
      </c>
      <c r="K24" s="170"/>
      <c r="L24" s="134"/>
      <c r="M24" s="134"/>
      <c r="N24" s="170"/>
      <c r="O24" s="170" t="s">
        <v>614</v>
      </c>
      <c r="P24" s="5"/>
      <c r="Q24" s="104">
        <f t="shared" si="0"/>
        <v>258.29000000000002</v>
      </c>
      <c r="R24" s="48"/>
      <c r="S24" s="48"/>
      <c r="T24"/>
      <c r="U24"/>
      <c r="V24" s="3"/>
      <c r="W24"/>
      <c r="X24"/>
      <c r="Y24"/>
      <c r="Z24"/>
      <c r="AA24"/>
      <c r="AB24"/>
      <c r="AC24"/>
      <c r="AD24"/>
      <c r="AE24"/>
      <c r="AF24"/>
    </row>
    <row r="25" spans="1:32" s="83" customFormat="1" ht="58" x14ac:dyDescent="0.35">
      <c r="A25" s="134" t="s">
        <v>27</v>
      </c>
      <c r="B25" s="134" t="s">
        <v>386</v>
      </c>
      <c r="C25" s="134" t="s">
        <v>19</v>
      </c>
      <c r="D25" s="134" t="s">
        <v>20</v>
      </c>
      <c r="E25" s="134">
        <v>258.29000000000002</v>
      </c>
      <c r="F25" s="134" t="s">
        <v>77</v>
      </c>
      <c r="G25" s="102">
        <v>45740</v>
      </c>
      <c r="H25" s="134" t="s">
        <v>79</v>
      </c>
      <c r="I25" s="170" t="s">
        <v>613</v>
      </c>
      <c r="J25" s="170" t="s">
        <v>1801</v>
      </c>
      <c r="K25" s="170"/>
      <c r="L25" s="134"/>
      <c r="M25" s="134"/>
      <c r="N25" s="170"/>
      <c r="O25" s="170" t="s">
        <v>614</v>
      </c>
      <c r="P25" s="5"/>
      <c r="Q25" s="104">
        <f t="shared" si="0"/>
        <v>258.29000000000002</v>
      </c>
      <c r="R25" s="48"/>
      <c r="S25" s="48"/>
      <c r="T25"/>
      <c r="U25"/>
      <c r="V25" s="3"/>
      <c r="W25"/>
      <c r="X25"/>
      <c r="Y25"/>
      <c r="Z25"/>
      <c r="AA25"/>
      <c r="AB25"/>
      <c r="AC25"/>
      <c r="AD25"/>
      <c r="AE25"/>
      <c r="AF25"/>
    </row>
    <row r="26" spans="1:32" s="83" customFormat="1" ht="58" x14ac:dyDescent="0.35">
      <c r="A26" s="134" t="s">
        <v>27</v>
      </c>
      <c r="B26" s="134" t="s">
        <v>1802</v>
      </c>
      <c r="C26" s="134" t="s">
        <v>19</v>
      </c>
      <c r="D26" s="134" t="s">
        <v>20</v>
      </c>
      <c r="E26" s="134">
        <v>258.29000000000002</v>
      </c>
      <c r="F26" s="134" t="s">
        <v>77</v>
      </c>
      <c r="G26" s="102">
        <v>45740</v>
      </c>
      <c r="H26" s="134" t="s">
        <v>79</v>
      </c>
      <c r="I26" s="170" t="s">
        <v>613</v>
      </c>
      <c r="J26" s="170" t="s">
        <v>1801</v>
      </c>
      <c r="K26" s="170"/>
      <c r="L26" s="134"/>
      <c r="M26" s="134"/>
      <c r="N26" s="170"/>
      <c r="O26" s="170" t="s">
        <v>614</v>
      </c>
      <c r="P26" s="5"/>
      <c r="Q26" s="104">
        <f t="shared" si="0"/>
        <v>258.29000000000002</v>
      </c>
      <c r="R26" s="82"/>
      <c r="S26" s="48"/>
      <c r="V26" s="104"/>
    </row>
    <row r="27" spans="1:32" s="83" customFormat="1" ht="58" x14ac:dyDescent="0.35">
      <c r="A27" s="134" t="s">
        <v>27</v>
      </c>
      <c r="B27" s="134" t="s">
        <v>322</v>
      </c>
      <c r="C27" s="134" t="s">
        <v>19</v>
      </c>
      <c r="D27" s="134" t="s">
        <v>20</v>
      </c>
      <c r="E27" s="134">
        <v>258.29000000000002</v>
      </c>
      <c r="F27" s="134" t="s">
        <v>77</v>
      </c>
      <c r="G27" s="102">
        <v>45740</v>
      </c>
      <c r="H27" s="134" t="s">
        <v>79</v>
      </c>
      <c r="I27" s="170" t="s">
        <v>613</v>
      </c>
      <c r="J27" s="170" t="s">
        <v>1801</v>
      </c>
      <c r="K27" s="170"/>
      <c r="L27" s="134"/>
      <c r="M27" s="134"/>
      <c r="N27" s="170"/>
      <c r="O27" s="170" t="s">
        <v>614</v>
      </c>
      <c r="P27" s="5"/>
      <c r="Q27" s="104">
        <f t="shared" si="0"/>
        <v>258.29000000000002</v>
      </c>
      <c r="R27" s="48"/>
      <c r="S27" s="48"/>
      <c r="T27"/>
      <c r="U27"/>
      <c r="V27" s="3"/>
      <c r="W27"/>
      <c r="X27"/>
      <c r="Y27"/>
      <c r="Z27"/>
      <c r="AA27"/>
      <c r="AB27"/>
      <c r="AC27"/>
      <c r="AD27"/>
      <c r="AE27"/>
      <c r="AF27"/>
    </row>
    <row r="28" spans="1:32" s="83" customFormat="1" ht="58" x14ac:dyDescent="0.35">
      <c r="A28" s="134" t="s">
        <v>27</v>
      </c>
      <c r="B28" s="134" t="s">
        <v>585</v>
      </c>
      <c r="C28" s="134" t="s">
        <v>19</v>
      </c>
      <c r="D28" s="134" t="s">
        <v>20</v>
      </c>
      <c r="E28" s="134">
        <v>258.29000000000002</v>
      </c>
      <c r="F28" s="134" t="s">
        <v>77</v>
      </c>
      <c r="G28" s="102">
        <v>45740</v>
      </c>
      <c r="H28" s="134" t="s">
        <v>79</v>
      </c>
      <c r="I28" s="170" t="s">
        <v>613</v>
      </c>
      <c r="J28" s="170" t="s">
        <v>1801</v>
      </c>
      <c r="K28" s="170"/>
      <c r="L28" s="134"/>
      <c r="M28" s="134"/>
      <c r="N28" s="170"/>
      <c r="O28" s="170" t="s">
        <v>614</v>
      </c>
      <c r="P28" s="5"/>
      <c r="Q28" s="104">
        <f t="shared" si="0"/>
        <v>258.29000000000002</v>
      </c>
      <c r="R28" s="48"/>
      <c r="S28" s="48"/>
      <c r="T28"/>
      <c r="U28"/>
      <c r="V28" s="3"/>
      <c r="W28"/>
      <c r="X28"/>
      <c r="Y28"/>
      <c r="Z28"/>
      <c r="AA28"/>
      <c r="AB28"/>
      <c r="AC28"/>
      <c r="AD28"/>
      <c r="AE28"/>
      <c r="AF28"/>
    </row>
    <row r="29" spans="1:32" s="83" customFormat="1" ht="58" x14ac:dyDescent="0.35">
      <c r="A29" s="134" t="s">
        <v>27</v>
      </c>
      <c r="B29" s="134" t="s">
        <v>603</v>
      </c>
      <c r="C29" s="134" t="s">
        <v>19</v>
      </c>
      <c r="D29" s="134" t="s">
        <v>20</v>
      </c>
      <c r="E29" s="134">
        <v>258.29000000000002</v>
      </c>
      <c r="F29" s="134" t="s">
        <v>77</v>
      </c>
      <c r="G29" s="102">
        <v>45740</v>
      </c>
      <c r="H29" s="134" t="s">
        <v>79</v>
      </c>
      <c r="I29" s="170" t="s">
        <v>613</v>
      </c>
      <c r="J29" s="170" t="s">
        <v>1801</v>
      </c>
      <c r="K29" s="170"/>
      <c r="L29" s="134"/>
      <c r="M29" s="134"/>
      <c r="N29" s="170"/>
      <c r="O29" s="170" t="s">
        <v>614</v>
      </c>
      <c r="P29" s="5"/>
      <c r="Q29" s="104">
        <f t="shared" si="0"/>
        <v>258.29000000000002</v>
      </c>
      <c r="R29" s="48"/>
      <c r="S29" s="48"/>
      <c r="T29"/>
      <c r="U29"/>
      <c r="V29" s="3"/>
      <c r="W29"/>
      <c r="X29"/>
      <c r="Y29"/>
      <c r="Z29"/>
      <c r="AA29"/>
      <c r="AB29"/>
      <c r="AC29"/>
      <c r="AD29"/>
      <c r="AE29"/>
      <c r="AF29"/>
    </row>
    <row r="30" spans="1:32" s="83" customFormat="1" ht="58" x14ac:dyDescent="0.35">
      <c r="A30" s="134" t="s">
        <v>27</v>
      </c>
      <c r="B30" s="134" t="s">
        <v>336</v>
      </c>
      <c r="C30" s="134" t="s">
        <v>19</v>
      </c>
      <c r="D30" s="134" t="s">
        <v>20</v>
      </c>
      <c r="E30" s="134">
        <v>258.29000000000002</v>
      </c>
      <c r="F30" s="134" t="s">
        <v>77</v>
      </c>
      <c r="G30" s="102">
        <v>45740</v>
      </c>
      <c r="H30" s="134" t="s">
        <v>79</v>
      </c>
      <c r="I30" s="170" t="s">
        <v>613</v>
      </c>
      <c r="J30" s="170" t="s">
        <v>1801</v>
      </c>
      <c r="K30" s="170"/>
      <c r="L30" s="134"/>
      <c r="M30" s="134"/>
      <c r="N30" s="170"/>
      <c r="O30" s="170" t="s">
        <v>614</v>
      </c>
      <c r="P30" s="5"/>
      <c r="Q30" s="104">
        <f t="shared" si="0"/>
        <v>258.29000000000002</v>
      </c>
      <c r="R30" s="48"/>
      <c r="S30" s="48"/>
      <c r="T30"/>
      <c r="U30"/>
      <c r="V30" s="3"/>
      <c r="W30"/>
      <c r="X30"/>
      <c r="Y30"/>
      <c r="Z30"/>
      <c r="AA30"/>
      <c r="AB30"/>
      <c r="AC30"/>
      <c r="AD30"/>
      <c r="AE30"/>
      <c r="AF30"/>
    </row>
    <row r="31" spans="1:32" s="83" customFormat="1" ht="72.5" x14ac:dyDescent="0.35">
      <c r="A31" s="134" t="s">
        <v>27</v>
      </c>
      <c r="B31" s="134" t="s">
        <v>326</v>
      </c>
      <c r="C31" s="134" t="s">
        <v>19</v>
      </c>
      <c r="D31" s="134" t="s">
        <v>20</v>
      </c>
      <c r="E31" s="134">
        <v>258.29000000000002</v>
      </c>
      <c r="F31" s="134" t="s">
        <v>77</v>
      </c>
      <c r="G31" s="102">
        <v>45740</v>
      </c>
      <c r="H31" s="134" t="s">
        <v>79</v>
      </c>
      <c r="I31" s="170" t="s">
        <v>613</v>
      </c>
      <c r="J31" s="170" t="s">
        <v>1803</v>
      </c>
      <c r="K31" s="170"/>
      <c r="L31" s="134"/>
      <c r="M31" s="134"/>
      <c r="N31" s="170"/>
      <c r="O31" s="170" t="s">
        <v>614</v>
      </c>
      <c r="P31" s="5"/>
      <c r="Q31" s="104">
        <f t="shared" si="0"/>
        <v>258.29000000000002</v>
      </c>
      <c r="R31" s="48"/>
      <c r="S31" s="48"/>
      <c r="T31"/>
      <c r="U31"/>
      <c r="V31" s="3"/>
      <c r="W31"/>
      <c r="X31"/>
      <c r="Y31"/>
      <c r="Z31"/>
      <c r="AA31"/>
      <c r="AB31"/>
      <c r="AC31"/>
      <c r="AD31"/>
      <c r="AE31"/>
      <c r="AF31"/>
    </row>
    <row r="32" spans="1:32" s="83" customFormat="1" ht="43.5" x14ac:dyDescent="0.35">
      <c r="A32" s="134" t="s">
        <v>27</v>
      </c>
      <c r="B32" s="134" t="s">
        <v>347</v>
      </c>
      <c r="C32" s="134" t="s">
        <v>19</v>
      </c>
      <c r="D32" s="134" t="s">
        <v>20</v>
      </c>
      <c r="E32" s="134">
        <v>240</v>
      </c>
      <c r="F32" s="134" t="s">
        <v>77</v>
      </c>
      <c r="G32" s="102">
        <v>45733</v>
      </c>
      <c r="H32" s="134" t="s">
        <v>79</v>
      </c>
      <c r="I32" s="170" t="s">
        <v>158</v>
      </c>
      <c r="J32" s="170" t="s">
        <v>159</v>
      </c>
      <c r="K32" s="170"/>
      <c r="L32" s="134"/>
      <c r="M32" s="134"/>
      <c r="N32" s="170"/>
      <c r="O32" s="170" t="s">
        <v>737</v>
      </c>
      <c r="P32" s="5"/>
      <c r="Q32" s="104">
        <f t="shared" si="0"/>
        <v>240</v>
      </c>
      <c r="R32" s="48"/>
      <c r="S32" s="48"/>
      <c r="T32"/>
      <c r="U32"/>
      <c r="V32" s="3"/>
      <c r="W32"/>
      <c r="X32"/>
      <c r="Y32"/>
      <c r="Z32"/>
      <c r="AA32"/>
      <c r="AB32"/>
      <c r="AC32"/>
      <c r="AD32"/>
      <c r="AE32"/>
      <c r="AF32"/>
    </row>
    <row r="33" spans="1:32" s="83" customFormat="1" ht="29" x14ac:dyDescent="0.35">
      <c r="A33" s="134" t="s">
        <v>27</v>
      </c>
      <c r="B33" s="134" t="s">
        <v>327</v>
      </c>
      <c r="C33" s="134" t="s">
        <v>19</v>
      </c>
      <c r="D33" s="134" t="s">
        <v>20</v>
      </c>
      <c r="E33" s="134">
        <v>237.36</v>
      </c>
      <c r="F33" s="134" t="s">
        <v>77</v>
      </c>
      <c r="G33" s="102">
        <v>45723</v>
      </c>
      <c r="H33" s="134" t="s">
        <v>79</v>
      </c>
      <c r="I33" s="170" t="s">
        <v>1776</v>
      </c>
      <c r="J33" s="170" t="s">
        <v>1777</v>
      </c>
      <c r="K33" s="170"/>
      <c r="L33" s="134"/>
      <c r="M33" s="134"/>
      <c r="N33" s="170"/>
      <c r="O33" s="170" t="s">
        <v>1778</v>
      </c>
      <c r="P33" s="5"/>
      <c r="Q33" s="104">
        <f t="shared" si="0"/>
        <v>237.36</v>
      </c>
      <c r="R33" s="82"/>
      <c r="S33" s="48"/>
      <c r="V33" s="104"/>
    </row>
    <row r="34" spans="1:32" s="83" customFormat="1" ht="43.5" x14ac:dyDescent="0.35">
      <c r="A34" s="134" t="s">
        <v>27</v>
      </c>
      <c r="B34" s="134" t="s">
        <v>477</v>
      </c>
      <c r="C34" s="134" t="s">
        <v>19</v>
      </c>
      <c r="D34" s="134" t="s">
        <v>20</v>
      </c>
      <c r="E34" s="134">
        <v>205</v>
      </c>
      <c r="F34" s="134" t="s">
        <v>77</v>
      </c>
      <c r="G34" s="102">
        <v>45726</v>
      </c>
      <c r="H34" s="134" t="s">
        <v>79</v>
      </c>
      <c r="I34" s="170" t="s">
        <v>92</v>
      </c>
      <c r="J34" s="170" t="s">
        <v>1781</v>
      </c>
      <c r="K34" s="170"/>
      <c r="L34" s="134"/>
      <c r="M34" s="134"/>
      <c r="N34" s="170"/>
      <c r="O34" s="170" t="s">
        <v>608</v>
      </c>
      <c r="P34" s="5"/>
      <c r="Q34" s="104">
        <f t="shared" si="0"/>
        <v>205</v>
      </c>
      <c r="R34" s="48"/>
      <c r="S34" s="48"/>
      <c r="T34"/>
      <c r="U34"/>
      <c r="V34" s="3"/>
      <c r="W34"/>
      <c r="X34"/>
      <c r="Y34"/>
      <c r="Z34"/>
      <c r="AA34"/>
      <c r="AB34"/>
      <c r="AC34"/>
      <c r="AD34"/>
      <c r="AE34"/>
      <c r="AF34"/>
    </row>
    <row r="35" spans="1:32" s="83" customFormat="1" ht="43.5" x14ac:dyDescent="0.35">
      <c r="A35" s="134" t="s">
        <v>27</v>
      </c>
      <c r="B35" s="134" t="s">
        <v>327</v>
      </c>
      <c r="C35" s="134" t="s">
        <v>19</v>
      </c>
      <c r="D35" s="134" t="s">
        <v>20</v>
      </c>
      <c r="E35" s="134">
        <v>197.18</v>
      </c>
      <c r="F35" s="134" t="s">
        <v>77</v>
      </c>
      <c r="G35" s="102">
        <v>45722</v>
      </c>
      <c r="H35" s="134" t="s">
        <v>79</v>
      </c>
      <c r="I35" s="170" t="s">
        <v>229</v>
      </c>
      <c r="J35" s="170" t="s">
        <v>1771</v>
      </c>
      <c r="K35" s="170"/>
      <c r="L35" s="134"/>
      <c r="M35" s="134"/>
      <c r="N35" s="170"/>
      <c r="O35" s="170" t="s">
        <v>1772</v>
      </c>
      <c r="P35" s="5"/>
      <c r="Q35" s="104">
        <f t="shared" si="0"/>
        <v>197.18</v>
      </c>
      <c r="R35" s="48"/>
      <c r="S35" s="48"/>
      <c r="T35"/>
      <c r="U35"/>
      <c r="V35" s="3"/>
      <c r="W35"/>
      <c r="X35"/>
      <c r="Y35"/>
      <c r="Z35"/>
      <c r="AA35"/>
      <c r="AB35"/>
      <c r="AC35"/>
      <c r="AD35"/>
      <c r="AE35"/>
      <c r="AF35"/>
    </row>
    <row r="36" spans="1:32" s="83" customFormat="1" ht="58" x14ac:dyDescent="0.35">
      <c r="A36" s="134" t="s">
        <v>27</v>
      </c>
      <c r="B36" s="134" t="s">
        <v>422</v>
      </c>
      <c r="C36" s="134" t="s">
        <v>19</v>
      </c>
      <c r="D36" s="134" t="s">
        <v>20</v>
      </c>
      <c r="E36" s="134">
        <v>196.11</v>
      </c>
      <c r="F36" s="134" t="s">
        <v>77</v>
      </c>
      <c r="G36" s="102">
        <v>45727</v>
      </c>
      <c r="H36" s="134" t="s">
        <v>79</v>
      </c>
      <c r="I36" s="170" t="s">
        <v>1786</v>
      </c>
      <c r="J36" s="170" t="s">
        <v>1784</v>
      </c>
      <c r="K36" s="170"/>
      <c r="L36" s="134"/>
      <c r="M36" s="134"/>
      <c r="N36" s="170"/>
      <c r="O36" s="170" t="s">
        <v>1787</v>
      </c>
      <c r="P36" s="5"/>
      <c r="Q36" s="104">
        <f t="shared" si="0"/>
        <v>196.11</v>
      </c>
      <c r="R36" s="48"/>
      <c r="S36" s="82" t="s">
        <v>44</v>
      </c>
      <c r="T36" s="83" t="s">
        <v>54</v>
      </c>
      <c r="U36" s="83" t="str">
        <f>B36</f>
        <v>AU030415</v>
      </c>
      <c r="V36" s="104">
        <f>E36</f>
        <v>196.11</v>
      </c>
      <c r="W36"/>
      <c r="X36"/>
      <c r="Y36"/>
      <c r="Z36"/>
      <c r="AA36"/>
      <c r="AB36"/>
      <c r="AC36"/>
      <c r="AD36"/>
      <c r="AE36"/>
      <c r="AF36"/>
    </row>
    <row r="37" spans="1:32" s="83" customFormat="1" ht="29" x14ac:dyDescent="0.35">
      <c r="A37" s="134" t="s">
        <v>27</v>
      </c>
      <c r="B37" s="134" t="s">
        <v>374</v>
      </c>
      <c r="C37" s="134" t="s">
        <v>19</v>
      </c>
      <c r="D37" s="134" t="s">
        <v>20</v>
      </c>
      <c r="E37" s="134">
        <v>193.79</v>
      </c>
      <c r="F37" s="134" t="s">
        <v>77</v>
      </c>
      <c r="G37" s="102">
        <v>45679</v>
      </c>
      <c r="H37" s="134" t="s">
        <v>78</v>
      </c>
      <c r="I37" s="170" t="s">
        <v>1743</v>
      </c>
      <c r="J37" s="170"/>
      <c r="K37" s="170" t="s">
        <v>1744</v>
      </c>
      <c r="L37" s="134" t="s">
        <v>1745</v>
      </c>
      <c r="M37" s="134" t="s">
        <v>1746</v>
      </c>
      <c r="N37" s="170"/>
      <c r="O37" s="170"/>
      <c r="P37" s="5"/>
      <c r="Q37" s="104">
        <f t="shared" si="0"/>
        <v>193.79</v>
      </c>
      <c r="R37" s="48"/>
      <c r="S37" s="82" t="s">
        <v>44</v>
      </c>
      <c r="T37" s="83" t="s">
        <v>54</v>
      </c>
      <c r="U37" s="83" t="str">
        <f>B37</f>
        <v>AU036750</v>
      </c>
      <c r="V37" s="104">
        <f>E37</f>
        <v>193.79</v>
      </c>
      <c r="W37"/>
      <c r="X37"/>
      <c r="Y37"/>
      <c r="Z37"/>
      <c r="AA37"/>
      <c r="AB37"/>
      <c r="AC37"/>
      <c r="AD37"/>
      <c r="AE37"/>
      <c r="AF37"/>
    </row>
    <row r="38" spans="1:32" s="83" customFormat="1" ht="58" x14ac:dyDescent="0.35">
      <c r="A38" s="134" t="s">
        <v>27</v>
      </c>
      <c r="B38" s="134" t="s">
        <v>422</v>
      </c>
      <c r="C38" s="134" t="s">
        <v>19</v>
      </c>
      <c r="D38" s="134" t="s">
        <v>20</v>
      </c>
      <c r="E38" s="134">
        <v>183.42</v>
      </c>
      <c r="F38" s="134" t="s">
        <v>77</v>
      </c>
      <c r="G38" s="102">
        <v>45727</v>
      </c>
      <c r="H38" s="134" t="s">
        <v>79</v>
      </c>
      <c r="I38" s="170" t="s">
        <v>1786</v>
      </c>
      <c r="J38" s="170" t="s">
        <v>1784</v>
      </c>
      <c r="K38" s="170"/>
      <c r="L38" s="134"/>
      <c r="M38" s="134"/>
      <c r="N38" s="170"/>
      <c r="O38" s="170" t="s">
        <v>1788</v>
      </c>
      <c r="P38" s="5"/>
      <c r="Q38" s="104">
        <f t="shared" si="0"/>
        <v>183.42</v>
      </c>
      <c r="R38" s="48"/>
      <c r="S38" s="82" t="s">
        <v>44</v>
      </c>
      <c r="T38" s="83" t="s">
        <v>54</v>
      </c>
      <c r="U38" s="83" t="str">
        <f>B38</f>
        <v>AU030415</v>
      </c>
      <c r="V38" s="104">
        <f>E38</f>
        <v>183.42</v>
      </c>
      <c r="W38"/>
      <c r="X38"/>
      <c r="Y38"/>
      <c r="Z38"/>
      <c r="AA38"/>
      <c r="AB38"/>
      <c r="AC38"/>
      <c r="AD38"/>
      <c r="AE38"/>
      <c r="AF38"/>
    </row>
    <row r="39" spans="1:32" s="83" customFormat="1" ht="43.5" x14ac:dyDescent="0.35">
      <c r="A39" s="134" t="s">
        <v>27</v>
      </c>
      <c r="B39" s="134" t="s">
        <v>347</v>
      </c>
      <c r="C39" s="134" t="s">
        <v>19</v>
      </c>
      <c r="D39" s="134" t="s">
        <v>20</v>
      </c>
      <c r="E39" s="134">
        <v>180</v>
      </c>
      <c r="F39" s="134" t="s">
        <v>77</v>
      </c>
      <c r="G39" s="102">
        <v>45712</v>
      </c>
      <c r="H39" s="134" t="s">
        <v>79</v>
      </c>
      <c r="I39" s="170" t="s">
        <v>1758</v>
      </c>
      <c r="J39" s="170" t="s">
        <v>1759</v>
      </c>
      <c r="K39" s="170"/>
      <c r="L39" s="134"/>
      <c r="M39" s="134"/>
      <c r="N39" s="170"/>
      <c r="O39" s="170" t="s">
        <v>737</v>
      </c>
      <c r="P39" s="5"/>
      <c r="Q39" s="104">
        <f t="shared" si="0"/>
        <v>180</v>
      </c>
      <c r="R39" s="82"/>
      <c r="S39" s="48"/>
      <c r="V39" s="104"/>
    </row>
    <row r="40" spans="1:32" s="83" customFormat="1" ht="58" x14ac:dyDescent="0.35">
      <c r="A40" s="134" t="s">
        <v>27</v>
      </c>
      <c r="B40" s="134" t="s">
        <v>477</v>
      </c>
      <c r="C40" s="134" t="s">
        <v>19</v>
      </c>
      <c r="D40" s="134" t="s">
        <v>20</v>
      </c>
      <c r="E40" s="134">
        <v>178.18</v>
      </c>
      <c r="F40" s="134" t="s">
        <v>77</v>
      </c>
      <c r="G40" s="102">
        <v>45726</v>
      </c>
      <c r="H40" s="134" t="s">
        <v>79</v>
      </c>
      <c r="I40" s="170" t="s">
        <v>92</v>
      </c>
      <c r="J40" s="170" t="s">
        <v>1782</v>
      </c>
      <c r="K40" s="170"/>
      <c r="L40" s="134"/>
      <c r="M40" s="134"/>
      <c r="N40" s="170"/>
      <c r="O40" s="170" t="s">
        <v>606</v>
      </c>
      <c r="P40" s="5"/>
      <c r="Q40" s="104">
        <f t="shared" ref="Q40:Q60" si="1">ABS(E40)</f>
        <v>178.18</v>
      </c>
      <c r="R40" s="48"/>
      <c r="S40" s="48"/>
      <c r="T40"/>
      <c r="U40"/>
      <c r="V40" s="3"/>
      <c r="W40"/>
      <c r="X40"/>
      <c r="Y40"/>
      <c r="Z40"/>
      <c r="AA40"/>
      <c r="AB40"/>
      <c r="AC40"/>
      <c r="AD40"/>
      <c r="AE40"/>
      <c r="AF40"/>
    </row>
    <row r="41" spans="1:32" s="83" customFormat="1" ht="43.5" x14ac:dyDescent="0.35">
      <c r="A41" s="134" t="s">
        <v>27</v>
      </c>
      <c r="B41" s="134" t="s">
        <v>347</v>
      </c>
      <c r="C41" s="134" t="s">
        <v>19</v>
      </c>
      <c r="D41" s="134" t="s">
        <v>20</v>
      </c>
      <c r="E41" s="134">
        <v>174.55</v>
      </c>
      <c r="F41" s="134" t="s">
        <v>77</v>
      </c>
      <c r="G41" s="102">
        <v>45687</v>
      </c>
      <c r="H41" s="134" t="s">
        <v>79</v>
      </c>
      <c r="I41" s="170" t="s">
        <v>158</v>
      </c>
      <c r="J41" s="170" t="s">
        <v>159</v>
      </c>
      <c r="K41" s="170"/>
      <c r="L41" s="134"/>
      <c r="M41" s="134"/>
      <c r="N41" s="170"/>
      <c r="O41" s="170" t="s">
        <v>737</v>
      </c>
      <c r="P41" s="5"/>
      <c r="Q41" s="104">
        <f t="shared" si="1"/>
        <v>174.55</v>
      </c>
      <c r="R41" s="82"/>
      <c r="S41" s="48"/>
      <c r="V41" s="104"/>
    </row>
    <row r="42" spans="1:32" s="83" customFormat="1" ht="29" x14ac:dyDescent="0.35">
      <c r="A42" s="134" t="s">
        <v>27</v>
      </c>
      <c r="B42" s="134" t="s">
        <v>347</v>
      </c>
      <c r="C42" s="134" t="s">
        <v>19</v>
      </c>
      <c r="D42" s="134" t="s">
        <v>20</v>
      </c>
      <c r="E42" s="134">
        <v>145.05000000000001</v>
      </c>
      <c r="F42" s="134" t="s">
        <v>77</v>
      </c>
      <c r="G42" s="102">
        <v>45720</v>
      </c>
      <c r="H42" s="134" t="s">
        <v>79</v>
      </c>
      <c r="I42" s="170" t="s">
        <v>155</v>
      </c>
      <c r="J42" s="170" t="s">
        <v>1764</v>
      </c>
      <c r="K42" s="170"/>
      <c r="L42" s="134"/>
      <c r="M42" s="134"/>
      <c r="N42" s="170"/>
      <c r="O42" s="170" t="s">
        <v>284</v>
      </c>
      <c r="P42" s="5"/>
      <c r="Q42" s="104">
        <f t="shared" si="1"/>
        <v>145.05000000000001</v>
      </c>
      <c r="R42" s="48"/>
      <c r="S42" s="48"/>
      <c r="T42"/>
      <c r="U42"/>
      <c r="V42" s="3"/>
      <c r="W42"/>
      <c r="X42"/>
      <c r="Y42"/>
      <c r="Z42"/>
      <c r="AA42"/>
      <c r="AB42"/>
      <c r="AC42"/>
      <c r="AD42"/>
      <c r="AE42"/>
      <c r="AF42"/>
    </row>
    <row r="43" spans="1:32" s="83" customFormat="1" ht="72.5" x14ac:dyDescent="0.35">
      <c r="A43" s="134" t="s">
        <v>27</v>
      </c>
      <c r="B43" s="134" t="s">
        <v>363</v>
      </c>
      <c r="C43" s="134" t="s">
        <v>19</v>
      </c>
      <c r="D43" s="134" t="s">
        <v>20</v>
      </c>
      <c r="E43" s="134">
        <v>127.27</v>
      </c>
      <c r="F43" s="134" t="s">
        <v>77</v>
      </c>
      <c r="G43" s="102">
        <v>45674</v>
      </c>
      <c r="H43" s="134" t="s">
        <v>79</v>
      </c>
      <c r="I43" s="170" t="s">
        <v>1741</v>
      </c>
      <c r="J43" s="170" t="s">
        <v>1742</v>
      </c>
      <c r="K43" s="170"/>
      <c r="L43" s="134"/>
      <c r="M43" s="134"/>
      <c r="N43" s="170"/>
      <c r="O43" s="170" t="s">
        <v>349</v>
      </c>
      <c r="P43" s="5"/>
      <c r="Q43" s="104">
        <f t="shared" si="1"/>
        <v>127.27</v>
      </c>
      <c r="R43" s="48"/>
      <c r="S43" s="82"/>
      <c r="T43"/>
      <c r="U43"/>
      <c r="V43" s="3"/>
      <c r="W43"/>
      <c r="X43"/>
      <c r="Y43"/>
      <c r="Z43"/>
      <c r="AA43"/>
      <c r="AB43"/>
      <c r="AC43"/>
      <c r="AD43"/>
      <c r="AE43"/>
      <c r="AF43"/>
    </row>
    <row r="44" spans="1:32" s="83" customFormat="1" ht="72.5" x14ac:dyDescent="0.35">
      <c r="A44" s="134" t="s">
        <v>27</v>
      </c>
      <c r="B44" s="134" t="s">
        <v>363</v>
      </c>
      <c r="C44" s="134" t="s">
        <v>19</v>
      </c>
      <c r="D44" s="134" t="s">
        <v>20</v>
      </c>
      <c r="E44" s="134">
        <v>-127.27</v>
      </c>
      <c r="F44" s="134" t="s">
        <v>77</v>
      </c>
      <c r="G44" s="102">
        <v>45685</v>
      </c>
      <c r="H44" s="134" t="s">
        <v>79</v>
      </c>
      <c r="I44" s="170" t="s">
        <v>1741</v>
      </c>
      <c r="J44" s="170" t="s">
        <v>1747</v>
      </c>
      <c r="K44" s="170"/>
      <c r="L44" s="134"/>
      <c r="M44" s="134"/>
      <c r="N44" s="170"/>
      <c r="O44" s="170" t="s">
        <v>349</v>
      </c>
      <c r="P44" s="5"/>
      <c r="Q44" s="104">
        <f t="shared" si="1"/>
        <v>127.27</v>
      </c>
      <c r="R44" s="82"/>
      <c r="S44" s="48"/>
      <c r="V44" s="104"/>
    </row>
    <row r="45" spans="1:32" s="83" customFormat="1" ht="29" x14ac:dyDescent="0.35">
      <c r="A45" s="134" t="s">
        <v>27</v>
      </c>
      <c r="B45" s="134" t="s">
        <v>347</v>
      </c>
      <c r="C45" s="134" t="s">
        <v>19</v>
      </c>
      <c r="D45" s="134" t="s">
        <v>20</v>
      </c>
      <c r="E45" s="134">
        <v>119.93</v>
      </c>
      <c r="F45" s="134" t="s">
        <v>77</v>
      </c>
      <c r="G45" s="102">
        <v>45740</v>
      </c>
      <c r="H45" s="134" t="s">
        <v>79</v>
      </c>
      <c r="I45" s="170" t="s">
        <v>157</v>
      </c>
      <c r="J45" s="170" t="s">
        <v>1796</v>
      </c>
      <c r="K45" s="170"/>
      <c r="L45" s="134"/>
      <c r="M45" s="134"/>
      <c r="N45" s="170"/>
      <c r="O45" s="170" t="s">
        <v>1797</v>
      </c>
      <c r="P45" s="5"/>
      <c r="Q45" s="104">
        <f t="shared" si="1"/>
        <v>119.93</v>
      </c>
      <c r="R45" s="82"/>
      <c r="S45" s="48"/>
      <c r="T45"/>
      <c r="U45"/>
      <c r="V45" s="3"/>
    </row>
    <row r="46" spans="1:32" s="83" customFormat="1" ht="29" x14ac:dyDescent="0.35">
      <c r="A46" s="134" t="s">
        <v>27</v>
      </c>
      <c r="B46" s="134" t="s">
        <v>626</v>
      </c>
      <c r="C46" s="134" t="s">
        <v>19</v>
      </c>
      <c r="D46" s="134" t="s">
        <v>20</v>
      </c>
      <c r="E46" s="134">
        <v>108</v>
      </c>
      <c r="F46" s="134" t="s">
        <v>77</v>
      </c>
      <c r="G46" s="102">
        <v>45664</v>
      </c>
      <c r="H46" s="134" t="s">
        <v>78</v>
      </c>
      <c r="I46" s="170" t="s">
        <v>1730</v>
      </c>
      <c r="J46" s="170"/>
      <c r="K46" s="170" t="s">
        <v>1740</v>
      </c>
      <c r="L46" s="134" t="s">
        <v>1732</v>
      </c>
      <c r="M46" s="134" t="s">
        <v>1733</v>
      </c>
      <c r="N46" s="170"/>
      <c r="O46" s="170"/>
      <c r="P46" s="5"/>
      <c r="Q46" s="104">
        <f t="shared" si="1"/>
        <v>108</v>
      </c>
      <c r="R46" s="48"/>
      <c r="S46" s="48" t="s">
        <v>1806</v>
      </c>
      <c r="T46"/>
      <c r="U46"/>
      <c r="V46" s="3"/>
      <c r="W46"/>
      <c r="X46"/>
      <c r="Y46"/>
      <c r="Z46"/>
      <c r="AA46"/>
      <c r="AB46"/>
      <c r="AC46"/>
      <c r="AD46"/>
      <c r="AE46"/>
      <c r="AF46"/>
    </row>
    <row r="47" spans="1:32" s="83" customFormat="1" ht="29" x14ac:dyDescent="0.35">
      <c r="A47" s="134" t="s">
        <v>27</v>
      </c>
      <c r="B47" s="134" t="s">
        <v>626</v>
      </c>
      <c r="C47" s="134" t="s">
        <v>19</v>
      </c>
      <c r="D47" s="134" t="s">
        <v>20</v>
      </c>
      <c r="E47" s="134">
        <v>96.49</v>
      </c>
      <c r="F47" s="134" t="s">
        <v>77</v>
      </c>
      <c r="G47" s="102">
        <v>45664</v>
      </c>
      <c r="H47" s="134" t="s">
        <v>78</v>
      </c>
      <c r="I47" s="170" t="s">
        <v>1730</v>
      </c>
      <c r="J47" s="170"/>
      <c r="K47" s="170" t="s">
        <v>1731</v>
      </c>
      <c r="L47" s="134" t="s">
        <v>1732</v>
      </c>
      <c r="M47" s="134" t="s">
        <v>1733</v>
      </c>
      <c r="N47" s="170"/>
      <c r="O47" s="170"/>
      <c r="P47" s="5"/>
      <c r="Q47" s="104">
        <f t="shared" si="1"/>
        <v>96.49</v>
      </c>
      <c r="R47" s="48"/>
      <c r="S47" s="48" t="s">
        <v>1806</v>
      </c>
      <c r="T47"/>
      <c r="U47"/>
      <c r="V47" s="3"/>
      <c r="W47"/>
      <c r="X47"/>
      <c r="Y47"/>
      <c r="Z47"/>
      <c r="AA47"/>
      <c r="AB47"/>
      <c r="AC47"/>
      <c r="AD47"/>
      <c r="AE47"/>
      <c r="AF47"/>
    </row>
    <row r="48" spans="1:32" s="83" customFormat="1" ht="29" x14ac:dyDescent="0.35">
      <c r="A48" s="134" t="s">
        <v>27</v>
      </c>
      <c r="B48" s="134" t="s">
        <v>347</v>
      </c>
      <c r="C48" s="134" t="s">
        <v>19</v>
      </c>
      <c r="D48" s="134" t="s">
        <v>20</v>
      </c>
      <c r="E48" s="134">
        <v>65.290000000000006</v>
      </c>
      <c r="F48" s="134" t="s">
        <v>77</v>
      </c>
      <c r="G48" s="102">
        <v>45740</v>
      </c>
      <c r="H48" s="134" t="s">
        <v>79</v>
      </c>
      <c r="I48" s="170" t="s">
        <v>157</v>
      </c>
      <c r="J48" s="170" t="s">
        <v>605</v>
      </c>
      <c r="K48" s="170"/>
      <c r="L48" s="134"/>
      <c r="M48" s="134"/>
      <c r="N48" s="170"/>
      <c r="O48" s="170" t="s">
        <v>639</v>
      </c>
      <c r="P48" s="5"/>
      <c r="Q48" s="104">
        <f t="shared" si="1"/>
        <v>65.290000000000006</v>
      </c>
      <c r="R48" s="82"/>
      <c r="S48" s="48"/>
      <c r="V48" s="104"/>
    </row>
    <row r="49" spans="1:32" s="83" customFormat="1" ht="29" x14ac:dyDescent="0.35">
      <c r="A49" s="134" t="s">
        <v>27</v>
      </c>
      <c r="B49" s="134" t="s">
        <v>626</v>
      </c>
      <c r="C49" s="134" t="s">
        <v>19</v>
      </c>
      <c r="D49" s="134" t="s">
        <v>20</v>
      </c>
      <c r="E49" s="134">
        <v>42</v>
      </c>
      <c r="F49" s="134" t="s">
        <v>77</v>
      </c>
      <c r="G49" s="102">
        <v>45664</v>
      </c>
      <c r="H49" s="134" t="s">
        <v>78</v>
      </c>
      <c r="I49" s="170" t="s">
        <v>1730</v>
      </c>
      <c r="J49" s="170"/>
      <c r="K49" s="170" t="s">
        <v>1739</v>
      </c>
      <c r="L49" s="134" t="s">
        <v>1732</v>
      </c>
      <c r="M49" s="134" t="s">
        <v>1733</v>
      </c>
      <c r="N49" s="170"/>
      <c r="O49" s="170"/>
      <c r="P49" s="5"/>
      <c r="Q49" s="104">
        <f t="shared" si="1"/>
        <v>42</v>
      </c>
      <c r="R49" s="82"/>
      <c r="S49" s="48" t="s">
        <v>1806</v>
      </c>
      <c r="V49" s="104"/>
    </row>
    <row r="50" spans="1:32" s="83" customFormat="1" ht="29" x14ac:dyDescent="0.35">
      <c r="A50" s="134" t="s">
        <v>27</v>
      </c>
      <c r="B50" s="134" t="s">
        <v>626</v>
      </c>
      <c r="C50" s="134" t="s">
        <v>19</v>
      </c>
      <c r="D50" s="134" t="s">
        <v>20</v>
      </c>
      <c r="E50" s="134">
        <v>31</v>
      </c>
      <c r="F50" s="134" t="s">
        <v>77</v>
      </c>
      <c r="G50" s="102">
        <v>45664</v>
      </c>
      <c r="H50" s="134" t="s">
        <v>78</v>
      </c>
      <c r="I50" s="170" t="s">
        <v>1730</v>
      </c>
      <c r="J50" s="170"/>
      <c r="K50" s="170" t="s">
        <v>1737</v>
      </c>
      <c r="L50" s="134" t="s">
        <v>1732</v>
      </c>
      <c r="M50" s="134" t="s">
        <v>1733</v>
      </c>
      <c r="N50" s="170"/>
      <c r="O50" s="170"/>
      <c r="P50" s="5"/>
      <c r="Q50" s="104">
        <f t="shared" si="1"/>
        <v>31</v>
      </c>
      <c r="R50" s="82"/>
      <c r="S50" s="48" t="s">
        <v>1806</v>
      </c>
      <c r="V50" s="104"/>
    </row>
    <row r="51" spans="1:32" s="83" customFormat="1" ht="29" x14ac:dyDescent="0.35">
      <c r="A51" s="134" t="s">
        <v>27</v>
      </c>
      <c r="B51" s="134" t="s">
        <v>626</v>
      </c>
      <c r="C51" s="134" t="s">
        <v>19</v>
      </c>
      <c r="D51" s="134" t="s">
        <v>20</v>
      </c>
      <c r="E51" s="134">
        <v>29</v>
      </c>
      <c r="F51" s="134" t="s">
        <v>77</v>
      </c>
      <c r="G51" s="102">
        <v>45664</v>
      </c>
      <c r="H51" s="134" t="s">
        <v>78</v>
      </c>
      <c r="I51" s="170" t="s">
        <v>1730</v>
      </c>
      <c r="J51" s="170"/>
      <c r="K51" s="170" t="s">
        <v>1735</v>
      </c>
      <c r="L51" s="134" t="s">
        <v>1732</v>
      </c>
      <c r="M51" s="134" t="s">
        <v>1733</v>
      </c>
      <c r="N51" s="170"/>
      <c r="O51" s="170"/>
      <c r="P51" s="5"/>
      <c r="Q51" s="104">
        <f t="shared" si="1"/>
        <v>29</v>
      </c>
      <c r="R51" s="48"/>
      <c r="S51" s="48" t="s">
        <v>1806</v>
      </c>
      <c r="T51"/>
      <c r="U51"/>
      <c r="V51" s="3"/>
      <c r="W51"/>
      <c r="X51"/>
      <c r="Y51"/>
      <c r="Z51"/>
      <c r="AA51"/>
      <c r="AB51"/>
      <c r="AC51"/>
      <c r="AD51"/>
      <c r="AE51"/>
      <c r="AF51"/>
    </row>
    <row r="52" spans="1:32" s="83" customFormat="1" ht="29" x14ac:dyDescent="0.35">
      <c r="A52" s="134" t="s">
        <v>27</v>
      </c>
      <c r="B52" s="134" t="s">
        <v>626</v>
      </c>
      <c r="C52" s="134" t="s">
        <v>19</v>
      </c>
      <c r="D52" s="134" t="s">
        <v>20</v>
      </c>
      <c r="E52" s="134">
        <v>26</v>
      </c>
      <c r="F52" s="134" t="s">
        <v>77</v>
      </c>
      <c r="G52" s="102">
        <v>45664</v>
      </c>
      <c r="H52" s="134" t="s">
        <v>78</v>
      </c>
      <c r="I52" s="170" t="s">
        <v>1730</v>
      </c>
      <c r="J52" s="170"/>
      <c r="K52" s="170" t="s">
        <v>1738</v>
      </c>
      <c r="L52" s="134" t="s">
        <v>1732</v>
      </c>
      <c r="M52" s="134" t="s">
        <v>1733</v>
      </c>
      <c r="N52" s="170"/>
      <c r="O52" s="170"/>
      <c r="P52" s="5"/>
      <c r="Q52" s="104">
        <f t="shared" si="1"/>
        <v>26</v>
      </c>
      <c r="R52" s="82"/>
      <c r="S52" s="48" t="s">
        <v>1806</v>
      </c>
      <c r="V52" s="104"/>
    </row>
    <row r="53" spans="1:32" s="83" customFormat="1" ht="58" x14ac:dyDescent="0.35">
      <c r="A53" s="134" t="s">
        <v>27</v>
      </c>
      <c r="B53" s="134" t="s">
        <v>422</v>
      </c>
      <c r="C53" s="134" t="s">
        <v>19</v>
      </c>
      <c r="D53" s="134" t="s">
        <v>20</v>
      </c>
      <c r="E53" s="134">
        <v>24.14</v>
      </c>
      <c r="F53" s="134" t="s">
        <v>77</v>
      </c>
      <c r="G53" s="102">
        <v>45727</v>
      </c>
      <c r="H53" s="134" t="s">
        <v>79</v>
      </c>
      <c r="I53" s="170" t="s">
        <v>1783</v>
      </c>
      <c r="J53" s="170" t="s">
        <v>1784</v>
      </c>
      <c r="K53" s="170"/>
      <c r="L53" s="134"/>
      <c r="M53" s="134"/>
      <c r="N53" s="170"/>
      <c r="O53" s="170" t="s">
        <v>1785</v>
      </c>
      <c r="P53" s="5"/>
      <c r="Q53" s="104">
        <f t="shared" si="1"/>
        <v>24.14</v>
      </c>
      <c r="R53" s="48"/>
      <c r="S53" s="48"/>
      <c r="T53"/>
      <c r="U53"/>
      <c r="V53" s="3"/>
      <c r="W53"/>
      <c r="X53"/>
      <c r="Y53"/>
      <c r="Z53"/>
      <c r="AA53"/>
      <c r="AB53"/>
      <c r="AC53"/>
      <c r="AD53"/>
      <c r="AE53"/>
      <c r="AF53"/>
    </row>
    <row r="54" spans="1:32" s="83" customFormat="1" ht="29" x14ac:dyDescent="0.35">
      <c r="A54" s="134" t="s">
        <v>27</v>
      </c>
      <c r="B54" s="134" t="s">
        <v>347</v>
      </c>
      <c r="C54" s="134" t="s">
        <v>19</v>
      </c>
      <c r="D54" s="134" t="s">
        <v>20</v>
      </c>
      <c r="E54" s="134">
        <v>22.73</v>
      </c>
      <c r="F54" s="134" t="s">
        <v>77</v>
      </c>
      <c r="G54" s="102">
        <v>45740</v>
      </c>
      <c r="H54" s="134" t="s">
        <v>79</v>
      </c>
      <c r="I54" s="170" t="s">
        <v>155</v>
      </c>
      <c r="J54" s="170" t="s">
        <v>1798</v>
      </c>
      <c r="K54" s="170"/>
      <c r="L54" s="134"/>
      <c r="M54" s="134"/>
      <c r="N54" s="170"/>
      <c r="O54" s="170" t="s">
        <v>300</v>
      </c>
      <c r="P54" s="5"/>
      <c r="Q54" s="104">
        <f t="shared" si="1"/>
        <v>22.73</v>
      </c>
      <c r="R54" s="82"/>
      <c r="S54" s="48"/>
      <c r="V54" s="104"/>
    </row>
    <row r="55" spans="1:32" s="83" customFormat="1" ht="29" x14ac:dyDescent="0.35">
      <c r="A55" s="134" t="s">
        <v>27</v>
      </c>
      <c r="B55" s="134" t="s">
        <v>626</v>
      </c>
      <c r="C55" s="134" t="s">
        <v>19</v>
      </c>
      <c r="D55" s="134" t="s">
        <v>20</v>
      </c>
      <c r="E55" s="134">
        <v>21</v>
      </c>
      <c r="F55" s="134" t="s">
        <v>77</v>
      </c>
      <c r="G55" s="102">
        <v>45664</v>
      </c>
      <c r="H55" s="134" t="s">
        <v>78</v>
      </c>
      <c r="I55" s="170" t="s">
        <v>1730</v>
      </c>
      <c r="J55" s="170"/>
      <c r="K55" s="170" t="s">
        <v>1736</v>
      </c>
      <c r="L55" s="134" t="s">
        <v>1732</v>
      </c>
      <c r="M55" s="134" t="s">
        <v>1733</v>
      </c>
      <c r="N55" s="170"/>
      <c r="O55" s="170"/>
      <c r="P55" s="5"/>
      <c r="Q55" s="104">
        <f t="shared" si="1"/>
        <v>21</v>
      </c>
      <c r="R55" s="48"/>
      <c r="S55" s="48" t="s">
        <v>1806</v>
      </c>
      <c r="T55"/>
      <c r="U55"/>
      <c r="V55" s="3"/>
      <c r="W55"/>
      <c r="X55"/>
      <c r="Y55"/>
      <c r="Z55"/>
      <c r="AA55"/>
      <c r="AB55"/>
      <c r="AC55"/>
      <c r="AD55"/>
      <c r="AE55"/>
      <c r="AF55"/>
    </row>
    <row r="56" spans="1:32" s="83" customFormat="1" ht="58" x14ac:dyDescent="0.35">
      <c r="A56" s="134" t="s">
        <v>27</v>
      </c>
      <c r="B56" s="134" t="s">
        <v>327</v>
      </c>
      <c r="C56" s="134" t="s">
        <v>19</v>
      </c>
      <c r="D56" s="134" t="s">
        <v>20</v>
      </c>
      <c r="E56" s="134">
        <v>17.91</v>
      </c>
      <c r="F56" s="134" t="s">
        <v>77</v>
      </c>
      <c r="G56" s="102">
        <v>45723</v>
      </c>
      <c r="H56" s="134" t="s">
        <v>79</v>
      </c>
      <c r="I56" s="170" t="s">
        <v>1773</v>
      </c>
      <c r="J56" s="170" t="s">
        <v>1774</v>
      </c>
      <c r="K56" s="170"/>
      <c r="L56" s="134"/>
      <c r="M56" s="134"/>
      <c r="N56" s="170"/>
      <c r="O56" s="170" t="s">
        <v>1775</v>
      </c>
      <c r="P56" s="5"/>
      <c r="Q56" s="104">
        <f t="shared" si="1"/>
        <v>17.91</v>
      </c>
      <c r="R56" s="82"/>
      <c r="S56" s="48"/>
      <c r="V56" s="104"/>
    </row>
    <row r="57" spans="1:32" s="83" customFormat="1" ht="43.5" x14ac:dyDescent="0.35">
      <c r="A57" s="134" t="s">
        <v>27</v>
      </c>
      <c r="B57" s="134" t="s">
        <v>477</v>
      </c>
      <c r="C57" s="134" t="s">
        <v>19</v>
      </c>
      <c r="D57" s="134" t="s">
        <v>20</v>
      </c>
      <c r="E57" s="134">
        <v>17.82</v>
      </c>
      <c r="F57" s="134" t="s">
        <v>77</v>
      </c>
      <c r="G57" s="102">
        <v>45726</v>
      </c>
      <c r="H57" s="134" t="s">
        <v>79</v>
      </c>
      <c r="I57" s="170" t="s">
        <v>229</v>
      </c>
      <c r="J57" s="170" t="s">
        <v>1779</v>
      </c>
      <c r="K57" s="170"/>
      <c r="L57" s="134"/>
      <c r="M57" s="134"/>
      <c r="N57" s="170"/>
      <c r="O57" s="170" t="s">
        <v>1780</v>
      </c>
      <c r="P57" s="5"/>
      <c r="Q57" s="104">
        <f t="shared" si="1"/>
        <v>17.82</v>
      </c>
      <c r="R57" s="48"/>
      <c r="S57" s="48"/>
      <c r="T57"/>
      <c r="U57"/>
      <c r="V57" s="3"/>
      <c r="W57"/>
      <c r="X57"/>
      <c r="Y57"/>
      <c r="Z57"/>
      <c r="AA57"/>
      <c r="AB57"/>
      <c r="AC57"/>
      <c r="AD57"/>
      <c r="AE57"/>
      <c r="AF57"/>
    </row>
    <row r="58" spans="1:32" s="83" customFormat="1" ht="29" x14ac:dyDescent="0.35">
      <c r="A58" s="134" t="s">
        <v>27</v>
      </c>
      <c r="B58" s="134" t="s">
        <v>626</v>
      </c>
      <c r="C58" s="134" t="s">
        <v>19</v>
      </c>
      <c r="D58" s="134" t="s">
        <v>20</v>
      </c>
      <c r="E58" s="134">
        <v>17.5</v>
      </c>
      <c r="F58" s="134" t="s">
        <v>77</v>
      </c>
      <c r="G58" s="102">
        <v>45664</v>
      </c>
      <c r="H58" s="134" t="s">
        <v>78</v>
      </c>
      <c r="I58" s="170" t="s">
        <v>1730</v>
      </c>
      <c r="J58" s="170"/>
      <c r="K58" s="170" t="s">
        <v>1734</v>
      </c>
      <c r="L58" s="134" t="s">
        <v>1732</v>
      </c>
      <c r="M58" s="134" t="s">
        <v>1733</v>
      </c>
      <c r="N58" s="170"/>
      <c r="O58" s="170"/>
      <c r="P58" s="5"/>
      <c r="Q58" s="104">
        <f t="shared" si="1"/>
        <v>17.5</v>
      </c>
      <c r="R58" s="48"/>
      <c r="S58" s="48" t="s">
        <v>1806</v>
      </c>
      <c r="T58"/>
      <c r="U58"/>
      <c r="V58" s="3"/>
      <c r="W58"/>
      <c r="X58"/>
      <c r="Y58"/>
      <c r="Z58"/>
      <c r="AA58"/>
      <c r="AB58"/>
      <c r="AC58"/>
      <c r="AD58"/>
      <c r="AE58"/>
      <c r="AF58"/>
    </row>
    <row r="59" spans="1:32" s="83" customFormat="1" ht="29" x14ac:dyDescent="0.35">
      <c r="A59" s="134" t="s">
        <v>27</v>
      </c>
      <c r="B59" s="134" t="s">
        <v>408</v>
      </c>
      <c r="C59" s="134" t="s">
        <v>19</v>
      </c>
      <c r="D59" s="134" t="s">
        <v>20</v>
      </c>
      <c r="E59" s="134">
        <v>7.95</v>
      </c>
      <c r="F59" s="134" t="s">
        <v>77</v>
      </c>
      <c r="G59" s="102">
        <v>45705</v>
      </c>
      <c r="H59" s="134" t="s">
        <v>79</v>
      </c>
      <c r="I59" s="170" t="s">
        <v>157</v>
      </c>
      <c r="J59" s="170" t="s">
        <v>1753</v>
      </c>
      <c r="K59" s="170"/>
      <c r="L59" s="134"/>
      <c r="M59" s="134"/>
      <c r="N59" s="170"/>
      <c r="O59" s="170" t="s">
        <v>414</v>
      </c>
      <c r="P59" s="5"/>
      <c r="Q59" s="104">
        <f t="shared" si="1"/>
        <v>7.95</v>
      </c>
      <c r="R59" s="48"/>
      <c r="S59" s="48"/>
      <c r="T59"/>
      <c r="U59"/>
      <c r="V59" s="3"/>
      <c r="W59"/>
      <c r="X59"/>
      <c r="Y59"/>
      <c r="Z59"/>
      <c r="AA59"/>
      <c r="AB59"/>
      <c r="AC59"/>
      <c r="AD59"/>
      <c r="AE59"/>
      <c r="AF59"/>
    </row>
    <row r="60" spans="1:32" s="83" customFormat="1" ht="58" x14ac:dyDescent="0.35">
      <c r="A60" s="134" t="s">
        <v>27</v>
      </c>
      <c r="B60" s="134" t="s">
        <v>407</v>
      </c>
      <c r="C60" s="134" t="s">
        <v>19</v>
      </c>
      <c r="D60" s="134" t="s">
        <v>20</v>
      </c>
      <c r="E60" s="134">
        <v>4.09</v>
      </c>
      <c r="F60" s="134" t="s">
        <v>77</v>
      </c>
      <c r="G60" s="102">
        <v>45740</v>
      </c>
      <c r="H60" s="134" t="s">
        <v>79</v>
      </c>
      <c r="I60" s="170" t="s">
        <v>489</v>
      </c>
      <c r="J60" s="170" t="s">
        <v>1799</v>
      </c>
      <c r="K60" s="170"/>
      <c r="L60" s="134"/>
      <c r="M60" s="134"/>
      <c r="N60" s="170"/>
      <c r="O60" s="170" t="s">
        <v>1800</v>
      </c>
      <c r="P60" s="5"/>
      <c r="Q60" s="104">
        <f t="shared" si="1"/>
        <v>4.09</v>
      </c>
      <c r="R60" s="48"/>
      <c r="S60" s="48"/>
      <c r="T60"/>
      <c r="U60"/>
      <c r="V60" s="3"/>
      <c r="W60"/>
      <c r="X60"/>
      <c r="Y60"/>
      <c r="Z60"/>
      <c r="AA60"/>
      <c r="AB60"/>
      <c r="AC60"/>
      <c r="AD60"/>
      <c r="AE60"/>
      <c r="AF60"/>
    </row>
    <row r="61" spans="1:32" s="83" customFormat="1" x14ac:dyDescent="0.35">
      <c r="A61"/>
      <c r="B61"/>
      <c r="C61"/>
      <c r="D61" s="3"/>
      <c r="E61" s="103"/>
      <c r="F61"/>
      <c r="G61" s="102"/>
      <c r="H61" s="48"/>
      <c r="I61" s="48"/>
      <c r="J61" s="48"/>
      <c r="K61" s="48"/>
      <c r="L61"/>
      <c r="M61"/>
      <c r="N61" s="48"/>
      <c r="O61" s="48"/>
      <c r="P61" s="5"/>
      <c r="Q61" s="104"/>
      <c r="R61" s="48"/>
      <c r="S61" s="48"/>
      <c r="T61"/>
      <c r="U61"/>
      <c r="V61" s="3"/>
      <c r="W61"/>
      <c r="X61"/>
      <c r="Y61"/>
      <c r="Z61"/>
      <c r="AA61"/>
      <c r="AB61"/>
      <c r="AC61"/>
      <c r="AD61"/>
      <c r="AE61"/>
      <c r="AF61"/>
    </row>
    <row r="62" spans="1:32" s="83" customFormat="1" x14ac:dyDescent="0.35">
      <c r="A62"/>
      <c r="B62"/>
      <c r="C62"/>
      <c r="D62" s="3"/>
      <c r="E62" s="103"/>
      <c r="F62"/>
      <c r="G62" s="102"/>
      <c r="H62" s="48"/>
      <c r="I62" s="48"/>
      <c r="J62" s="48"/>
      <c r="K62" s="48"/>
      <c r="L62"/>
      <c r="M62"/>
      <c r="N62" s="48"/>
      <c r="O62" s="48"/>
      <c r="P62" s="5"/>
      <c r="Q62" s="104"/>
      <c r="R62" s="48"/>
      <c r="S62" s="48"/>
      <c r="T62"/>
      <c r="U62"/>
      <c r="V62" s="3"/>
      <c r="W62"/>
      <c r="X62"/>
      <c r="Y62"/>
      <c r="Z62"/>
      <c r="AA62"/>
      <c r="AB62"/>
      <c r="AC62"/>
      <c r="AD62"/>
      <c r="AE62"/>
      <c r="AF62"/>
    </row>
    <row r="63" spans="1:32" s="83" customFormat="1" x14ac:dyDescent="0.35">
      <c r="A63" s="106"/>
      <c r="B63" s="106"/>
      <c r="C63" s="106"/>
      <c r="D63" s="107"/>
      <c r="E63" s="108"/>
      <c r="F63" s="106"/>
      <c r="G63" s="102"/>
      <c r="H63" s="105"/>
      <c r="I63" s="105"/>
      <c r="J63" s="105"/>
      <c r="K63" s="105"/>
      <c r="L63" s="106"/>
      <c r="M63" s="106"/>
      <c r="N63" s="105"/>
      <c r="O63" s="105"/>
      <c r="P63" s="5"/>
      <c r="Q63" s="104"/>
      <c r="R63" s="82"/>
      <c r="S63" s="48"/>
      <c r="T63"/>
      <c r="U63"/>
      <c r="V63" s="3"/>
    </row>
    <row r="64" spans="1:32" x14ac:dyDescent="0.35">
      <c r="G64" s="102"/>
      <c r="Q64" s="104"/>
    </row>
    <row r="65" spans="1:32" x14ac:dyDescent="0.35">
      <c r="G65" s="102"/>
      <c r="Q65" s="104"/>
    </row>
    <row r="66" spans="1:32" x14ac:dyDescent="0.35">
      <c r="G66" s="102"/>
      <c r="Q66" s="104"/>
    </row>
    <row r="67" spans="1:32" x14ac:dyDescent="0.35">
      <c r="G67" s="102"/>
      <c r="Q67" s="104"/>
    </row>
    <row r="68" spans="1:32" x14ac:dyDescent="0.35">
      <c r="G68" s="102"/>
      <c r="Q68" s="104"/>
    </row>
    <row r="69" spans="1:32" x14ac:dyDescent="0.35">
      <c r="G69" s="102"/>
      <c r="Q69" s="104"/>
    </row>
    <row r="70" spans="1:32" x14ac:dyDescent="0.35">
      <c r="G70" s="102"/>
      <c r="Q70" s="104"/>
    </row>
    <row r="71" spans="1:32" x14ac:dyDescent="0.35">
      <c r="G71" s="102"/>
      <c r="Q71" s="104"/>
    </row>
    <row r="72" spans="1:32" x14ac:dyDescent="0.35">
      <c r="G72" s="102"/>
      <c r="Q72" s="104"/>
    </row>
    <row r="73" spans="1:32" x14ac:dyDescent="0.35">
      <c r="G73" s="102"/>
      <c r="Q73" s="104"/>
    </row>
    <row r="74" spans="1:32" x14ac:dyDescent="0.35">
      <c r="G74" s="102"/>
      <c r="Q74" s="104"/>
    </row>
    <row r="75" spans="1:32" x14ac:dyDescent="0.35">
      <c r="G75" s="102"/>
      <c r="Q75" s="104"/>
    </row>
    <row r="76" spans="1:32" x14ac:dyDescent="0.35">
      <c r="G76" s="102"/>
      <c r="Q76" s="104"/>
    </row>
    <row r="77" spans="1:32" x14ac:dyDescent="0.35">
      <c r="G77" s="102"/>
      <c r="Q77" s="104"/>
    </row>
    <row r="78" spans="1:32" x14ac:dyDescent="0.35">
      <c r="G78" s="102"/>
      <c r="Q78" s="104"/>
    </row>
    <row r="79" spans="1:32" x14ac:dyDescent="0.35">
      <c r="A79" s="106"/>
      <c r="B79" s="106"/>
      <c r="C79" s="106"/>
      <c r="D79" s="107"/>
      <c r="E79" s="108"/>
      <c r="F79" s="106"/>
      <c r="G79" s="102"/>
      <c r="H79" s="105"/>
      <c r="I79" s="105"/>
      <c r="J79" s="105"/>
      <c r="K79" s="105"/>
      <c r="L79" s="106"/>
      <c r="M79" s="106"/>
      <c r="N79" s="105"/>
      <c r="O79" s="105"/>
      <c r="Q79" s="104"/>
      <c r="R79" s="82"/>
      <c r="T79" s="83"/>
      <c r="U79" s="83"/>
      <c r="V79" s="104"/>
      <c r="W79" s="83"/>
      <c r="X79" s="83"/>
      <c r="Y79" s="83"/>
      <c r="Z79" s="83"/>
      <c r="AA79" s="83"/>
      <c r="AB79" s="83"/>
      <c r="AC79" s="83"/>
      <c r="AD79" s="83"/>
      <c r="AE79" s="83"/>
      <c r="AF79" s="83"/>
    </row>
    <row r="80" spans="1:32" x14ac:dyDescent="0.35">
      <c r="G80" s="102"/>
      <c r="Q80" s="104"/>
    </row>
    <row r="81" spans="1:32" x14ac:dyDescent="0.35">
      <c r="G81" s="102"/>
      <c r="Q81" s="104"/>
    </row>
    <row r="82" spans="1:32" x14ac:dyDescent="0.35">
      <c r="G82" s="102"/>
      <c r="Q82" s="104"/>
    </row>
    <row r="83" spans="1:32" x14ac:dyDescent="0.35">
      <c r="A83" s="106"/>
      <c r="B83" s="106"/>
      <c r="C83" s="106"/>
      <c r="D83" s="107"/>
      <c r="E83" s="108"/>
      <c r="F83" s="106"/>
      <c r="G83" s="102"/>
      <c r="H83" s="105"/>
      <c r="I83" s="105"/>
      <c r="J83" s="105"/>
      <c r="K83" s="105"/>
      <c r="L83" s="106"/>
      <c r="M83" s="106"/>
      <c r="N83" s="105"/>
      <c r="O83" s="105"/>
      <c r="Q83" s="104"/>
      <c r="R83" s="82"/>
      <c r="T83" s="83"/>
      <c r="U83" s="83"/>
      <c r="V83" s="104"/>
      <c r="W83" s="83"/>
      <c r="X83" s="83"/>
      <c r="Y83" s="83"/>
      <c r="Z83" s="83"/>
      <c r="AA83" s="83"/>
      <c r="AB83" s="83"/>
      <c r="AC83" s="83"/>
      <c r="AD83" s="83"/>
      <c r="AE83" s="83"/>
      <c r="AF83" s="83"/>
    </row>
    <row r="84" spans="1:32" x14ac:dyDescent="0.35">
      <c r="A84" s="83"/>
      <c r="B84" s="83"/>
      <c r="C84" s="83"/>
      <c r="D84" s="104"/>
      <c r="E84" s="109"/>
      <c r="F84" s="83"/>
      <c r="G84" s="102"/>
      <c r="H84" s="82"/>
      <c r="I84" s="82"/>
      <c r="J84" s="82"/>
      <c r="K84" s="82"/>
      <c r="L84" s="83"/>
      <c r="M84" s="83"/>
      <c r="N84" s="82"/>
      <c r="O84" s="82"/>
      <c r="Q84" s="104"/>
      <c r="R84" s="82"/>
      <c r="T84" s="83"/>
      <c r="U84" s="83"/>
      <c r="V84" s="104"/>
      <c r="W84" s="83"/>
      <c r="X84" s="83"/>
      <c r="Y84" s="83"/>
      <c r="Z84" s="83"/>
      <c r="AA84" s="83"/>
      <c r="AB84" s="83"/>
      <c r="AC84" s="83"/>
      <c r="AD84" s="83"/>
      <c r="AE84" s="83"/>
      <c r="AF84" s="83"/>
    </row>
    <row r="85" spans="1:32" x14ac:dyDescent="0.35">
      <c r="G85" s="102"/>
      <c r="Q85" s="104"/>
    </row>
    <row r="86" spans="1:32" x14ac:dyDescent="0.35">
      <c r="G86" s="102"/>
      <c r="Q86" s="104"/>
    </row>
    <row r="87" spans="1:32" x14ac:dyDescent="0.35">
      <c r="G87" s="102"/>
      <c r="Q87" s="104"/>
    </row>
    <row r="88" spans="1:32" x14ac:dyDescent="0.35">
      <c r="A88" s="106"/>
      <c r="B88" s="106"/>
      <c r="C88" s="106"/>
      <c r="D88" s="107"/>
      <c r="E88" s="108"/>
      <c r="F88" s="106"/>
      <c r="G88" s="102"/>
      <c r="H88" s="105"/>
      <c r="I88" s="105"/>
      <c r="J88" s="105"/>
      <c r="K88" s="105"/>
      <c r="L88" s="106"/>
      <c r="M88" s="106"/>
      <c r="N88" s="105"/>
      <c r="O88" s="105"/>
      <c r="Q88" s="104"/>
      <c r="R88" s="82"/>
      <c r="T88" s="83"/>
      <c r="U88" s="83"/>
      <c r="V88" s="104"/>
      <c r="W88" s="83"/>
      <c r="X88" s="83"/>
      <c r="Y88" s="83"/>
      <c r="Z88" s="83"/>
      <c r="AA88" s="83"/>
      <c r="AB88" s="83"/>
      <c r="AC88" s="83"/>
      <c r="AD88" s="83"/>
      <c r="AE88" s="83"/>
      <c r="AF88" s="83"/>
    </row>
    <row r="89" spans="1:32" x14ac:dyDescent="0.35">
      <c r="A89" s="106"/>
      <c r="B89" s="106"/>
      <c r="C89" s="106"/>
      <c r="D89" s="107"/>
      <c r="E89" s="108"/>
      <c r="F89" s="106"/>
      <c r="G89" s="102"/>
      <c r="H89" s="105"/>
      <c r="I89" s="105"/>
      <c r="J89" s="105"/>
      <c r="K89" s="105"/>
      <c r="L89" s="106"/>
      <c r="M89" s="106"/>
      <c r="N89" s="105"/>
      <c r="O89" s="105"/>
      <c r="Q89" s="104"/>
      <c r="R89" s="82"/>
      <c r="T89" s="83"/>
      <c r="U89" s="83"/>
      <c r="V89" s="104"/>
      <c r="W89" s="83"/>
      <c r="X89" s="83"/>
      <c r="Y89" s="83"/>
      <c r="Z89" s="83"/>
      <c r="AA89" s="83"/>
      <c r="AB89" s="83"/>
      <c r="AC89" s="83"/>
      <c r="AD89" s="83"/>
      <c r="AE89" s="83"/>
      <c r="AF89" s="83"/>
    </row>
    <row r="90" spans="1:32" x14ac:dyDescent="0.35">
      <c r="G90" s="102"/>
      <c r="Q90" s="104"/>
    </row>
    <row r="91" spans="1:32" x14ac:dyDescent="0.35">
      <c r="G91" s="102"/>
      <c r="Q91" s="104"/>
    </row>
    <row r="92" spans="1:32" x14ac:dyDescent="0.35">
      <c r="G92" s="102"/>
      <c r="Q92" s="104"/>
    </row>
    <row r="93" spans="1:32" x14ac:dyDescent="0.35">
      <c r="A93" s="106"/>
      <c r="B93" s="106"/>
      <c r="C93" s="106"/>
      <c r="D93" s="107"/>
      <c r="E93" s="108"/>
      <c r="F93" s="106"/>
      <c r="G93" s="102"/>
      <c r="H93" s="105"/>
      <c r="I93" s="105"/>
      <c r="J93" s="105"/>
      <c r="K93" s="105"/>
      <c r="L93" s="106"/>
      <c r="M93" s="106"/>
      <c r="N93" s="105"/>
      <c r="O93" s="105"/>
      <c r="Q93" s="104"/>
      <c r="R93" s="82"/>
      <c r="T93" s="83"/>
      <c r="U93" s="83"/>
      <c r="V93" s="104"/>
      <c r="W93" s="83"/>
      <c r="X93" s="83"/>
      <c r="Y93" s="83"/>
      <c r="Z93" s="83"/>
      <c r="AA93" s="83"/>
      <c r="AB93" s="83"/>
      <c r="AC93" s="83"/>
      <c r="AD93" s="83"/>
      <c r="AE93" s="83"/>
      <c r="AF93" s="83"/>
    </row>
    <row r="94" spans="1:32" x14ac:dyDescent="0.35">
      <c r="G94" s="102"/>
      <c r="Q94" s="104"/>
    </row>
    <row r="95" spans="1:32" x14ac:dyDescent="0.35">
      <c r="G95" s="102"/>
      <c r="Q95" s="104"/>
    </row>
    <row r="96" spans="1:32" x14ac:dyDescent="0.35">
      <c r="G96" s="102"/>
      <c r="Q96" s="104"/>
    </row>
    <row r="97" spans="1:32" x14ac:dyDescent="0.35">
      <c r="G97" s="102"/>
      <c r="Q97" s="104"/>
    </row>
    <row r="98" spans="1:32" x14ac:dyDescent="0.35">
      <c r="G98" s="102"/>
      <c r="Q98" s="104"/>
    </row>
    <row r="99" spans="1:32" x14ac:dyDescent="0.35">
      <c r="A99" s="106"/>
      <c r="B99" s="106"/>
      <c r="C99" s="106"/>
      <c r="D99" s="107"/>
      <c r="E99" s="108"/>
      <c r="F99" s="106"/>
      <c r="G99" s="102"/>
      <c r="H99" s="105"/>
      <c r="I99" s="105"/>
      <c r="J99" s="105"/>
      <c r="K99" s="105"/>
      <c r="L99" s="106"/>
      <c r="M99" s="106"/>
      <c r="N99" s="105"/>
      <c r="O99" s="105"/>
      <c r="Q99" s="104"/>
      <c r="R99" s="82"/>
      <c r="T99" s="83"/>
      <c r="U99" s="83"/>
      <c r="V99" s="104"/>
      <c r="W99" s="83"/>
      <c r="X99" s="83"/>
      <c r="Y99" s="83"/>
      <c r="Z99" s="83"/>
      <c r="AA99" s="83"/>
      <c r="AB99" s="83"/>
      <c r="AC99" s="83"/>
      <c r="AD99" s="83"/>
      <c r="AE99" s="83"/>
      <c r="AF99" s="83"/>
    </row>
    <row r="100" spans="1:32" x14ac:dyDescent="0.35">
      <c r="A100" s="106"/>
      <c r="B100" s="106"/>
      <c r="C100" s="106"/>
      <c r="D100" s="107"/>
      <c r="E100" s="108"/>
      <c r="F100" s="106"/>
      <c r="G100" s="102"/>
      <c r="H100" s="105"/>
      <c r="I100" s="105"/>
      <c r="J100" s="105"/>
      <c r="K100" s="105"/>
      <c r="L100" s="106"/>
      <c r="M100" s="106"/>
      <c r="N100" s="105"/>
      <c r="O100" s="105"/>
      <c r="Q100" s="104"/>
      <c r="R100" s="82"/>
      <c r="T100" s="83"/>
      <c r="U100" s="83"/>
      <c r="V100" s="104"/>
      <c r="W100" s="83"/>
      <c r="X100" s="83"/>
      <c r="Y100" s="83"/>
      <c r="Z100" s="83"/>
      <c r="AA100" s="83"/>
      <c r="AB100" s="83"/>
      <c r="AC100" s="83"/>
      <c r="AD100" s="83"/>
      <c r="AE100" s="83"/>
      <c r="AF100" s="83"/>
    </row>
    <row r="101" spans="1:32" x14ac:dyDescent="0.35">
      <c r="A101" s="106"/>
      <c r="B101" s="106"/>
      <c r="C101" s="106"/>
      <c r="D101" s="107"/>
      <c r="E101" s="108"/>
      <c r="F101" s="106"/>
      <c r="G101" s="102"/>
      <c r="H101" s="105"/>
      <c r="I101" s="105"/>
      <c r="J101" s="105"/>
      <c r="K101" s="105"/>
      <c r="L101" s="106"/>
      <c r="M101" s="106"/>
      <c r="N101" s="105"/>
      <c r="O101" s="105"/>
      <c r="Q101" s="104"/>
      <c r="R101" s="82"/>
      <c r="T101" s="83"/>
      <c r="U101" s="83"/>
      <c r="V101" s="104"/>
      <c r="W101" s="83"/>
      <c r="X101" s="83"/>
      <c r="Y101" s="83"/>
      <c r="Z101" s="83"/>
      <c r="AA101" s="83"/>
      <c r="AB101" s="83"/>
      <c r="AC101" s="83"/>
      <c r="AD101" s="83"/>
      <c r="AE101" s="83"/>
      <c r="AF101" s="83"/>
    </row>
    <row r="102" spans="1:32" x14ac:dyDescent="0.35">
      <c r="A102" s="106"/>
      <c r="B102" s="106"/>
      <c r="C102" s="106"/>
      <c r="D102" s="107"/>
      <c r="E102" s="108"/>
      <c r="F102" s="106"/>
      <c r="G102" s="102"/>
      <c r="H102" s="105"/>
      <c r="I102" s="105"/>
      <c r="J102" s="105"/>
      <c r="K102" s="105"/>
      <c r="L102" s="106"/>
      <c r="M102" s="106"/>
      <c r="N102" s="105"/>
      <c r="O102" s="105"/>
      <c r="Q102" s="104"/>
      <c r="R102" s="82"/>
      <c r="T102" s="83"/>
      <c r="U102" s="83"/>
      <c r="V102" s="104"/>
      <c r="W102" s="83"/>
      <c r="X102" s="83"/>
      <c r="Y102" s="83"/>
      <c r="Z102" s="83"/>
      <c r="AA102" s="83"/>
      <c r="AB102" s="83"/>
      <c r="AC102" s="83"/>
      <c r="AD102" s="83"/>
      <c r="AE102" s="83"/>
      <c r="AF102" s="83"/>
    </row>
    <row r="103" spans="1:32" x14ac:dyDescent="0.35">
      <c r="G103" s="102"/>
      <c r="Q103" s="104"/>
    </row>
    <row r="104" spans="1:32" x14ac:dyDescent="0.35">
      <c r="G104" s="102"/>
      <c r="Q104" s="104"/>
    </row>
    <row r="105" spans="1:32" x14ac:dyDescent="0.35">
      <c r="A105" s="106"/>
      <c r="B105" s="106"/>
      <c r="C105" s="106"/>
      <c r="D105" s="107"/>
      <c r="E105" s="108"/>
      <c r="F105" s="106"/>
      <c r="G105" s="102"/>
      <c r="H105" s="105"/>
      <c r="I105" s="105"/>
      <c r="J105" s="105"/>
      <c r="K105" s="105"/>
      <c r="L105" s="106"/>
      <c r="M105" s="106"/>
      <c r="N105" s="105"/>
      <c r="O105" s="105"/>
      <c r="Q105" s="104"/>
      <c r="R105" s="82"/>
      <c r="T105" s="83"/>
      <c r="U105" s="83"/>
      <c r="V105" s="104"/>
      <c r="W105" s="83"/>
      <c r="X105" s="83"/>
      <c r="Y105" s="83"/>
      <c r="Z105" s="83"/>
      <c r="AA105" s="83"/>
      <c r="AB105" s="83"/>
      <c r="AC105" s="83"/>
      <c r="AD105" s="83"/>
      <c r="AE105" s="83"/>
      <c r="AF105" s="83"/>
    </row>
    <row r="106" spans="1:32" x14ac:dyDescent="0.35">
      <c r="A106" s="106"/>
      <c r="B106" s="106"/>
      <c r="C106" s="106"/>
      <c r="D106" s="107"/>
      <c r="E106" s="108"/>
      <c r="F106" s="106"/>
      <c r="G106" s="102"/>
      <c r="H106" s="105"/>
      <c r="I106" s="105"/>
      <c r="J106" s="105"/>
      <c r="K106" s="105"/>
      <c r="L106" s="106"/>
      <c r="M106" s="106"/>
      <c r="N106" s="105"/>
      <c r="O106" s="105"/>
      <c r="Q106" s="104"/>
      <c r="R106" s="82"/>
      <c r="T106" s="83"/>
      <c r="U106" s="83"/>
      <c r="V106" s="104"/>
      <c r="W106" s="83"/>
      <c r="X106" s="83"/>
      <c r="Y106" s="83"/>
      <c r="Z106" s="83"/>
      <c r="AA106" s="83"/>
      <c r="AB106" s="83"/>
      <c r="AC106" s="83"/>
      <c r="AD106" s="83"/>
      <c r="AE106" s="83"/>
      <c r="AF106" s="83"/>
    </row>
    <row r="107" spans="1:32" x14ac:dyDescent="0.35">
      <c r="A107" s="83"/>
      <c r="B107" s="83"/>
      <c r="C107" s="83"/>
      <c r="D107" s="104"/>
      <c r="E107" s="109"/>
      <c r="F107" s="83"/>
      <c r="G107" s="102"/>
      <c r="H107" s="82"/>
      <c r="I107" s="82"/>
      <c r="J107" s="82"/>
      <c r="K107" s="82"/>
      <c r="L107" s="83"/>
      <c r="M107" s="83"/>
      <c r="N107" s="82"/>
      <c r="O107" s="82"/>
      <c r="Q107" s="104"/>
      <c r="R107" s="82"/>
      <c r="T107" s="83"/>
      <c r="U107" s="83"/>
      <c r="V107" s="104"/>
      <c r="W107" s="83"/>
      <c r="X107" s="83"/>
      <c r="Y107" s="83"/>
      <c r="Z107" s="83"/>
      <c r="AA107" s="83"/>
      <c r="AB107" s="83"/>
      <c r="AC107" s="83"/>
      <c r="AD107" s="83"/>
      <c r="AE107" s="83"/>
      <c r="AF107" s="83"/>
    </row>
    <row r="108" spans="1:32" x14ac:dyDescent="0.35">
      <c r="G108" s="102"/>
      <c r="Q108" s="104"/>
    </row>
    <row r="109" spans="1:32" x14ac:dyDescent="0.35">
      <c r="G109" s="102"/>
      <c r="Q109" s="104"/>
    </row>
    <row r="110" spans="1:32" x14ac:dyDescent="0.35">
      <c r="A110" s="106"/>
      <c r="B110" s="106"/>
      <c r="C110" s="106"/>
      <c r="D110" s="107"/>
      <c r="E110" s="108"/>
      <c r="F110" s="106"/>
      <c r="G110" s="102"/>
      <c r="H110" s="105"/>
      <c r="I110" s="105"/>
      <c r="J110" s="105"/>
      <c r="K110" s="105"/>
      <c r="L110" s="106"/>
      <c r="M110" s="106"/>
      <c r="N110" s="105"/>
      <c r="O110" s="105"/>
      <c r="Q110" s="104"/>
      <c r="R110" s="82"/>
      <c r="T110" s="83"/>
      <c r="U110" s="83"/>
      <c r="V110" s="104"/>
      <c r="W110" s="83"/>
      <c r="X110" s="83"/>
      <c r="Y110" s="83"/>
      <c r="Z110" s="83"/>
      <c r="AA110" s="83"/>
      <c r="AB110" s="83"/>
      <c r="AC110" s="83"/>
      <c r="AD110" s="83"/>
      <c r="AE110" s="83"/>
      <c r="AF110" s="83"/>
    </row>
    <row r="111" spans="1:32" x14ac:dyDescent="0.35">
      <c r="A111" s="106"/>
      <c r="B111" s="106"/>
      <c r="C111" s="106"/>
      <c r="D111" s="107"/>
      <c r="E111" s="108"/>
      <c r="F111" s="106"/>
      <c r="G111" s="102"/>
      <c r="H111" s="105"/>
      <c r="I111" s="105"/>
      <c r="J111" s="105"/>
      <c r="K111" s="105"/>
      <c r="L111" s="106"/>
      <c r="M111" s="106"/>
      <c r="N111" s="105"/>
      <c r="O111" s="105"/>
      <c r="Q111" s="104"/>
      <c r="R111" s="82"/>
      <c r="T111" s="83"/>
      <c r="U111" s="83"/>
      <c r="V111" s="104"/>
      <c r="W111" s="83"/>
      <c r="X111" s="83"/>
      <c r="Y111" s="83"/>
      <c r="Z111" s="83"/>
      <c r="AA111" s="83"/>
      <c r="AB111" s="83"/>
      <c r="AC111" s="83"/>
      <c r="AD111" s="83"/>
      <c r="AE111" s="83"/>
      <c r="AF111" s="83"/>
    </row>
    <row r="112" spans="1:32" x14ac:dyDescent="0.35">
      <c r="G112" s="102"/>
      <c r="Q112" s="104"/>
    </row>
    <row r="113" spans="1:32" x14ac:dyDescent="0.35">
      <c r="G113" s="102"/>
      <c r="Q113" s="104"/>
    </row>
    <row r="114" spans="1:32" x14ac:dyDescent="0.35">
      <c r="G114" s="102"/>
      <c r="Q114" s="104"/>
    </row>
    <row r="115" spans="1:32" x14ac:dyDescent="0.35">
      <c r="G115" s="102"/>
      <c r="Q115" s="104"/>
    </row>
    <row r="116" spans="1:32" x14ac:dyDescent="0.35">
      <c r="A116" s="106"/>
      <c r="B116" s="106"/>
      <c r="C116" s="106"/>
      <c r="D116" s="107"/>
      <c r="E116" s="108"/>
      <c r="F116" s="106"/>
      <c r="G116" s="102"/>
      <c r="H116" s="105"/>
      <c r="I116" s="105"/>
      <c r="J116" s="105"/>
      <c r="K116" s="105"/>
      <c r="L116" s="106"/>
      <c r="M116" s="106"/>
      <c r="N116" s="105"/>
      <c r="O116" s="105"/>
      <c r="Q116" s="104"/>
      <c r="R116" s="82"/>
      <c r="T116" s="83"/>
      <c r="U116" s="83"/>
      <c r="V116" s="104"/>
      <c r="W116" s="83"/>
      <c r="X116" s="83"/>
      <c r="Y116" s="83"/>
      <c r="Z116" s="83"/>
      <c r="AA116" s="83"/>
      <c r="AB116" s="83"/>
      <c r="AC116" s="83"/>
      <c r="AD116" s="83"/>
      <c r="AE116" s="83"/>
      <c r="AF116" s="83"/>
    </row>
    <row r="117" spans="1:32" x14ac:dyDescent="0.35">
      <c r="G117" s="102"/>
      <c r="Q117" s="104"/>
    </row>
    <row r="118" spans="1:32" x14ac:dyDescent="0.35">
      <c r="G118" s="102"/>
      <c r="Q118" s="104"/>
    </row>
    <row r="119" spans="1:32" x14ac:dyDescent="0.35">
      <c r="G119" s="102"/>
      <c r="Q119" s="104"/>
    </row>
    <row r="120" spans="1:32" x14ac:dyDescent="0.35">
      <c r="G120" s="102"/>
      <c r="Q120" s="104"/>
    </row>
    <row r="121" spans="1:32" x14ac:dyDescent="0.35">
      <c r="A121" s="106"/>
      <c r="B121" s="106"/>
      <c r="C121" s="106"/>
      <c r="D121" s="107"/>
      <c r="E121" s="108"/>
      <c r="F121" s="106"/>
      <c r="G121" s="102"/>
      <c r="H121" s="105"/>
      <c r="I121" s="105"/>
      <c r="J121" s="105"/>
      <c r="K121" s="105"/>
      <c r="L121" s="106"/>
      <c r="M121" s="106"/>
      <c r="N121" s="105"/>
      <c r="O121" s="105"/>
      <c r="Q121" s="104"/>
      <c r="R121" s="82"/>
      <c r="T121" s="83"/>
      <c r="U121" s="83"/>
      <c r="V121" s="104"/>
      <c r="W121" s="83"/>
      <c r="X121" s="83"/>
      <c r="Y121" s="83"/>
      <c r="Z121" s="83"/>
      <c r="AA121" s="83"/>
      <c r="AB121" s="83"/>
      <c r="AC121" s="83"/>
      <c r="AD121" s="83"/>
      <c r="AE121" s="83"/>
      <c r="AF121" s="83"/>
    </row>
    <row r="122" spans="1:32" x14ac:dyDescent="0.35">
      <c r="G122" s="102"/>
      <c r="Q122" s="104"/>
    </row>
    <row r="123" spans="1:32" x14ac:dyDescent="0.35">
      <c r="G123" s="102"/>
      <c r="Q123" s="104"/>
    </row>
    <row r="124" spans="1:32" x14ac:dyDescent="0.35">
      <c r="G124" s="102"/>
      <c r="Q124" s="104"/>
    </row>
    <row r="125" spans="1:32" x14ac:dyDescent="0.35">
      <c r="G125" s="102"/>
      <c r="Q125" s="104"/>
    </row>
    <row r="126" spans="1:32" x14ac:dyDescent="0.35">
      <c r="G126" s="102"/>
      <c r="Q126" s="104"/>
    </row>
    <row r="127" spans="1:32" x14ac:dyDescent="0.35">
      <c r="G127" s="102"/>
      <c r="Q127" s="104"/>
    </row>
    <row r="128" spans="1:32" x14ac:dyDescent="0.35">
      <c r="G128" s="102"/>
      <c r="Q128" s="104"/>
    </row>
    <row r="129" spans="1:32" x14ac:dyDescent="0.35">
      <c r="G129" s="102"/>
      <c r="Q129" s="104"/>
    </row>
    <row r="130" spans="1:32" x14ac:dyDescent="0.35">
      <c r="A130" s="106"/>
      <c r="B130" s="106"/>
      <c r="C130" s="106"/>
      <c r="D130" s="107"/>
      <c r="E130" s="108"/>
      <c r="F130" s="106"/>
      <c r="G130" s="102"/>
      <c r="H130" s="105"/>
      <c r="I130" s="105"/>
      <c r="J130" s="105"/>
      <c r="K130" s="105"/>
      <c r="L130" s="106"/>
      <c r="M130" s="106"/>
      <c r="N130" s="105"/>
      <c r="O130" s="105"/>
      <c r="Q130" s="104"/>
      <c r="R130" s="82"/>
      <c r="T130" s="83"/>
      <c r="U130" s="83"/>
      <c r="V130" s="104"/>
      <c r="W130" s="83"/>
      <c r="X130" s="83"/>
      <c r="Y130" s="83"/>
      <c r="Z130" s="83"/>
      <c r="AA130" s="83"/>
      <c r="AB130" s="83"/>
      <c r="AC130" s="83"/>
      <c r="AD130" s="83"/>
      <c r="AE130" s="83"/>
      <c r="AF130" s="83"/>
    </row>
    <row r="131" spans="1:32" x14ac:dyDescent="0.35">
      <c r="G131" s="102"/>
      <c r="Q131" s="104"/>
    </row>
    <row r="132" spans="1:32" x14ac:dyDescent="0.35">
      <c r="A132" s="106"/>
      <c r="B132" s="106"/>
      <c r="C132" s="106"/>
      <c r="D132" s="107"/>
      <c r="E132" s="108"/>
      <c r="F132" s="106"/>
      <c r="G132" s="102"/>
      <c r="H132" s="105"/>
      <c r="I132" s="105"/>
      <c r="J132" s="105"/>
      <c r="K132" s="105"/>
      <c r="L132" s="106"/>
      <c r="M132" s="106"/>
      <c r="N132" s="105"/>
      <c r="O132" s="105"/>
      <c r="Q132" s="104"/>
      <c r="R132" s="82"/>
      <c r="T132" s="83"/>
      <c r="U132" s="83"/>
      <c r="V132" s="104"/>
      <c r="W132" s="83"/>
      <c r="X132" s="83"/>
      <c r="Y132" s="83"/>
      <c r="Z132" s="83"/>
      <c r="AA132" s="83"/>
      <c r="AB132" s="83"/>
      <c r="AC132" s="83"/>
      <c r="AD132" s="83"/>
      <c r="AE132" s="83"/>
      <c r="AF132" s="83"/>
    </row>
    <row r="133" spans="1:32" x14ac:dyDescent="0.35">
      <c r="G133" s="102"/>
      <c r="Q133" s="104"/>
    </row>
    <row r="134" spans="1:32" x14ac:dyDescent="0.35">
      <c r="A134" s="106"/>
      <c r="B134" s="106"/>
      <c r="C134" s="106"/>
      <c r="D134" s="107"/>
      <c r="E134" s="108"/>
      <c r="F134" s="106"/>
      <c r="G134" s="102"/>
      <c r="H134" s="105"/>
      <c r="I134" s="105"/>
      <c r="J134" s="105"/>
      <c r="K134" s="105"/>
      <c r="L134" s="106"/>
      <c r="M134" s="106"/>
      <c r="N134" s="105"/>
      <c r="O134" s="105"/>
      <c r="Q134" s="104"/>
      <c r="R134" s="82"/>
      <c r="T134" s="83"/>
      <c r="U134" s="83"/>
      <c r="V134" s="104"/>
      <c r="W134" s="83"/>
      <c r="X134" s="83"/>
      <c r="Y134" s="83"/>
      <c r="Z134" s="83"/>
      <c r="AA134" s="83"/>
      <c r="AB134" s="83"/>
      <c r="AC134" s="83"/>
      <c r="AD134" s="83"/>
      <c r="AE134" s="83"/>
      <c r="AF134" s="83"/>
    </row>
    <row r="135" spans="1:32" x14ac:dyDescent="0.35">
      <c r="G135" s="102"/>
      <c r="Q135" s="104"/>
    </row>
    <row r="136" spans="1:32" x14ac:dyDescent="0.35">
      <c r="A136" s="106"/>
      <c r="B136" s="106"/>
      <c r="C136" s="106"/>
      <c r="D136" s="107"/>
      <c r="E136" s="108"/>
      <c r="F136" s="106"/>
      <c r="G136" s="102"/>
      <c r="H136" s="105"/>
      <c r="I136" s="105"/>
      <c r="J136" s="105"/>
      <c r="K136" s="105"/>
      <c r="L136" s="106"/>
      <c r="M136" s="106"/>
      <c r="N136" s="105"/>
      <c r="O136" s="105"/>
      <c r="Q136" s="104"/>
      <c r="R136" s="82"/>
      <c r="T136" s="83"/>
      <c r="U136" s="83"/>
      <c r="V136" s="104"/>
      <c r="W136" s="83"/>
      <c r="X136" s="83"/>
      <c r="Y136" s="83"/>
      <c r="Z136" s="83"/>
      <c r="AA136" s="83"/>
      <c r="AB136" s="83"/>
      <c r="AC136" s="83"/>
      <c r="AD136" s="83"/>
      <c r="AE136" s="83"/>
      <c r="AF136" s="83"/>
    </row>
    <row r="137" spans="1:32" x14ac:dyDescent="0.35">
      <c r="G137" s="102"/>
      <c r="Q137" s="104"/>
    </row>
    <row r="138" spans="1:32" x14ac:dyDescent="0.35">
      <c r="A138" s="106"/>
      <c r="B138" s="106"/>
      <c r="C138" s="106"/>
      <c r="D138" s="107"/>
      <c r="E138" s="108"/>
      <c r="F138" s="106"/>
      <c r="G138" s="102"/>
      <c r="H138" s="105"/>
      <c r="I138" s="105"/>
      <c r="J138" s="105"/>
      <c r="K138" s="105"/>
      <c r="L138" s="106"/>
      <c r="M138" s="106"/>
      <c r="N138" s="105"/>
      <c r="O138" s="105"/>
      <c r="Q138" s="104"/>
      <c r="R138" s="82"/>
      <c r="T138" s="83"/>
      <c r="U138" s="83"/>
      <c r="V138" s="104"/>
      <c r="W138" s="83"/>
      <c r="X138" s="83"/>
      <c r="Y138" s="83"/>
      <c r="Z138" s="83"/>
      <c r="AA138" s="83"/>
      <c r="AB138" s="83"/>
      <c r="AC138" s="83"/>
      <c r="AD138" s="83"/>
      <c r="AE138" s="83"/>
      <c r="AF138" s="83"/>
    </row>
    <row r="139" spans="1:32" x14ac:dyDescent="0.35">
      <c r="G139" s="102"/>
      <c r="Q139" s="104"/>
    </row>
    <row r="140" spans="1:32" x14ac:dyDescent="0.35">
      <c r="A140" s="106"/>
      <c r="B140" s="106"/>
      <c r="C140" s="106"/>
      <c r="D140" s="107"/>
      <c r="E140" s="108"/>
      <c r="F140" s="106"/>
      <c r="G140" s="102"/>
      <c r="H140" s="105"/>
      <c r="I140" s="105"/>
      <c r="J140" s="105"/>
      <c r="K140" s="105"/>
      <c r="L140" s="106"/>
      <c r="M140" s="106"/>
      <c r="N140" s="105"/>
      <c r="O140" s="105"/>
      <c r="Q140" s="104"/>
      <c r="R140" s="82"/>
      <c r="T140" s="83"/>
      <c r="U140" s="83"/>
      <c r="V140" s="104"/>
      <c r="W140" s="83"/>
      <c r="X140" s="83"/>
      <c r="Y140" s="83"/>
      <c r="Z140" s="83"/>
      <c r="AA140" s="83"/>
      <c r="AB140" s="83"/>
      <c r="AC140" s="83"/>
      <c r="AD140" s="83"/>
      <c r="AE140" s="83"/>
      <c r="AF140" s="83"/>
    </row>
    <row r="141" spans="1:32" x14ac:dyDescent="0.35">
      <c r="A141" s="106"/>
      <c r="B141" s="106"/>
      <c r="C141" s="106"/>
      <c r="D141" s="107"/>
      <c r="E141" s="108"/>
      <c r="F141" s="106"/>
      <c r="G141" s="102"/>
      <c r="H141" s="105"/>
      <c r="I141" s="105"/>
      <c r="J141" s="105"/>
      <c r="K141" s="105"/>
      <c r="L141" s="106"/>
      <c r="M141" s="106"/>
      <c r="N141" s="105"/>
      <c r="O141" s="105"/>
      <c r="Q141" s="104"/>
      <c r="R141" s="82"/>
      <c r="T141" s="83"/>
      <c r="U141" s="83"/>
      <c r="V141" s="104"/>
      <c r="W141" s="83"/>
      <c r="X141" s="83"/>
      <c r="Y141" s="83"/>
      <c r="Z141" s="83"/>
      <c r="AA141" s="83"/>
      <c r="AB141" s="83"/>
      <c r="AC141" s="83"/>
      <c r="AD141" s="83"/>
      <c r="AE141" s="83"/>
      <c r="AF141" s="83"/>
    </row>
    <row r="142" spans="1:32" x14ac:dyDescent="0.35">
      <c r="G142" s="102"/>
      <c r="Q142" s="104"/>
    </row>
    <row r="143" spans="1:32" x14ac:dyDescent="0.35">
      <c r="A143" s="106"/>
      <c r="B143" s="106"/>
      <c r="C143" s="106"/>
      <c r="D143" s="107"/>
      <c r="E143" s="108"/>
      <c r="F143" s="106"/>
      <c r="G143" s="102"/>
      <c r="H143" s="105"/>
      <c r="I143" s="105"/>
      <c r="J143" s="105"/>
      <c r="K143" s="105"/>
      <c r="L143" s="106"/>
      <c r="M143" s="106"/>
      <c r="N143" s="105"/>
      <c r="O143" s="105"/>
      <c r="Q143" s="104"/>
      <c r="R143" s="82"/>
      <c r="T143" s="83"/>
      <c r="U143" s="83"/>
      <c r="V143" s="104"/>
      <c r="W143" s="83"/>
      <c r="X143" s="83"/>
      <c r="Y143" s="83"/>
      <c r="Z143" s="83"/>
      <c r="AA143" s="83"/>
      <c r="AB143" s="83"/>
      <c r="AC143" s="83"/>
      <c r="AD143" s="83"/>
      <c r="AE143" s="83"/>
      <c r="AF143" s="83"/>
    </row>
    <row r="144" spans="1:32" x14ac:dyDescent="0.35">
      <c r="A144" s="83"/>
      <c r="B144" s="83"/>
      <c r="C144" s="83"/>
      <c r="D144" s="104"/>
      <c r="E144" s="109"/>
      <c r="F144" s="83"/>
      <c r="G144" s="102"/>
      <c r="H144" s="82"/>
      <c r="I144" s="82"/>
      <c r="J144" s="82"/>
      <c r="K144" s="82"/>
      <c r="L144" s="83"/>
      <c r="M144" s="83"/>
      <c r="N144" s="82"/>
      <c r="O144" s="82"/>
      <c r="Q144" s="104"/>
      <c r="R144" s="82"/>
      <c r="T144" s="83"/>
      <c r="U144" s="83"/>
      <c r="V144" s="104"/>
      <c r="W144" s="83"/>
      <c r="X144" s="83"/>
      <c r="Y144" s="83"/>
      <c r="Z144" s="83"/>
      <c r="AA144" s="83"/>
      <c r="AB144" s="83"/>
      <c r="AC144" s="83"/>
      <c r="AD144" s="83"/>
      <c r="AE144" s="83"/>
      <c r="AF144" s="83"/>
    </row>
    <row r="145" spans="1:32" x14ac:dyDescent="0.35">
      <c r="A145" s="106"/>
      <c r="B145" s="106"/>
      <c r="C145" s="106"/>
      <c r="D145" s="107"/>
      <c r="E145" s="108"/>
      <c r="F145" s="106"/>
      <c r="G145" s="102"/>
      <c r="H145" s="105"/>
      <c r="I145" s="105"/>
      <c r="J145" s="105"/>
      <c r="K145" s="105"/>
      <c r="L145" s="106"/>
      <c r="M145" s="106"/>
      <c r="N145" s="105"/>
      <c r="O145" s="105"/>
      <c r="Q145" s="104"/>
      <c r="R145" s="82"/>
      <c r="T145" s="83"/>
      <c r="U145" s="83"/>
      <c r="V145" s="104"/>
      <c r="W145" s="83"/>
      <c r="X145" s="83"/>
      <c r="Y145" s="83"/>
      <c r="Z145" s="83"/>
      <c r="AA145" s="83"/>
      <c r="AB145" s="83"/>
      <c r="AC145" s="83"/>
      <c r="AD145" s="83"/>
      <c r="AE145" s="83"/>
      <c r="AF145" s="83"/>
    </row>
    <row r="146" spans="1:32" x14ac:dyDescent="0.35">
      <c r="A146" s="106"/>
      <c r="B146" s="106"/>
      <c r="C146" s="106"/>
      <c r="D146" s="107"/>
      <c r="E146" s="108"/>
      <c r="F146" s="106"/>
      <c r="G146" s="102"/>
      <c r="H146" s="105"/>
      <c r="I146" s="105"/>
      <c r="J146" s="105"/>
      <c r="K146" s="105"/>
      <c r="L146" s="106"/>
      <c r="M146" s="106"/>
      <c r="N146" s="105"/>
      <c r="O146" s="105"/>
      <c r="Q146" s="104"/>
      <c r="R146" s="82"/>
      <c r="T146" s="83"/>
      <c r="U146" s="83"/>
      <c r="V146" s="104"/>
      <c r="W146" s="83"/>
      <c r="X146" s="83"/>
      <c r="Y146" s="83"/>
      <c r="Z146" s="83"/>
      <c r="AA146" s="83"/>
      <c r="AB146" s="83"/>
      <c r="AC146" s="83"/>
      <c r="AD146" s="83"/>
      <c r="AE146" s="83"/>
      <c r="AF146" s="83"/>
    </row>
    <row r="147" spans="1:32" x14ac:dyDescent="0.35">
      <c r="G147" s="102"/>
      <c r="Q147" s="104"/>
    </row>
    <row r="148" spans="1:32" x14ac:dyDescent="0.35">
      <c r="A148" s="106"/>
      <c r="B148" s="106"/>
      <c r="C148" s="106"/>
      <c r="D148" s="107"/>
      <c r="E148" s="108"/>
      <c r="F148" s="106"/>
      <c r="G148" s="102"/>
      <c r="H148" s="105"/>
      <c r="I148" s="105"/>
      <c r="J148" s="105"/>
      <c r="K148" s="105"/>
      <c r="L148" s="106"/>
      <c r="M148" s="106"/>
      <c r="N148" s="105"/>
      <c r="O148" s="105"/>
      <c r="Q148" s="104"/>
      <c r="R148" s="82"/>
      <c r="T148" s="83"/>
      <c r="U148" s="83"/>
      <c r="V148" s="104"/>
      <c r="W148" s="83"/>
      <c r="X148" s="83"/>
      <c r="Y148" s="83"/>
      <c r="Z148" s="83"/>
      <c r="AA148" s="83"/>
      <c r="AB148" s="83"/>
      <c r="AC148" s="83"/>
      <c r="AD148" s="83"/>
      <c r="AE148" s="83"/>
      <c r="AF148" s="83"/>
    </row>
    <row r="149" spans="1:32" x14ac:dyDescent="0.35">
      <c r="A149" s="106"/>
      <c r="B149" s="106"/>
      <c r="C149" s="106"/>
      <c r="D149" s="107"/>
      <c r="E149" s="108"/>
      <c r="F149" s="106"/>
      <c r="G149" s="102"/>
      <c r="H149" s="105"/>
      <c r="I149" s="105"/>
      <c r="J149" s="105"/>
      <c r="K149" s="105"/>
      <c r="L149" s="106"/>
      <c r="M149" s="106"/>
      <c r="N149" s="105"/>
      <c r="O149" s="105"/>
      <c r="Q149" s="104"/>
      <c r="R149" s="82"/>
      <c r="T149" s="83"/>
      <c r="U149" s="83"/>
      <c r="V149" s="104"/>
      <c r="W149" s="83"/>
      <c r="X149" s="83"/>
      <c r="Y149" s="83"/>
      <c r="Z149" s="83"/>
      <c r="AA149" s="83"/>
      <c r="AB149" s="83"/>
      <c r="AC149" s="83"/>
      <c r="AD149" s="83"/>
      <c r="AE149" s="83"/>
      <c r="AF149" s="83"/>
    </row>
    <row r="150" spans="1:32" x14ac:dyDescent="0.35">
      <c r="G150" s="102"/>
      <c r="Q150" s="104"/>
    </row>
    <row r="151" spans="1:32" x14ac:dyDescent="0.35">
      <c r="G151" s="102"/>
      <c r="Q151" s="104"/>
    </row>
    <row r="152" spans="1:32" x14ac:dyDescent="0.35">
      <c r="A152" s="106"/>
      <c r="B152" s="106"/>
      <c r="C152" s="106"/>
      <c r="D152" s="107"/>
      <c r="E152" s="108"/>
      <c r="F152" s="106"/>
      <c r="G152" s="102"/>
      <c r="H152" s="105"/>
      <c r="I152" s="105"/>
      <c r="J152" s="105"/>
      <c r="K152" s="105"/>
      <c r="L152" s="106"/>
      <c r="M152" s="106"/>
      <c r="N152" s="105"/>
      <c r="O152" s="105"/>
      <c r="Q152" s="104"/>
      <c r="R152" s="82"/>
      <c r="T152" s="83"/>
      <c r="U152" s="83"/>
      <c r="V152" s="104"/>
      <c r="W152" s="83"/>
      <c r="X152" s="83"/>
      <c r="Y152" s="83"/>
      <c r="Z152" s="83"/>
      <c r="AA152" s="83"/>
      <c r="AB152" s="83"/>
      <c r="AC152" s="83"/>
      <c r="AD152" s="83"/>
      <c r="AE152" s="83"/>
      <c r="AF152" s="83"/>
    </row>
    <row r="153" spans="1:32" x14ac:dyDescent="0.35">
      <c r="G153" s="102"/>
      <c r="Q153" s="104"/>
    </row>
    <row r="154" spans="1:32" x14ac:dyDescent="0.35">
      <c r="A154" s="106"/>
      <c r="B154" s="106"/>
      <c r="C154" s="106"/>
      <c r="D154" s="107"/>
      <c r="E154" s="108"/>
      <c r="F154" s="106"/>
      <c r="G154" s="102"/>
      <c r="H154" s="105"/>
      <c r="I154" s="105"/>
      <c r="J154" s="105"/>
      <c r="K154" s="105"/>
      <c r="L154" s="106"/>
      <c r="M154" s="106"/>
      <c r="N154" s="105"/>
      <c r="O154" s="105"/>
      <c r="Q154" s="104"/>
      <c r="R154" s="82"/>
      <c r="T154" s="83"/>
      <c r="U154" s="83"/>
      <c r="V154" s="104"/>
      <c r="W154" s="83"/>
      <c r="X154" s="83"/>
      <c r="Y154" s="83"/>
      <c r="Z154" s="83"/>
      <c r="AA154" s="83"/>
      <c r="AB154" s="83"/>
      <c r="AC154" s="83"/>
      <c r="AD154" s="83"/>
      <c r="AE154" s="83"/>
      <c r="AF154" s="83"/>
    </row>
    <row r="155" spans="1:32" x14ac:dyDescent="0.35">
      <c r="A155" s="106"/>
      <c r="B155" s="106"/>
      <c r="C155" s="106"/>
      <c r="D155" s="107"/>
      <c r="E155" s="108"/>
      <c r="F155" s="106"/>
      <c r="G155" s="102"/>
      <c r="H155" s="105"/>
      <c r="I155" s="105"/>
      <c r="J155" s="105"/>
      <c r="K155" s="105"/>
      <c r="L155" s="106"/>
      <c r="M155" s="106"/>
      <c r="N155" s="105"/>
      <c r="O155" s="105"/>
      <c r="Q155" s="104"/>
      <c r="R155" s="82"/>
      <c r="T155" s="83"/>
      <c r="U155" s="83"/>
      <c r="V155" s="104"/>
      <c r="W155" s="83"/>
      <c r="X155" s="83"/>
      <c r="Y155" s="83"/>
      <c r="Z155" s="83"/>
      <c r="AA155" s="83"/>
      <c r="AB155" s="83"/>
      <c r="AC155" s="83"/>
      <c r="AD155" s="83"/>
      <c r="AE155" s="83"/>
      <c r="AF155" s="83"/>
    </row>
    <row r="156" spans="1:32" x14ac:dyDescent="0.35">
      <c r="A156" s="106"/>
      <c r="B156" s="106"/>
      <c r="C156" s="106"/>
      <c r="D156" s="107"/>
      <c r="E156" s="108"/>
      <c r="F156" s="106"/>
      <c r="G156" s="102"/>
      <c r="H156" s="105"/>
      <c r="I156" s="105"/>
      <c r="J156" s="105"/>
      <c r="K156" s="105"/>
      <c r="L156" s="106"/>
      <c r="M156" s="106"/>
      <c r="N156" s="105"/>
      <c r="O156" s="105"/>
      <c r="Q156" s="104"/>
      <c r="R156" s="82"/>
      <c r="T156" s="83"/>
      <c r="U156" s="83"/>
      <c r="V156" s="104"/>
      <c r="W156" s="83"/>
      <c r="X156" s="83"/>
      <c r="Y156" s="83"/>
      <c r="Z156" s="83"/>
      <c r="AA156" s="83"/>
      <c r="AB156" s="83"/>
      <c r="AC156" s="83"/>
      <c r="AD156" s="83"/>
      <c r="AE156" s="83"/>
      <c r="AF156" s="83"/>
    </row>
    <row r="157" spans="1:32" x14ac:dyDescent="0.35">
      <c r="A157" s="106"/>
      <c r="B157" s="106"/>
      <c r="C157" s="106"/>
      <c r="D157" s="107"/>
      <c r="E157" s="108"/>
      <c r="F157" s="106"/>
      <c r="G157" s="102"/>
      <c r="H157" s="105"/>
      <c r="I157" s="105"/>
      <c r="J157" s="105"/>
      <c r="K157" s="105"/>
      <c r="L157" s="106"/>
      <c r="M157" s="106"/>
      <c r="N157" s="105"/>
      <c r="O157" s="105"/>
      <c r="Q157" s="104"/>
      <c r="R157" s="82"/>
      <c r="T157" s="83"/>
      <c r="U157" s="83"/>
      <c r="V157" s="104"/>
      <c r="W157" s="83"/>
      <c r="X157" s="83"/>
      <c r="Y157" s="83"/>
      <c r="Z157" s="83"/>
      <c r="AA157" s="83"/>
      <c r="AB157" s="83"/>
      <c r="AC157" s="83"/>
      <c r="AD157" s="83"/>
      <c r="AE157" s="83"/>
      <c r="AF157" s="83"/>
    </row>
    <row r="158" spans="1:32" x14ac:dyDescent="0.35">
      <c r="A158" s="106"/>
      <c r="B158" s="106"/>
      <c r="C158" s="106"/>
      <c r="D158" s="107"/>
      <c r="E158" s="108"/>
      <c r="F158" s="106"/>
      <c r="G158" s="102"/>
      <c r="H158" s="105"/>
      <c r="I158" s="105"/>
      <c r="J158" s="105"/>
      <c r="K158" s="105"/>
      <c r="L158" s="106"/>
      <c r="M158" s="106"/>
      <c r="N158" s="105"/>
      <c r="O158" s="105"/>
      <c r="Q158" s="104"/>
      <c r="R158" s="82"/>
      <c r="T158" s="83"/>
      <c r="U158" s="83"/>
      <c r="V158" s="104"/>
      <c r="W158" s="83"/>
      <c r="X158" s="83"/>
      <c r="Y158" s="83"/>
      <c r="Z158" s="83"/>
      <c r="AA158" s="83"/>
      <c r="AB158" s="83"/>
      <c r="AC158" s="83"/>
      <c r="AD158" s="83"/>
      <c r="AE158" s="83"/>
      <c r="AF158" s="83"/>
    </row>
    <row r="159" spans="1:32" x14ac:dyDescent="0.35">
      <c r="A159" s="106"/>
      <c r="B159" s="106"/>
      <c r="C159" s="106"/>
      <c r="D159" s="107"/>
      <c r="E159" s="108"/>
      <c r="F159" s="106"/>
      <c r="G159" s="102"/>
      <c r="H159" s="105"/>
      <c r="I159" s="105"/>
      <c r="J159" s="105"/>
      <c r="K159" s="105"/>
      <c r="L159" s="106"/>
      <c r="M159" s="106"/>
      <c r="N159" s="105"/>
      <c r="O159" s="105"/>
      <c r="Q159" s="104"/>
      <c r="R159" s="82"/>
      <c r="T159" s="83"/>
      <c r="U159" s="83"/>
      <c r="V159" s="104"/>
      <c r="W159" s="83"/>
      <c r="X159" s="83"/>
      <c r="Y159" s="83"/>
      <c r="Z159" s="83"/>
      <c r="AA159" s="83"/>
      <c r="AB159" s="83"/>
      <c r="AC159" s="83"/>
      <c r="AD159" s="83"/>
      <c r="AE159" s="83"/>
      <c r="AF159" s="83"/>
    </row>
    <row r="160" spans="1:32" x14ac:dyDescent="0.35">
      <c r="A160" s="106"/>
      <c r="B160" s="106"/>
      <c r="C160" s="106"/>
      <c r="D160" s="107"/>
      <c r="E160" s="108"/>
      <c r="F160" s="106"/>
      <c r="G160" s="102"/>
      <c r="H160" s="105"/>
      <c r="I160" s="105"/>
      <c r="J160" s="105"/>
      <c r="K160" s="105"/>
      <c r="L160" s="106"/>
      <c r="M160" s="106"/>
      <c r="N160" s="105"/>
      <c r="O160" s="105"/>
      <c r="Q160" s="104"/>
      <c r="R160" s="82"/>
      <c r="T160" s="83"/>
      <c r="U160" s="83"/>
      <c r="V160" s="104"/>
      <c r="W160" s="83"/>
      <c r="X160" s="83"/>
      <c r="Y160" s="83"/>
      <c r="Z160" s="83"/>
      <c r="AA160" s="83"/>
      <c r="AB160" s="83"/>
      <c r="AC160" s="83"/>
      <c r="AD160" s="83"/>
      <c r="AE160" s="83"/>
      <c r="AF160" s="83"/>
    </row>
    <row r="161" spans="1:32" x14ac:dyDescent="0.35">
      <c r="A161" s="106"/>
      <c r="B161" s="106"/>
      <c r="C161" s="106"/>
      <c r="D161" s="107"/>
      <c r="E161" s="108"/>
      <c r="F161" s="106"/>
      <c r="G161" s="102"/>
      <c r="H161" s="105"/>
      <c r="I161" s="105"/>
      <c r="J161" s="105"/>
      <c r="K161" s="105"/>
      <c r="L161" s="106"/>
      <c r="M161" s="106"/>
      <c r="N161" s="105"/>
      <c r="O161" s="105"/>
      <c r="Q161" s="104"/>
      <c r="R161" s="82"/>
      <c r="T161" s="83"/>
      <c r="U161" s="83"/>
      <c r="V161" s="104"/>
      <c r="W161" s="83"/>
      <c r="X161" s="83"/>
      <c r="Y161" s="83"/>
      <c r="Z161" s="83"/>
      <c r="AA161" s="83"/>
      <c r="AB161" s="83"/>
      <c r="AC161" s="83"/>
      <c r="AD161" s="83"/>
      <c r="AE161" s="83"/>
      <c r="AF161" s="83"/>
    </row>
  </sheetData>
  <autoFilter ref="A7:AF161" xr:uid="{B7C01777-F32E-43FE-A8CD-DB4CD13654B1}">
    <sortState xmlns:xlrd2="http://schemas.microsoft.com/office/spreadsheetml/2017/richdata2" ref="A8:AF161">
      <sortCondition descending="1" ref="Q7:Q161"/>
    </sortState>
  </autoFilter>
  <sortState xmlns:xlrd2="http://schemas.microsoft.com/office/spreadsheetml/2017/richdata2" ref="A7:Q60">
    <sortCondition descending="1" ref="Q7:Q60"/>
  </sortState>
  <mergeCells count="1">
    <mergeCell ref="AD6:AE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565D3-B937-48EA-9CA3-02904BCDB346}">
  <sheetPr>
    <tabColor rgb="FF92D050"/>
  </sheetPr>
  <dimension ref="A1:AE384"/>
  <sheetViews>
    <sheetView zoomScaleNormal="100" workbookViewId="0">
      <pane ySplit="7" topLeftCell="A301" activePane="bottomLeft" state="frozen"/>
      <selection pane="bottomLeft" activeCell="C3" sqref="C3"/>
    </sheetView>
  </sheetViews>
  <sheetFormatPr defaultRowHeight="14.5" x14ac:dyDescent="0.35"/>
  <cols>
    <col min="1" max="2" width="5.7265625" customWidth="1"/>
    <col min="3" max="3" width="12" customWidth="1"/>
    <col min="4" max="5" width="4.7265625" customWidth="1"/>
    <col min="6" max="6" width="4.7265625" style="19" customWidth="1"/>
    <col min="7" max="7" width="4.7265625" style="55" customWidth="1"/>
    <col min="8" max="8" width="32.81640625" style="48" customWidth="1"/>
    <col min="9" max="9" width="10.7265625" style="48" customWidth="1"/>
    <col min="10" max="15" width="10.7265625" customWidth="1"/>
    <col min="16" max="16" width="2.1796875" style="5" customWidth="1"/>
    <col min="17" max="17" width="16.1796875" style="3" customWidth="1"/>
    <col min="18" max="18" width="1.54296875" customWidth="1"/>
    <col min="19" max="19" width="20.54296875" bestFit="1" customWidth="1"/>
  </cols>
  <sheetData>
    <row r="1" spans="1:31" x14ac:dyDescent="0.35">
      <c r="A1" t="s">
        <v>59</v>
      </c>
      <c r="C1" s="24">
        <f>Summary!A21</f>
        <v>5200999000</v>
      </c>
      <c r="D1" s="3"/>
    </row>
    <row r="2" spans="1:31" ht="29" x14ac:dyDescent="0.35">
      <c r="A2" t="s">
        <v>60</v>
      </c>
      <c r="C2" s="24" t="str">
        <f>Summary!B21</f>
        <v>Miscellaneous expenses</v>
      </c>
      <c r="D2" s="3"/>
      <c r="G2" s="163" t="s">
        <v>98</v>
      </c>
    </row>
    <row r="3" spans="1:31" x14ac:dyDescent="0.35">
      <c r="A3" t="s">
        <v>61</v>
      </c>
      <c r="C3" s="22">
        <v>-7588.4399999999951</v>
      </c>
      <c r="D3" s="3"/>
      <c r="G3" s="93" t="s">
        <v>179</v>
      </c>
    </row>
    <row r="4" spans="1:31" x14ac:dyDescent="0.35">
      <c r="A4" t="s">
        <v>36</v>
      </c>
      <c r="C4" s="22">
        <f>SUM(E:E)</f>
        <v>-7588.4400000000051</v>
      </c>
      <c r="D4" s="3"/>
      <c r="G4" s="110" t="s">
        <v>180</v>
      </c>
      <c r="T4" s="24" t="s">
        <v>0</v>
      </c>
      <c r="U4" s="3">
        <f>SUMIF($A$10:$A$23974,"AU001",U9:U23973)</f>
        <v>0</v>
      </c>
    </row>
    <row r="5" spans="1:31" ht="15" thickBot="1" x14ac:dyDescent="0.4">
      <c r="A5" t="s">
        <v>62</v>
      </c>
      <c r="C5" s="3">
        <f>C3-C4</f>
        <v>1.0004441719502211E-11</v>
      </c>
      <c r="D5" s="3"/>
      <c r="Q5" s="28"/>
      <c r="R5" s="24"/>
      <c r="T5" s="24" t="s">
        <v>27</v>
      </c>
      <c r="U5" s="3">
        <f>SUMIF($A$10:$A$23975,"AU052",U9:U23974)</f>
        <v>0</v>
      </c>
    </row>
    <row r="6" spans="1:31" ht="15" thickBot="1" x14ac:dyDescent="0.4">
      <c r="D6" s="3"/>
      <c r="AC6" s="207" t="s">
        <v>35</v>
      </c>
      <c r="AD6" s="208"/>
    </row>
    <row r="7" spans="1:31" s="46" customFormat="1" ht="73.5" customHeight="1" thickBot="1" x14ac:dyDescent="0.4">
      <c r="A7" s="1" t="s">
        <v>63</v>
      </c>
      <c r="B7" s="2" t="s">
        <v>313</v>
      </c>
      <c r="C7" s="2" t="s">
        <v>64</v>
      </c>
      <c r="D7" s="2" t="s">
        <v>65</v>
      </c>
      <c r="E7" s="2" t="s">
        <v>66</v>
      </c>
      <c r="F7" s="2" t="s">
        <v>67</v>
      </c>
      <c r="G7" s="189" t="s">
        <v>68</v>
      </c>
      <c r="H7" s="2" t="s">
        <v>69</v>
      </c>
      <c r="I7" s="2" t="s">
        <v>70</v>
      </c>
      <c r="J7" s="2" t="s">
        <v>71</v>
      </c>
      <c r="K7" s="2" t="s">
        <v>72</v>
      </c>
      <c r="L7" s="2" t="s">
        <v>73</v>
      </c>
      <c r="M7" s="2" t="s">
        <v>74</v>
      </c>
      <c r="N7" s="2" t="s">
        <v>75</v>
      </c>
      <c r="O7" s="190" t="s">
        <v>304</v>
      </c>
      <c r="P7" s="36"/>
      <c r="Q7" s="47" t="s">
        <v>95</v>
      </c>
      <c r="R7" s="37" t="s">
        <v>76</v>
      </c>
      <c r="S7" s="38" t="s">
        <v>37</v>
      </c>
      <c r="T7" s="38" t="s">
        <v>38</v>
      </c>
      <c r="U7" s="38" t="s">
        <v>39</v>
      </c>
      <c r="V7" s="39" t="s">
        <v>40</v>
      </c>
      <c r="W7" s="40" t="s">
        <v>41</v>
      </c>
      <c r="X7" s="41" t="s">
        <v>42</v>
      </c>
      <c r="Y7" s="42" t="s">
        <v>43</v>
      </c>
      <c r="Z7" s="43" t="s">
        <v>44</v>
      </c>
      <c r="AA7" s="43" t="s">
        <v>45</v>
      </c>
      <c r="AB7" s="43" t="s">
        <v>46</v>
      </c>
      <c r="AC7" s="44" t="s">
        <v>47</v>
      </c>
      <c r="AD7" s="44" t="s">
        <v>48</v>
      </c>
      <c r="AE7" s="45" t="s">
        <v>49</v>
      </c>
    </row>
    <row r="8" spans="1:31" x14ac:dyDescent="0.35">
      <c r="A8" t="s">
        <v>27</v>
      </c>
      <c r="B8" t="s">
        <v>332</v>
      </c>
      <c r="C8" t="s">
        <v>21</v>
      </c>
      <c r="D8" t="s">
        <v>22</v>
      </c>
      <c r="E8">
        <v>168548.84</v>
      </c>
      <c r="F8" t="s">
        <v>77</v>
      </c>
      <c r="G8" s="19">
        <v>45742</v>
      </c>
      <c r="H8" t="s">
        <v>1808</v>
      </c>
      <c r="I8" t="s">
        <v>1808</v>
      </c>
      <c r="Q8" s="3">
        <f t="shared" ref="Q8:Q71" si="0">ABS(E8)</f>
        <v>168548.84</v>
      </c>
      <c r="S8" t="s">
        <v>97</v>
      </c>
    </row>
    <row r="9" spans="1:31" x14ac:dyDescent="0.35">
      <c r="A9" t="s">
        <v>27</v>
      </c>
      <c r="B9" t="s">
        <v>332</v>
      </c>
      <c r="C9" t="s">
        <v>21</v>
      </c>
      <c r="D9" t="s">
        <v>22</v>
      </c>
      <c r="E9">
        <v>-152218.23000000001</v>
      </c>
      <c r="F9" t="s">
        <v>77</v>
      </c>
      <c r="G9" s="19">
        <v>45735</v>
      </c>
      <c r="H9" t="s">
        <v>1807</v>
      </c>
      <c r="I9" t="s">
        <v>1808</v>
      </c>
      <c r="Q9" s="3">
        <f t="shared" si="0"/>
        <v>152218.23000000001</v>
      </c>
      <c r="S9" t="s">
        <v>97</v>
      </c>
    </row>
    <row r="10" spans="1:31" x14ac:dyDescent="0.35">
      <c r="A10" t="s">
        <v>0</v>
      </c>
      <c r="B10" t="s">
        <v>610</v>
      </c>
      <c r="C10" t="s">
        <v>21</v>
      </c>
      <c r="D10" t="s">
        <v>22</v>
      </c>
      <c r="E10">
        <v>-148419</v>
      </c>
      <c r="F10" t="s">
        <v>77</v>
      </c>
      <c r="G10" s="19">
        <v>45744</v>
      </c>
      <c r="H10" t="s">
        <v>1809</v>
      </c>
      <c r="I10" t="s">
        <v>1809</v>
      </c>
      <c r="Q10" s="3">
        <f t="shared" si="0"/>
        <v>148419</v>
      </c>
      <c r="S10" t="s">
        <v>97</v>
      </c>
    </row>
    <row r="11" spans="1:31" x14ac:dyDescent="0.35">
      <c r="A11" t="s">
        <v>0</v>
      </c>
      <c r="B11" t="s">
        <v>421</v>
      </c>
      <c r="C11" t="s">
        <v>21</v>
      </c>
      <c r="D11" t="s">
        <v>22</v>
      </c>
      <c r="E11">
        <v>-110631.99</v>
      </c>
      <c r="F11" t="s">
        <v>77</v>
      </c>
      <c r="G11" s="19">
        <v>45717</v>
      </c>
      <c r="H11" t="s">
        <v>161</v>
      </c>
      <c r="I11" t="s">
        <v>162</v>
      </c>
      <c r="Q11" s="3">
        <f t="shared" si="0"/>
        <v>110631.99</v>
      </c>
      <c r="S11" t="s">
        <v>97</v>
      </c>
    </row>
    <row r="12" spans="1:31" x14ac:dyDescent="0.35">
      <c r="A12" t="s">
        <v>0</v>
      </c>
      <c r="B12" t="s">
        <v>421</v>
      </c>
      <c r="C12" t="s">
        <v>21</v>
      </c>
      <c r="D12" t="s">
        <v>22</v>
      </c>
      <c r="E12">
        <v>110631.99</v>
      </c>
      <c r="F12" t="s">
        <v>77</v>
      </c>
      <c r="G12" s="19">
        <v>45715</v>
      </c>
      <c r="H12" t="s">
        <v>161</v>
      </c>
      <c r="I12" t="s">
        <v>162</v>
      </c>
      <c r="Q12" s="3">
        <f t="shared" si="0"/>
        <v>110631.99</v>
      </c>
      <c r="S12" t="s">
        <v>97</v>
      </c>
    </row>
    <row r="13" spans="1:31" x14ac:dyDescent="0.35">
      <c r="A13" t="s">
        <v>0</v>
      </c>
      <c r="B13" t="s">
        <v>610</v>
      </c>
      <c r="C13" t="s">
        <v>21</v>
      </c>
      <c r="D13" t="s">
        <v>22</v>
      </c>
      <c r="E13">
        <v>99387.03</v>
      </c>
      <c r="F13" t="s">
        <v>77</v>
      </c>
      <c r="G13" s="19">
        <v>45737</v>
      </c>
      <c r="H13" t="s">
        <v>166</v>
      </c>
      <c r="I13" t="s">
        <v>1878</v>
      </c>
      <c r="Q13" s="3">
        <f t="shared" si="0"/>
        <v>99387.03</v>
      </c>
      <c r="S13" t="s">
        <v>97</v>
      </c>
    </row>
    <row r="14" spans="1:31" x14ac:dyDescent="0.35">
      <c r="A14" t="s">
        <v>27</v>
      </c>
      <c r="B14" t="s">
        <v>544</v>
      </c>
      <c r="C14" t="s">
        <v>21</v>
      </c>
      <c r="D14" t="s">
        <v>22</v>
      </c>
      <c r="E14">
        <v>-60691.13</v>
      </c>
      <c r="F14" t="s">
        <v>77</v>
      </c>
      <c r="G14" s="19">
        <v>45714</v>
      </c>
      <c r="H14" t="s">
        <v>1810</v>
      </c>
      <c r="I14" t="s">
        <v>1811</v>
      </c>
      <c r="Q14" s="3">
        <f t="shared" si="0"/>
        <v>60691.13</v>
      </c>
      <c r="S14" t="s">
        <v>97</v>
      </c>
    </row>
    <row r="15" spans="1:31" x14ac:dyDescent="0.35">
      <c r="A15" t="s">
        <v>0</v>
      </c>
      <c r="B15" t="s">
        <v>610</v>
      </c>
      <c r="C15" t="s">
        <v>21</v>
      </c>
      <c r="D15" t="s">
        <v>22</v>
      </c>
      <c r="E15">
        <v>46590.98</v>
      </c>
      <c r="F15" t="s">
        <v>77</v>
      </c>
      <c r="G15" s="19">
        <v>45709</v>
      </c>
      <c r="H15" t="s">
        <v>166</v>
      </c>
      <c r="I15" t="s">
        <v>1877</v>
      </c>
      <c r="Q15" s="3">
        <f t="shared" si="0"/>
        <v>46590.98</v>
      </c>
      <c r="S15" t="s">
        <v>97</v>
      </c>
    </row>
    <row r="16" spans="1:31" x14ac:dyDescent="0.35">
      <c r="A16" t="s">
        <v>27</v>
      </c>
      <c r="B16" t="s">
        <v>415</v>
      </c>
      <c r="C16" t="s">
        <v>21</v>
      </c>
      <c r="D16" t="s">
        <v>22</v>
      </c>
      <c r="E16">
        <v>42952.83</v>
      </c>
      <c r="F16" t="s">
        <v>77</v>
      </c>
      <c r="G16" s="19">
        <v>45742</v>
      </c>
      <c r="H16" t="s">
        <v>1808</v>
      </c>
      <c r="I16" t="s">
        <v>1808</v>
      </c>
      <c r="Q16" s="3">
        <f t="shared" si="0"/>
        <v>42952.83</v>
      </c>
      <c r="S16" t="s">
        <v>97</v>
      </c>
    </row>
    <row r="17" spans="1:19" x14ac:dyDescent="0.35">
      <c r="A17" t="s">
        <v>27</v>
      </c>
      <c r="B17" t="s">
        <v>415</v>
      </c>
      <c r="C17" t="s">
        <v>21</v>
      </c>
      <c r="D17" t="s">
        <v>22</v>
      </c>
      <c r="E17">
        <v>-42670.28</v>
      </c>
      <c r="F17" t="s">
        <v>77</v>
      </c>
      <c r="G17" s="19">
        <v>45735</v>
      </c>
      <c r="H17" t="s">
        <v>1807</v>
      </c>
      <c r="I17" t="s">
        <v>1808</v>
      </c>
      <c r="Q17" s="3">
        <f t="shared" si="0"/>
        <v>42670.28</v>
      </c>
      <c r="S17" t="s">
        <v>97</v>
      </c>
    </row>
    <row r="18" spans="1:19" x14ac:dyDescent="0.35">
      <c r="A18" t="s">
        <v>27</v>
      </c>
      <c r="B18" t="s">
        <v>328</v>
      </c>
      <c r="C18" t="s">
        <v>21</v>
      </c>
      <c r="D18" t="s">
        <v>22</v>
      </c>
      <c r="E18">
        <v>23359.05</v>
      </c>
      <c r="F18" t="s">
        <v>77</v>
      </c>
      <c r="G18" s="19">
        <v>45746</v>
      </c>
      <c r="H18" t="s">
        <v>1827</v>
      </c>
      <c r="I18" t="s">
        <v>1813</v>
      </c>
      <c r="Q18" s="3">
        <f t="shared" si="0"/>
        <v>23359.05</v>
      </c>
      <c r="S18" t="s">
        <v>97</v>
      </c>
    </row>
    <row r="19" spans="1:19" x14ac:dyDescent="0.35">
      <c r="A19" t="s">
        <v>27</v>
      </c>
      <c r="B19" t="s">
        <v>328</v>
      </c>
      <c r="C19" t="s">
        <v>21</v>
      </c>
      <c r="D19" t="s">
        <v>22</v>
      </c>
      <c r="E19">
        <v>-23359.049999999992</v>
      </c>
      <c r="F19" t="s">
        <v>77</v>
      </c>
      <c r="G19" s="19">
        <v>45736</v>
      </c>
      <c r="H19" t="s">
        <v>1812</v>
      </c>
      <c r="I19" t="s">
        <v>1813</v>
      </c>
      <c r="Q19" s="3">
        <f t="shared" si="0"/>
        <v>23359.049999999992</v>
      </c>
      <c r="S19" t="s">
        <v>97</v>
      </c>
    </row>
    <row r="20" spans="1:19" x14ac:dyDescent="0.35">
      <c r="A20" t="s">
        <v>27</v>
      </c>
      <c r="B20" t="s">
        <v>363</v>
      </c>
      <c r="C20" t="s">
        <v>21</v>
      </c>
      <c r="D20" t="s">
        <v>22</v>
      </c>
      <c r="E20">
        <v>20913.52</v>
      </c>
      <c r="F20" t="s">
        <v>77</v>
      </c>
      <c r="G20" s="19">
        <v>45742</v>
      </c>
      <c r="H20" t="s">
        <v>1808</v>
      </c>
      <c r="I20" t="s">
        <v>1808</v>
      </c>
      <c r="Q20" s="3">
        <f t="shared" si="0"/>
        <v>20913.52</v>
      </c>
      <c r="S20" t="s">
        <v>97</v>
      </c>
    </row>
    <row r="21" spans="1:19" x14ac:dyDescent="0.35">
      <c r="A21" t="s">
        <v>27</v>
      </c>
      <c r="B21" t="s">
        <v>363</v>
      </c>
      <c r="C21" t="s">
        <v>21</v>
      </c>
      <c r="D21" t="s">
        <v>22</v>
      </c>
      <c r="E21">
        <v>-18921.11</v>
      </c>
      <c r="F21" t="s">
        <v>77</v>
      </c>
      <c r="G21" s="19">
        <v>45735</v>
      </c>
      <c r="H21" t="s">
        <v>1807</v>
      </c>
      <c r="I21" t="s">
        <v>1808</v>
      </c>
      <c r="Q21" s="3">
        <f t="shared" si="0"/>
        <v>18921.11</v>
      </c>
      <c r="S21" t="s">
        <v>97</v>
      </c>
    </row>
    <row r="22" spans="1:19" x14ac:dyDescent="0.35">
      <c r="A22" t="s">
        <v>27</v>
      </c>
      <c r="B22" t="s">
        <v>374</v>
      </c>
      <c r="C22" t="s">
        <v>21</v>
      </c>
      <c r="D22" t="s">
        <v>22</v>
      </c>
      <c r="E22">
        <v>14026.68</v>
      </c>
      <c r="F22" t="s">
        <v>77</v>
      </c>
      <c r="G22" s="19">
        <v>45742</v>
      </c>
      <c r="H22" t="s">
        <v>1808</v>
      </c>
      <c r="I22" t="s">
        <v>1808</v>
      </c>
      <c r="Q22" s="3">
        <f t="shared" si="0"/>
        <v>14026.68</v>
      </c>
      <c r="S22" t="s">
        <v>97</v>
      </c>
    </row>
    <row r="23" spans="1:19" x14ac:dyDescent="0.35">
      <c r="A23" t="s">
        <v>27</v>
      </c>
      <c r="B23" t="s">
        <v>374</v>
      </c>
      <c r="C23" t="s">
        <v>21</v>
      </c>
      <c r="D23" t="s">
        <v>22</v>
      </c>
      <c r="E23">
        <v>-12805.49</v>
      </c>
      <c r="F23" t="s">
        <v>77</v>
      </c>
      <c r="G23" s="19">
        <v>45735</v>
      </c>
      <c r="H23" t="s">
        <v>1807</v>
      </c>
      <c r="I23" t="s">
        <v>1808</v>
      </c>
      <c r="Q23" s="3">
        <f t="shared" si="0"/>
        <v>12805.49</v>
      </c>
      <c r="S23" t="s">
        <v>97</v>
      </c>
    </row>
    <row r="24" spans="1:19" x14ac:dyDescent="0.35">
      <c r="A24" t="s">
        <v>0</v>
      </c>
      <c r="B24" t="s">
        <v>321</v>
      </c>
      <c r="C24" t="s">
        <v>21</v>
      </c>
      <c r="D24" t="s">
        <v>22</v>
      </c>
      <c r="E24">
        <v>-11365.43</v>
      </c>
      <c r="F24" t="s">
        <v>77</v>
      </c>
      <c r="G24" s="19">
        <v>45744</v>
      </c>
      <c r="H24" t="s">
        <v>161</v>
      </c>
      <c r="I24" t="s">
        <v>162</v>
      </c>
      <c r="Q24" s="3">
        <f t="shared" si="0"/>
        <v>11365.43</v>
      </c>
      <c r="S24" t="s">
        <v>97</v>
      </c>
    </row>
    <row r="25" spans="1:19" x14ac:dyDescent="0.35">
      <c r="A25" t="s">
        <v>0</v>
      </c>
      <c r="B25" t="s">
        <v>321</v>
      </c>
      <c r="C25" t="s">
        <v>21</v>
      </c>
      <c r="D25" t="s">
        <v>22</v>
      </c>
      <c r="E25">
        <v>11365.43</v>
      </c>
      <c r="F25" t="s">
        <v>77</v>
      </c>
      <c r="G25" s="19">
        <v>45736</v>
      </c>
      <c r="H25" t="s">
        <v>161</v>
      </c>
      <c r="I25" t="s">
        <v>82</v>
      </c>
      <c r="Q25" s="3">
        <f t="shared" si="0"/>
        <v>11365.43</v>
      </c>
      <c r="S25" t="s">
        <v>97</v>
      </c>
    </row>
    <row r="26" spans="1:19" x14ac:dyDescent="0.35">
      <c r="A26" t="s">
        <v>27</v>
      </c>
      <c r="B26" t="s">
        <v>358</v>
      </c>
      <c r="C26" t="s">
        <v>21</v>
      </c>
      <c r="D26" t="s">
        <v>22</v>
      </c>
      <c r="E26">
        <v>9104.43</v>
      </c>
      <c r="F26" t="s">
        <v>77</v>
      </c>
      <c r="G26" s="19">
        <v>45742</v>
      </c>
      <c r="H26" t="s">
        <v>1808</v>
      </c>
      <c r="I26" t="s">
        <v>1808</v>
      </c>
      <c r="Q26" s="3">
        <f t="shared" si="0"/>
        <v>9104.43</v>
      </c>
      <c r="S26" t="s">
        <v>97</v>
      </c>
    </row>
    <row r="27" spans="1:19" x14ac:dyDescent="0.35">
      <c r="A27" t="s">
        <v>27</v>
      </c>
      <c r="B27" t="s">
        <v>584</v>
      </c>
      <c r="C27" t="s">
        <v>21</v>
      </c>
      <c r="D27" t="s">
        <v>22</v>
      </c>
      <c r="E27">
        <v>8730.18</v>
      </c>
      <c r="F27" t="s">
        <v>77</v>
      </c>
      <c r="G27" s="19">
        <v>45742</v>
      </c>
      <c r="H27" t="s">
        <v>1808</v>
      </c>
      <c r="I27" t="s">
        <v>1808</v>
      </c>
      <c r="Q27" s="3">
        <f t="shared" si="0"/>
        <v>8730.18</v>
      </c>
      <c r="S27" t="s">
        <v>97</v>
      </c>
    </row>
    <row r="28" spans="1:19" x14ac:dyDescent="0.35">
      <c r="A28" t="s">
        <v>27</v>
      </c>
      <c r="B28" t="s">
        <v>358</v>
      </c>
      <c r="C28" t="s">
        <v>21</v>
      </c>
      <c r="D28" t="s">
        <v>22</v>
      </c>
      <c r="E28">
        <v>-8222.32</v>
      </c>
      <c r="F28" t="s">
        <v>77</v>
      </c>
      <c r="G28" s="19">
        <v>45735</v>
      </c>
      <c r="H28" t="s">
        <v>1807</v>
      </c>
      <c r="I28" t="s">
        <v>1808</v>
      </c>
      <c r="Q28" s="3">
        <f t="shared" si="0"/>
        <v>8222.32</v>
      </c>
      <c r="S28" t="s">
        <v>97</v>
      </c>
    </row>
    <row r="29" spans="1:19" x14ac:dyDescent="0.35">
      <c r="A29" t="s">
        <v>27</v>
      </c>
      <c r="B29" t="s">
        <v>584</v>
      </c>
      <c r="C29" t="s">
        <v>21</v>
      </c>
      <c r="D29" t="s">
        <v>22</v>
      </c>
      <c r="E29">
        <v>-8089.35</v>
      </c>
      <c r="F29" t="s">
        <v>77</v>
      </c>
      <c r="G29" s="19">
        <v>45735</v>
      </c>
      <c r="H29" t="s">
        <v>1807</v>
      </c>
      <c r="I29" t="s">
        <v>1808</v>
      </c>
      <c r="Q29" s="3">
        <f t="shared" si="0"/>
        <v>8089.35</v>
      </c>
      <c r="S29" t="s">
        <v>97</v>
      </c>
    </row>
    <row r="30" spans="1:19" x14ac:dyDescent="0.35">
      <c r="A30" t="s">
        <v>27</v>
      </c>
      <c r="B30" t="s">
        <v>356</v>
      </c>
      <c r="C30" t="s">
        <v>21</v>
      </c>
      <c r="D30" t="s">
        <v>22</v>
      </c>
      <c r="E30">
        <v>6718.29</v>
      </c>
      <c r="F30" t="s">
        <v>77</v>
      </c>
      <c r="G30" s="19">
        <v>45742</v>
      </c>
      <c r="H30" t="s">
        <v>1808</v>
      </c>
      <c r="I30" t="s">
        <v>1808</v>
      </c>
      <c r="Q30" s="3">
        <f t="shared" si="0"/>
        <v>6718.29</v>
      </c>
      <c r="S30" t="s">
        <v>97</v>
      </c>
    </row>
    <row r="31" spans="1:19" x14ac:dyDescent="0.35">
      <c r="A31" t="s">
        <v>27</v>
      </c>
      <c r="B31" t="s">
        <v>356</v>
      </c>
      <c r="C31" t="s">
        <v>21</v>
      </c>
      <c r="D31" t="s">
        <v>22</v>
      </c>
      <c r="E31">
        <v>-6407.11</v>
      </c>
      <c r="F31" t="s">
        <v>77</v>
      </c>
      <c r="G31" s="19">
        <v>45735</v>
      </c>
      <c r="H31" t="s">
        <v>1807</v>
      </c>
      <c r="I31" t="s">
        <v>1808</v>
      </c>
      <c r="Q31" s="3">
        <f t="shared" si="0"/>
        <v>6407.11</v>
      </c>
      <c r="S31" t="s">
        <v>97</v>
      </c>
    </row>
    <row r="32" spans="1:19" x14ac:dyDescent="0.35">
      <c r="A32" t="s">
        <v>0</v>
      </c>
      <c r="B32" t="s">
        <v>394</v>
      </c>
      <c r="C32" t="s">
        <v>21</v>
      </c>
      <c r="D32" t="s">
        <v>22</v>
      </c>
      <c r="E32">
        <v>-6000</v>
      </c>
      <c r="F32" t="s">
        <v>77</v>
      </c>
      <c r="G32" s="19">
        <v>45681</v>
      </c>
      <c r="H32" t="s">
        <v>161</v>
      </c>
      <c r="I32" t="s">
        <v>162</v>
      </c>
      <c r="Q32" s="3">
        <f t="shared" si="0"/>
        <v>6000</v>
      </c>
      <c r="S32" t="s">
        <v>97</v>
      </c>
    </row>
    <row r="33" spans="1:19" x14ac:dyDescent="0.35">
      <c r="A33" t="s">
        <v>27</v>
      </c>
      <c r="B33" t="s">
        <v>394</v>
      </c>
      <c r="C33" t="s">
        <v>21</v>
      </c>
      <c r="D33" t="s">
        <v>22</v>
      </c>
      <c r="E33">
        <v>5214.74</v>
      </c>
      <c r="F33" t="s">
        <v>77</v>
      </c>
      <c r="G33" s="19">
        <v>45742</v>
      </c>
      <c r="H33" t="s">
        <v>1808</v>
      </c>
      <c r="I33" t="s">
        <v>1808</v>
      </c>
      <c r="Q33" s="3">
        <f t="shared" si="0"/>
        <v>5214.74</v>
      </c>
      <c r="S33" t="s">
        <v>97</v>
      </c>
    </row>
    <row r="34" spans="1:19" x14ac:dyDescent="0.35">
      <c r="A34" t="s">
        <v>27</v>
      </c>
      <c r="B34" t="s">
        <v>394</v>
      </c>
      <c r="C34" t="s">
        <v>21</v>
      </c>
      <c r="D34" t="s">
        <v>22</v>
      </c>
      <c r="E34">
        <v>-4716.5200000000004</v>
      </c>
      <c r="F34" t="s">
        <v>77</v>
      </c>
      <c r="G34" s="19">
        <v>45735</v>
      </c>
      <c r="H34" t="s">
        <v>1807</v>
      </c>
      <c r="I34" t="s">
        <v>1808</v>
      </c>
      <c r="Q34" s="3">
        <f t="shared" si="0"/>
        <v>4716.5200000000004</v>
      </c>
      <c r="S34" t="s">
        <v>97</v>
      </c>
    </row>
    <row r="35" spans="1:19" x14ac:dyDescent="0.35">
      <c r="A35" t="s">
        <v>27</v>
      </c>
      <c r="B35" t="s">
        <v>610</v>
      </c>
      <c r="C35" t="s">
        <v>21</v>
      </c>
      <c r="D35" t="s">
        <v>22</v>
      </c>
      <c r="E35">
        <v>4167.71</v>
      </c>
      <c r="F35" t="s">
        <v>77</v>
      </c>
      <c r="G35" s="19">
        <v>45734</v>
      </c>
      <c r="H35" t="s">
        <v>166</v>
      </c>
      <c r="I35" t="s">
        <v>1876</v>
      </c>
      <c r="Q35" s="3">
        <f t="shared" si="0"/>
        <v>4167.71</v>
      </c>
      <c r="S35" t="s">
        <v>97</v>
      </c>
    </row>
    <row r="36" spans="1:19" x14ac:dyDescent="0.35">
      <c r="A36" t="s">
        <v>27</v>
      </c>
      <c r="B36" t="s">
        <v>610</v>
      </c>
      <c r="C36" t="s">
        <v>21</v>
      </c>
      <c r="D36" t="s">
        <v>22</v>
      </c>
      <c r="E36">
        <v>3679.19</v>
      </c>
      <c r="F36" t="s">
        <v>77</v>
      </c>
      <c r="G36" s="19">
        <v>45677</v>
      </c>
      <c r="H36" t="s">
        <v>166</v>
      </c>
      <c r="I36" t="s">
        <v>1875</v>
      </c>
      <c r="Q36" s="3">
        <f t="shared" si="0"/>
        <v>3679.19</v>
      </c>
      <c r="S36" t="s">
        <v>97</v>
      </c>
    </row>
    <row r="37" spans="1:19" x14ac:dyDescent="0.35">
      <c r="A37" t="s">
        <v>27</v>
      </c>
      <c r="B37" t="s">
        <v>610</v>
      </c>
      <c r="C37" t="s">
        <v>21</v>
      </c>
      <c r="D37" t="s">
        <v>22</v>
      </c>
      <c r="E37">
        <v>3220.16</v>
      </c>
      <c r="F37" t="s">
        <v>77</v>
      </c>
      <c r="G37" s="19">
        <v>45706</v>
      </c>
      <c r="H37" t="s">
        <v>166</v>
      </c>
      <c r="I37" t="s">
        <v>1874</v>
      </c>
      <c r="Q37" s="3">
        <f t="shared" si="0"/>
        <v>3220.16</v>
      </c>
      <c r="S37" t="s">
        <v>97</v>
      </c>
    </row>
    <row r="38" spans="1:19" x14ac:dyDescent="0.35">
      <c r="A38" t="s">
        <v>0</v>
      </c>
      <c r="B38" t="s">
        <v>610</v>
      </c>
      <c r="C38" t="s">
        <v>21</v>
      </c>
      <c r="D38" t="s">
        <v>22</v>
      </c>
      <c r="E38">
        <v>3102.8</v>
      </c>
      <c r="F38" t="s">
        <v>77</v>
      </c>
      <c r="G38" s="19">
        <v>45709</v>
      </c>
      <c r="H38" t="s">
        <v>166</v>
      </c>
      <c r="I38" t="s">
        <v>1873</v>
      </c>
      <c r="Q38" s="3">
        <f t="shared" si="0"/>
        <v>3102.8</v>
      </c>
      <c r="S38" t="s">
        <v>97</v>
      </c>
    </row>
    <row r="39" spans="1:19" x14ac:dyDescent="0.35">
      <c r="A39" t="s">
        <v>0</v>
      </c>
      <c r="B39" t="s">
        <v>610</v>
      </c>
      <c r="C39" t="s">
        <v>21</v>
      </c>
      <c r="D39" t="s">
        <v>22</v>
      </c>
      <c r="E39">
        <v>3030.3</v>
      </c>
      <c r="F39" t="s">
        <v>77</v>
      </c>
      <c r="G39" s="19">
        <v>45737</v>
      </c>
      <c r="H39" t="s">
        <v>166</v>
      </c>
      <c r="I39" t="s">
        <v>1872</v>
      </c>
      <c r="Q39" s="3">
        <f t="shared" si="0"/>
        <v>3030.3</v>
      </c>
      <c r="S39" t="s">
        <v>97</v>
      </c>
    </row>
    <row r="40" spans="1:19" x14ac:dyDescent="0.35">
      <c r="A40" t="s">
        <v>27</v>
      </c>
      <c r="B40" t="s">
        <v>328</v>
      </c>
      <c r="C40" t="s">
        <v>21</v>
      </c>
      <c r="D40" t="s">
        <v>22</v>
      </c>
      <c r="E40">
        <v>2935.69</v>
      </c>
      <c r="F40" t="s">
        <v>77</v>
      </c>
      <c r="G40" s="19">
        <v>45746</v>
      </c>
      <c r="H40" t="s">
        <v>1827</v>
      </c>
      <c r="I40" t="s">
        <v>1814</v>
      </c>
      <c r="Q40" s="3">
        <f t="shared" si="0"/>
        <v>2935.69</v>
      </c>
      <c r="S40" t="s">
        <v>97</v>
      </c>
    </row>
    <row r="41" spans="1:19" x14ac:dyDescent="0.35">
      <c r="A41" t="s">
        <v>27</v>
      </c>
      <c r="B41" t="s">
        <v>328</v>
      </c>
      <c r="C41" t="s">
        <v>21</v>
      </c>
      <c r="D41" t="s">
        <v>22</v>
      </c>
      <c r="E41">
        <v>-2935.6899999999991</v>
      </c>
      <c r="F41" t="s">
        <v>77</v>
      </c>
      <c r="G41" s="19">
        <v>45736</v>
      </c>
      <c r="H41" t="s">
        <v>1812</v>
      </c>
      <c r="I41" t="s">
        <v>1814</v>
      </c>
      <c r="Q41" s="3">
        <f t="shared" si="0"/>
        <v>2935.6899999999991</v>
      </c>
      <c r="S41" t="s">
        <v>97</v>
      </c>
    </row>
    <row r="42" spans="1:19" x14ac:dyDescent="0.35">
      <c r="A42" t="s">
        <v>27</v>
      </c>
      <c r="B42" t="s">
        <v>328</v>
      </c>
      <c r="C42" t="s">
        <v>21</v>
      </c>
      <c r="D42" t="s">
        <v>22</v>
      </c>
      <c r="E42">
        <v>-2858.42</v>
      </c>
      <c r="F42" t="s">
        <v>77</v>
      </c>
      <c r="G42" s="19">
        <v>45736</v>
      </c>
      <c r="H42" t="s">
        <v>1812</v>
      </c>
      <c r="I42" t="s">
        <v>1815</v>
      </c>
      <c r="Q42" s="3">
        <f t="shared" si="0"/>
        <v>2858.42</v>
      </c>
      <c r="S42" t="s">
        <v>97</v>
      </c>
    </row>
    <row r="43" spans="1:19" x14ac:dyDescent="0.35">
      <c r="A43" t="s">
        <v>27</v>
      </c>
      <c r="B43" t="s">
        <v>328</v>
      </c>
      <c r="C43" t="s">
        <v>21</v>
      </c>
      <c r="D43" t="s">
        <v>22</v>
      </c>
      <c r="E43">
        <v>2858.42</v>
      </c>
      <c r="F43" t="s">
        <v>77</v>
      </c>
      <c r="G43" s="19">
        <v>45746</v>
      </c>
      <c r="H43" t="s">
        <v>1827</v>
      </c>
      <c r="I43" t="s">
        <v>1815</v>
      </c>
      <c r="Q43" s="3">
        <f t="shared" si="0"/>
        <v>2858.42</v>
      </c>
      <c r="S43" t="s">
        <v>97</v>
      </c>
    </row>
    <row r="44" spans="1:19" x14ac:dyDescent="0.35">
      <c r="A44" t="s">
        <v>0</v>
      </c>
      <c r="B44" t="s">
        <v>610</v>
      </c>
      <c r="C44" t="s">
        <v>21</v>
      </c>
      <c r="D44" t="s">
        <v>22</v>
      </c>
      <c r="E44">
        <v>2830.7</v>
      </c>
      <c r="F44" t="s">
        <v>77</v>
      </c>
      <c r="G44" s="19">
        <v>45678</v>
      </c>
      <c r="H44" t="s">
        <v>1863</v>
      </c>
      <c r="I44" t="s">
        <v>1863</v>
      </c>
      <c r="Q44" s="3">
        <f t="shared" si="0"/>
        <v>2830.7</v>
      </c>
      <c r="S44" t="s">
        <v>97</v>
      </c>
    </row>
    <row r="45" spans="1:19" x14ac:dyDescent="0.35">
      <c r="A45" t="s">
        <v>27</v>
      </c>
      <c r="B45" t="s">
        <v>328</v>
      </c>
      <c r="C45" t="s">
        <v>21</v>
      </c>
      <c r="D45" t="s">
        <v>22</v>
      </c>
      <c r="E45">
        <v>-2575.9800000000009</v>
      </c>
      <c r="F45" t="s">
        <v>77</v>
      </c>
      <c r="G45" s="19">
        <v>45736</v>
      </c>
      <c r="H45" t="s">
        <v>1812</v>
      </c>
      <c r="I45" t="s">
        <v>1816</v>
      </c>
      <c r="Q45" s="3">
        <f t="shared" si="0"/>
        <v>2575.9800000000009</v>
      </c>
      <c r="S45" t="s">
        <v>97</v>
      </c>
    </row>
    <row r="46" spans="1:19" x14ac:dyDescent="0.35">
      <c r="A46" t="s">
        <v>27</v>
      </c>
      <c r="B46" t="s">
        <v>328</v>
      </c>
      <c r="C46" t="s">
        <v>21</v>
      </c>
      <c r="D46" t="s">
        <v>22</v>
      </c>
      <c r="E46">
        <v>2575.98</v>
      </c>
      <c r="F46" t="s">
        <v>77</v>
      </c>
      <c r="G46" s="19">
        <v>45746</v>
      </c>
      <c r="H46" t="s">
        <v>1827</v>
      </c>
      <c r="I46" t="s">
        <v>1816</v>
      </c>
      <c r="Q46" s="3">
        <f t="shared" si="0"/>
        <v>2575.98</v>
      </c>
      <c r="S46" t="s">
        <v>97</v>
      </c>
    </row>
    <row r="47" spans="1:19" x14ac:dyDescent="0.35">
      <c r="A47" t="s">
        <v>0</v>
      </c>
      <c r="B47" t="s">
        <v>610</v>
      </c>
      <c r="C47" t="s">
        <v>21</v>
      </c>
      <c r="D47" t="s">
        <v>22</v>
      </c>
      <c r="E47">
        <v>2440.5300000000002</v>
      </c>
      <c r="F47" t="s">
        <v>77</v>
      </c>
      <c r="G47" s="19">
        <v>45678</v>
      </c>
      <c r="H47" t="s">
        <v>1863</v>
      </c>
      <c r="I47" t="s">
        <v>1871</v>
      </c>
      <c r="Q47" s="3">
        <f t="shared" si="0"/>
        <v>2440.5300000000002</v>
      </c>
      <c r="S47" t="s">
        <v>97</v>
      </c>
    </row>
    <row r="48" spans="1:19" x14ac:dyDescent="0.35">
      <c r="A48" t="s">
        <v>27</v>
      </c>
      <c r="B48" t="s">
        <v>610</v>
      </c>
      <c r="C48" t="s">
        <v>21</v>
      </c>
      <c r="D48" t="s">
        <v>22</v>
      </c>
      <c r="E48">
        <v>2248.92</v>
      </c>
      <c r="F48" t="s">
        <v>77</v>
      </c>
      <c r="G48" s="19">
        <v>45709</v>
      </c>
      <c r="H48" t="s">
        <v>166</v>
      </c>
      <c r="I48" t="s">
        <v>1870</v>
      </c>
      <c r="Q48" s="3">
        <f t="shared" si="0"/>
        <v>2248.92</v>
      </c>
      <c r="S48" t="s">
        <v>97</v>
      </c>
    </row>
    <row r="49" spans="1:19" x14ac:dyDescent="0.35">
      <c r="A49" t="s">
        <v>27</v>
      </c>
      <c r="B49" t="s">
        <v>610</v>
      </c>
      <c r="C49" t="s">
        <v>21</v>
      </c>
      <c r="D49" t="s">
        <v>22</v>
      </c>
      <c r="E49">
        <v>2091.96</v>
      </c>
      <c r="F49" t="s">
        <v>77</v>
      </c>
      <c r="G49" s="19">
        <v>45737</v>
      </c>
      <c r="H49" t="s">
        <v>166</v>
      </c>
      <c r="I49" t="s">
        <v>1869</v>
      </c>
      <c r="Q49" s="3">
        <f t="shared" si="0"/>
        <v>2091.96</v>
      </c>
      <c r="S49" t="s">
        <v>97</v>
      </c>
    </row>
    <row r="50" spans="1:19" x14ac:dyDescent="0.35">
      <c r="A50" t="s">
        <v>27</v>
      </c>
      <c r="B50" t="s">
        <v>610</v>
      </c>
      <c r="C50" t="s">
        <v>21</v>
      </c>
      <c r="D50" t="s">
        <v>22</v>
      </c>
      <c r="E50">
        <v>1992.1</v>
      </c>
      <c r="F50" t="s">
        <v>77</v>
      </c>
      <c r="G50" s="19">
        <v>45678</v>
      </c>
      <c r="H50" t="s">
        <v>1863</v>
      </c>
      <c r="I50" t="s">
        <v>1868</v>
      </c>
      <c r="Q50" s="3">
        <f t="shared" si="0"/>
        <v>1992.1</v>
      </c>
      <c r="S50" t="s">
        <v>97</v>
      </c>
    </row>
    <row r="51" spans="1:19" x14ac:dyDescent="0.35">
      <c r="A51" t="s">
        <v>0</v>
      </c>
      <c r="B51" t="s">
        <v>321</v>
      </c>
      <c r="C51" t="s">
        <v>21</v>
      </c>
      <c r="D51" t="s">
        <v>22</v>
      </c>
      <c r="E51">
        <v>1870</v>
      </c>
      <c r="F51" t="s">
        <v>77</v>
      </c>
      <c r="G51" s="19">
        <v>45686</v>
      </c>
      <c r="H51" t="s">
        <v>161</v>
      </c>
      <c r="I51" t="s">
        <v>82</v>
      </c>
      <c r="Q51" s="3">
        <f t="shared" si="0"/>
        <v>1870</v>
      </c>
      <c r="S51" t="s">
        <v>97</v>
      </c>
    </row>
    <row r="52" spans="1:19" x14ac:dyDescent="0.35">
      <c r="A52" t="s">
        <v>27</v>
      </c>
      <c r="B52" t="s">
        <v>328</v>
      </c>
      <c r="C52" t="s">
        <v>21</v>
      </c>
      <c r="D52" t="s">
        <v>22</v>
      </c>
      <c r="E52">
        <v>1856.89</v>
      </c>
      <c r="F52" t="s">
        <v>77</v>
      </c>
      <c r="G52" s="19">
        <v>45746</v>
      </c>
      <c r="H52" t="s">
        <v>1827</v>
      </c>
      <c r="I52" t="s">
        <v>1817</v>
      </c>
      <c r="Q52" s="3">
        <f t="shared" si="0"/>
        <v>1856.89</v>
      </c>
      <c r="S52" t="s">
        <v>97</v>
      </c>
    </row>
    <row r="53" spans="1:19" x14ac:dyDescent="0.35">
      <c r="A53" t="s">
        <v>27</v>
      </c>
      <c r="B53" t="s">
        <v>328</v>
      </c>
      <c r="C53" t="s">
        <v>21</v>
      </c>
      <c r="D53" t="s">
        <v>22</v>
      </c>
      <c r="E53">
        <v>-1856.8899999999996</v>
      </c>
      <c r="F53" t="s">
        <v>77</v>
      </c>
      <c r="G53" s="19">
        <v>45736</v>
      </c>
      <c r="H53" t="s">
        <v>1812</v>
      </c>
      <c r="I53" t="s">
        <v>1817</v>
      </c>
      <c r="Q53" s="3">
        <f t="shared" si="0"/>
        <v>1856.8899999999996</v>
      </c>
      <c r="S53" t="s">
        <v>97</v>
      </c>
    </row>
    <row r="54" spans="1:19" x14ac:dyDescent="0.35">
      <c r="A54" t="s">
        <v>0</v>
      </c>
      <c r="B54" t="s">
        <v>394</v>
      </c>
      <c r="C54" t="s">
        <v>21</v>
      </c>
      <c r="D54" t="s">
        <v>22</v>
      </c>
      <c r="E54">
        <v>-1855.53</v>
      </c>
      <c r="F54" t="s">
        <v>77</v>
      </c>
      <c r="G54" s="19">
        <v>45686</v>
      </c>
      <c r="H54" t="s">
        <v>161</v>
      </c>
      <c r="I54" t="s">
        <v>162</v>
      </c>
      <c r="Q54" s="3">
        <f t="shared" si="0"/>
        <v>1855.53</v>
      </c>
      <c r="S54" t="s">
        <v>97</v>
      </c>
    </row>
    <row r="55" spans="1:19" x14ac:dyDescent="0.35">
      <c r="A55" t="s">
        <v>0</v>
      </c>
      <c r="B55" t="s">
        <v>438</v>
      </c>
      <c r="C55" t="s">
        <v>21</v>
      </c>
      <c r="D55" t="s">
        <v>22</v>
      </c>
      <c r="E55">
        <v>1521.3899999999999</v>
      </c>
      <c r="F55" t="s">
        <v>77</v>
      </c>
      <c r="G55" s="19">
        <v>45747</v>
      </c>
      <c r="H55" t="s">
        <v>1867</v>
      </c>
      <c r="I55" t="s">
        <v>164</v>
      </c>
      <c r="Q55" s="3">
        <f t="shared" si="0"/>
        <v>1521.3899999999999</v>
      </c>
      <c r="S55" t="s">
        <v>97</v>
      </c>
    </row>
    <row r="56" spans="1:19" x14ac:dyDescent="0.35">
      <c r="A56" t="s">
        <v>27</v>
      </c>
      <c r="B56" t="s">
        <v>332</v>
      </c>
      <c r="C56" t="s">
        <v>21</v>
      </c>
      <c r="D56" t="s">
        <v>22</v>
      </c>
      <c r="E56">
        <v>-1393.63</v>
      </c>
      <c r="F56" t="s">
        <v>77</v>
      </c>
      <c r="G56" s="19">
        <v>45747</v>
      </c>
      <c r="H56" t="s">
        <v>119</v>
      </c>
      <c r="I56" t="s">
        <v>120</v>
      </c>
      <c r="Q56" s="3">
        <f t="shared" si="0"/>
        <v>1393.63</v>
      </c>
      <c r="S56" t="s">
        <v>97</v>
      </c>
    </row>
    <row r="57" spans="1:19" x14ac:dyDescent="0.35">
      <c r="A57" t="s">
        <v>0</v>
      </c>
      <c r="B57" t="s">
        <v>610</v>
      </c>
      <c r="C57" t="s">
        <v>21</v>
      </c>
      <c r="D57" t="s">
        <v>22</v>
      </c>
      <c r="E57">
        <v>1272.51</v>
      </c>
      <c r="F57" t="s">
        <v>77</v>
      </c>
      <c r="G57" s="19">
        <v>45677</v>
      </c>
      <c r="H57" t="s">
        <v>166</v>
      </c>
      <c r="I57" t="s">
        <v>1866</v>
      </c>
      <c r="Q57" s="3">
        <f t="shared" si="0"/>
        <v>1272.51</v>
      </c>
      <c r="S57" t="s">
        <v>97</v>
      </c>
    </row>
    <row r="58" spans="1:19" x14ac:dyDescent="0.35">
      <c r="A58" t="s">
        <v>27</v>
      </c>
      <c r="B58" t="s">
        <v>610</v>
      </c>
      <c r="C58" t="s">
        <v>21</v>
      </c>
      <c r="D58" t="s">
        <v>22</v>
      </c>
      <c r="E58">
        <v>1030</v>
      </c>
      <c r="F58" t="s">
        <v>77</v>
      </c>
      <c r="G58" s="19">
        <v>45678</v>
      </c>
      <c r="H58" t="s">
        <v>1863</v>
      </c>
      <c r="I58" t="s">
        <v>623</v>
      </c>
      <c r="Q58" s="3">
        <f t="shared" si="0"/>
        <v>1030</v>
      </c>
      <c r="S58" t="s">
        <v>97</v>
      </c>
    </row>
    <row r="59" spans="1:19" x14ac:dyDescent="0.35">
      <c r="A59" t="s">
        <v>27</v>
      </c>
      <c r="B59" t="s">
        <v>610</v>
      </c>
      <c r="C59" t="s">
        <v>21</v>
      </c>
      <c r="D59" t="s">
        <v>22</v>
      </c>
      <c r="E59">
        <v>1030</v>
      </c>
      <c r="F59" t="s">
        <v>77</v>
      </c>
      <c r="G59" s="19">
        <v>45709</v>
      </c>
      <c r="H59" t="s">
        <v>166</v>
      </c>
      <c r="I59" t="s">
        <v>1864</v>
      </c>
      <c r="Q59" s="3">
        <f t="shared" si="0"/>
        <v>1030</v>
      </c>
      <c r="S59" t="s">
        <v>97</v>
      </c>
    </row>
    <row r="60" spans="1:19" x14ac:dyDescent="0.35">
      <c r="A60" t="s">
        <v>27</v>
      </c>
      <c r="B60" t="s">
        <v>610</v>
      </c>
      <c r="C60" t="s">
        <v>21</v>
      </c>
      <c r="D60" t="s">
        <v>22</v>
      </c>
      <c r="E60">
        <v>1030</v>
      </c>
      <c r="F60" t="s">
        <v>77</v>
      </c>
      <c r="G60" s="19">
        <v>45737</v>
      </c>
      <c r="H60" t="s">
        <v>166</v>
      </c>
      <c r="I60" t="s">
        <v>1865</v>
      </c>
      <c r="Q60" s="3">
        <f t="shared" si="0"/>
        <v>1030</v>
      </c>
      <c r="S60" t="s">
        <v>97</v>
      </c>
    </row>
    <row r="61" spans="1:19" x14ac:dyDescent="0.35">
      <c r="A61" t="s">
        <v>0</v>
      </c>
      <c r="B61" t="s">
        <v>610</v>
      </c>
      <c r="C61" t="s">
        <v>21</v>
      </c>
      <c r="D61" t="s">
        <v>22</v>
      </c>
      <c r="E61">
        <v>966.47</v>
      </c>
      <c r="F61" t="s">
        <v>77</v>
      </c>
      <c r="G61" s="19">
        <v>45734</v>
      </c>
      <c r="H61" t="s">
        <v>166</v>
      </c>
      <c r="I61" t="s">
        <v>1862</v>
      </c>
      <c r="Q61" s="3">
        <f t="shared" si="0"/>
        <v>966.47</v>
      </c>
      <c r="S61" t="s">
        <v>97</v>
      </c>
    </row>
    <row r="62" spans="1:19" x14ac:dyDescent="0.35">
      <c r="A62" t="s">
        <v>0</v>
      </c>
      <c r="B62" t="s">
        <v>499</v>
      </c>
      <c r="C62" t="s">
        <v>21</v>
      </c>
      <c r="D62" t="s">
        <v>22</v>
      </c>
      <c r="E62">
        <v>950</v>
      </c>
      <c r="F62" t="s">
        <v>77</v>
      </c>
      <c r="G62" s="19">
        <v>45743</v>
      </c>
      <c r="H62" t="s">
        <v>161</v>
      </c>
      <c r="I62" t="s">
        <v>1861</v>
      </c>
      <c r="Q62" s="3">
        <f t="shared" si="0"/>
        <v>950</v>
      </c>
      <c r="S62" t="s">
        <v>97</v>
      </c>
    </row>
    <row r="63" spans="1:19" x14ac:dyDescent="0.35">
      <c r="A63" t="s">
        <v>27</v>
      </c>
      <c r="B63" t="s">
        <v>610</v>
      </c>
      <c r="C63" t="s">
        <v>21</v>
      </c>
      <c r="D63" t="s">
        <v>22</v>
      </c>
      <c r="E63">
        <v>-914.45</v>
      </c>
      <c r="F63" t="s">
        <v>77</v>
      </c>
      <c r="G63" s="19">
        <v>45716</v>
      </c>
      <c r="H63" t="s">
        <v>1818</v>
      </c>
      <c r="I63" t="s">
        <v>1818</v>
      </c>
      <c r="Q63" s="3">
        <f t="shared" si="0"/>
        <v>914.45</v>
      </c>
      <c r="S63" t="s">
        <v>97</v>
      </c>
    </row>
    <row r="64" spans="1:19" x14ac:dyDescent="0.35">
      <c r="A64" t="s">
        <v>27</v>
      </c>
      <c r="B64" t="s">
        <v>610</v>
      </c>
      <c r="C64" t="s">
        <v>21</v>
      </c>
      <c r="D64" t="s">
        <v>22</v>
      </c>
      <c r="E64">
        <v>914.45</v>
      </c>
      <c r="F64" t="s">
        <v>77</v>
      </c>
      <c r="G64" s="19">
        <v>45716</v>
      </c>
      <c r="H64" t="s">
        <v>1818</v>
      </c>
      <c r="I64" t="s">
        <v>1860</v>
      </c>
      <c r="Q64" s="3">
        <f t="shared" si="0"/>
        <v>914.45</v>
      </c>
      <c r="S64" t="s">
        <v>97</v>
      </c>
    </row>
    <row r="65" spans="1:19" x14ac:dyDescent="0.35">
      <c r="A65" t="s">
        <v>0</v>
      </c>
      <c r="B65" t="s">
        <v>438</v>
      </c>
      <c r="C65" t="s">
        <v>21</v>
      </c>
      <c r="D65" t="s">
        <v>22</v>
      </c>
      <c r="E65">
        <v>887.77</v>
      </c>
      <c r="F65" t="s">
        <v>77</v>
      </c>
      <c r="G65" s="19">
        <v>45688</v>
      </c>
      <c r="H65" t="s">
        <v>1859</v>
      </c>
      <c r="I65" t="s">
        <v>1859</v>
      </c>
      <c r="Q65" s="3">
        <f t="shared" si="0"/>
        <v>887.77</v>
      </c>
      <c r="S65" t="s">
        <v>97</v>
      </c>
    </row>
    <row r="66" spans="1:19" x14ac:dyDescent="0.35">
      <c r="A66" t="s">
        <v>27</v>
      </c>
      <c r="B66" t="s">
        <v>544</v>
      </c>
      <c r="C66" t="s">
        <v>21</v>
      </c>
      <c r="D66" t="s">
        <v>22</v>
      </c>
      <c r="E66">
        <v>-779.77</v>
      </c>
      <c r="F66" t="s">
        <v>77</v>
      </c>
      <c r="G66" s="19">
        <v>45716</v>
      </c>
      <c r="H66" t="s">
        <v>119</v>
      </c>
      <c r="I66" t="s">
        <v>120</v>
      </c>
      <c r="Q66" s="3">
        <f t="shared" si="0"/>
        <v>779.77</v>
      </c>
      <c r="S66" t="s">
        <v>97</v>
      </c>
    </row>
    <row r="67" spans="1:19" x14ac:dyDescent="0.35">
      <c r="A67" t="s">
        <v>0</v>
      </c>
      <c r="B67" t="s">
        <v>610</v>
      </c>
      <c r="C67" t="s">
        <v>21</v>
      </c>
      <c r="D67" t="s">
        <v>22</v>
      </c>
      <c r="E67">
        <v>749.24</v>
      </c>
      <c r="F67" t="s">
        <v>77</v>
      </c>
      <c r="G67" s="19">
        <v>45706</v>
      </c>
      <c r="H67" t="s">
        <v>166</v>
      </c>
      <c r="I67" t="s">
        <v>1858</v>
      </c>
      <c r="Q67" s="3">
        <f t="shared" si="0"/>
        <v>749.24</v>
      </c>
      <c r="S67" t="s">
        <v>97</v>
      </c>
    </row>
    <row r="68" spans="1:19" x14ac:dyDescent="0.35">
      <c r="A68" t="s">
        <v>0</v>
      </c>
      <c r="B68" t="s">
        <v>394</v>
      </c>
      <c r="C68" t="s">
        <v>21</v>
      </c>
      <c r="D68" t="s">
        <v>22</v>
      </c>
      <c r="E68">
        <v>729.08</v>
      </c>
      <c r="F68" t="s">
        <v>77</v>
      </c>
      <c r="G68" s="19">
        <v>45672</v>
      </c>
      <c r="H68" t="s">
        <v>161</v>
      </c>
      <c r="I68" t="s">
        <v>162</v>
      </c>
      <c r="Q68" s="3">
        <f t="shared" si="0"/>
        <v>729.08</v>
      </c>
      <c r="S68" t="s">
        <v>97</v>
      </c>
    </row>
    <row r="69" spans="1:19" x14ac:dyDescent="0.35">
      <c r="A69" t="s">
        <v>27</v>
      </c>
      <c r="B69" t="s">
        <v>332</v>
      </c>
      <c r="C69" t="s">
        <v>21</v>
      </c>
      <c r="D69" t="s">
        <v>22</v>
      </c>
      <c r="E69">
        <v>711.69</v>
      </c>
      <c r="F69" t="s">
        <v>77</v>
      </c>
      <c r="G69" s="19">
        <v>45742</v>
      </c>
      <c r="H69" t="s">
        <v>119</v>
      </c>
      <c r="I69" t="s">
        <v>120</v>
      </c>
      <c r="Q69" s="3">
        <f t="shared" si="0"/>
        <v>711.69</v>
      </c>
      <c r="S69" t="s">
        <v>97</v>
      </c>
    </row>
    <row r="70" spans="1:19" x14ac:dyDescent="0.35">
      <c r="A70" t="s">
        <v>27</v>
      </c>
      <c r="B70" t="s">
        <v>332</v>
      </c>
      <c r="C70" t="s">
        <v>21</v>
      </c>
      <c r="D70" t="s">
        <v>22</v>
      </c>
      <c r="E70">
        <v>-635.4</v>
      </c>
      <c r="F70" t="s">
        <v>77</v>
      </c>
      <c r="G70" s="19">
        <v>45702</v>
      </c>
      <c r="H70" t="s">
        <v>1819</v>
      </c>
      <c r="I70" t="s">
        <v>1820</v>
      </c>
      <c r="Q70" s="3">
        <f t="shared" si="0"/>
        <v>635.4</v>
      </c>
      <c r="S70" t="s">
        <v>97</v>
      </c>
    </row>
    <row r="71" spans="1:19" x14ac:dyDescent="0.35">
      <c r="A71" t="s">
        <v>27</v>
      </c>
      <c r="B71" t="s">
        <v>656</v>
      </c>
      <c r="C71" t="s">
        <v>21</v>
      </c>
      <c r="D71" t="s">
        <v>22</v>
      </c>
      <c r="E71">
        <v>-635.4</v>
      </c>
      <c r="F71" t="s">
        <v>77</v>
      </c>
      <c r="G71" s="19">
        <v>45720</v>
      </c>
      <c r="H71" t="s">
        <v>1821</v>
      </c>
      <c r="I71" t="s">
        <v>1821</v>
      </c>
      <c r="Q71" s="3">
        <f t="shared" si="0"/>
        <v>635.4</v>
      </c>
      <c r="S71" t="s">
        <v>97</v>
      </c>
    </row>
    <row r="72" spans="1:19" x14ac:dyDescent="0.35">
      <c r="A72" t="s">
        <v>27</v>
      </c>
      <c r="B72" t="s">
        <v>656</v>
      </c>
      <c r="C72" t="s">
        <v>21</v>
      </c>
      <c r="D72" t="s">
        <v>22</v>
      </c>
      <c r="E72">
        <v>635.4</v>
      </c>
      <c r="F72" t="s">
        <v>77</v>
      </c>
      <c r="G72" s="19">
        <v>45702</v>
      </c>
      <c r="H72" t="s">
        <v>1819</v>
      </c>
      <c r="I72" t="s">
        <v>1820</v>
      </c>
      <c r="Q72" s="3">
        <f t="shared" ref="Q72:Q135" si="1">ABS(E72)</f>
        <v>635.4</v>
      </c>
      <c r="S72" t="s">
        <v>97</v>
      </c>
    </row>
    <row r="73" spans="1:19" x14ac:dyDescent="0.35">
      <c r="A73" t="s">
        <v>27</v>
      </c>
      <c r="B73" t="s">
        <v>332</v>
      </c>
      <c r="C73" t="s">
        <v>21</v>
      </c>
      <c r="D73" t="s">
        <v>22</v>
      </c>
      <c r="E73">
        <v>635.4</v>
      </c>
      <c r="F73" t="s">
        <v>77</v>
      </c>
      <c r="G73" s="19">
        <v>45720</v>
      </c>
      <c r="H73" t="s">
        <v>1821</v>
      </c>
      <c r="I73" t="s">
        <v>1821</v>
      </c>
      <c r="Q73" s="3">
        <f t="shared" si="1"/>
        <v>635.4</v>
      </c>
      <c r="S73" t="s">
        <v>97</v>
      </c>
    </row>
    <row r="74" spans="1:19" x14ac:dyDescent="0.35">
      <c r="A74" t="s">
        <v>27</v>
      </c>
      <c r="B74" t="s">
        <v>332</v>
      </c>
      <c r="C74" t="s">
        <v>21</v>
      </c>
      <c r="D74" t="s">
        <v>22</v>
      </c>
      <c r="E74">
        <v>515.09</v>
      </c>
      <c r="F74" t="s">
        <v>77</v>
      </c>
      <c r="G74" s="19">
        <v>45741</v>
      </c>
      <c r="H74" t="s">
        <v>119</v>
      </c>
      <c r="I74" t="s">
        <v>120</v>
      </c>
      <c r="Q74" s="3">
        <f t="shared" si="1"/>
        <v>515.09</v>
      </c>
      <c r="S74" t="s">
        <v>97</v>
      </c>
    </row>
    <row r="75" spans="1:19" x14ac:dyDescent="0.35">
      <c r="A75" t="s">
        <v>27</v>
      </c>
      <c r="B75" t="s">
        <v>332</v>
      </c>
      <c r="C75" t="s">
        <v>21</v>
      </c>
      <c r="D75" t="s">
        <v>22</v>
      </c>
      <c r="E75">
        <v>-471.67</v>
      </c>
      <c r="F75" t="s">
        <v>77</v>
      </c>
      <c r="G75" s="19">
        <v>45746</v>
      </c>
      <c r="H75" t="s">
        <v>119</v>
      </c>
      <c r="I75" t="s">
        <v>120</v>
      </c>
      <c r="Q75" s="3">
        <f t="shared" si="1"/>
        <v>471.67</v>
      </c>
      <c r="S75" t="s">
        <v>97</v>
      </c>
    </row>
    <row r="76" spans="1:19" x14ac:dyDescent="0.35">
      <c r="A76" t="s">
        <v>0</v>
      </c>
      <c r="B76" t="s">
        <v>530</v>
      </c>
      <c r="C76" t="s">
        <v>21</v>
      </c>
      <c r="D76" t="s">
        <v>22</v>
      </c>
      <c r="E76">
        <v>437.05</v>
      </c>
      <c r="F76" t="s">
        <v>77</v>
      </c>
      <c r="G76" s="19">
        <v>45700</v>
      </c>
      <c r="H76" t="s">
        <v>161</v>
      </c>
      <c r="I76" t="s">
        <v>1857</v>
      </c>
      <c r="Q76" s="3">
        <f t="shared" si="1"/>
        <v>437.05</v>
      </c>
      <c r="S76" t="s">
        <v>97</v>
      </c>
    </row>
    <row r="77" spans="1:19" x14ac:dyDescent="0.35">
      <c r="A77" t="s">
        <v>27</v>
      </c>
      <c r="B77" t="s">
        <v>318</v>
      </c>
      <c r="C77" t="s">
        <v>21</v>
      </c>
      <c r="D77" t="s">
        <v>22</v>
      </c>
      <c r="E77">
        <v>-406.84</v>
      </c>
      <c r="F77" t="s">
        <v>77</v>
      </c>
      <c r="G77" s="19">
        <v>45716</v>
      </c>
      <c r="H77" t="s">
        <v>1822</v>
      </c>
      <c r="I77" t="s">
        <v>85</v>
      </c>
      <c r="Q77" s="3">
        <f t="shared" si="1"/>
        <v>406.84</v>
      </c>
      <c r="S77" t="s">
        <v>97</v>
      </c>
    </row>
    <row r="78" spans="1:19" x14ac:dyDescent="0.35">
      <c r="A78" t="s">
        <v>27</v>
      </c>
      <c r="B78" t="s">
        <v>333</v>
      </c>
      <c r="C78" t="s">
        <v>21</v>
      </c>
      <c r="D78" t="s">
        <v>22</v>
      </c>
      <c r="E78">
        <v>406.84</v>
      </c>
      <c r="F78" t="s">
        <v>77</v>
      </c>
      <c r="G78" s="19">
        <v>45716</v>
      </c>
      <c r="H78" t="s">
        <v>1822</v>
      </c>
      <c r="I78" t="s">
        <v>85</v>
      </c>
      <c r="Q78" s="3">
        <f t="shared" si="1"/>
        <v>406.84</v>
      </c>
      <c r="S78" t="s">
        <v>97</v>
      </c>
    </row>
    <row r="79" spans="1:19" x14ac:dyDescent="0.35">
      <c r="A79" t="s">
        <v>27</v>
      </c>
      <c r="B79" t="s">
        <v>415</v>
      </c>
      <c r="C79" t="s">
        <v>21</v>
      </c>
      <c r="D79" t="s">
        <v>22</v>
      </c>
      <c r="E79">
        <v>-390.67</v>
      </c>
      <c r="F79" t="s">
        <v>77</v>
      </c>
      <c r="G79" s="19">
        <v>45747</v>
      </c>
      <c r="H79" t="s">
        <v>119</v>
      </c>
      <c r="I79" t="s">
        <v>120</v>
      </c>
      <c r="Q79" s="3">
        <f t="shared" si="1"/>
        <v>390.67</v>
      </c>
      <c r="S79" t="s">
        <v>97</v>
      </c>
    </row>
    <row r="80" spans="1:19" x14ac:dyDescent="0.35">
      <c r="A80" t="s">
        <v>27</v>
      </c>
      <c r="B80" t="s">
        <v>328</v>
      </c>
      <c r="C80" t="s">
        <v>21</v>
      </c>
      <c r="D80" t="s">
        <v>22</v>
      </c>
      <c r="E80">
        <v>386.38</v>
      </c>
      <c r="F80" t="s">
        <v>77</v>
      </c>
      <c r="G80" s="19">
        <v>45746</v>
      </c>
      <c r="H80" t="s">
        <v>1827</v>
      </c>
      <c r="I80" t="s">
        <v>1823</v>
      </c>
      <c r="Q80" s="3">
        <f t="shared" si="1"/>
        <v>386.38</v>
      </c>
      <c r="S80" t="s">
        <v>97</v>
      </c>
    </row>
    <row r="81" spans="1:19" x14ac:dyDescent="0.35">
      <c r="A81" t="s">
        <v>27</v>
      </c>
      <c r="B81" t="s">
        <v>328</v>
      </c>
      <c r="C81" t="s">
        <v>21</v>
      </c>
      <c r="D81" t="s">
        <v>22</v>
      </c>
      <c r="E81">
        <v>-386.37999999999988</v>
      </c>
      <c r="F81" t="s">
        <v>77</v>
      </c>
      <c r="G81" s="19">
        <v>45736</v>
      </c>
      <c r="H81" t="s">
        <v>1812</v>
      </c>
      <c r="I81" t="s">
        <v>1823</v>
      </c>
      <c r="Q81" s="3">
        <f t="shared" si="1"/>
        <v>386.37999999999988</v>
      </c>
      <c r="S81" t="s">
        <v>97</v>
      </c>
    </row>
    <row r="82" spans="1:19" x14ac:dyDescent="0.35">
      <c r="A82" t="s">
        <v>27</v>
      </c>
      <c r="B82" t="s">
        <v>619</v>
      </c>
      <c r="C82" t="s">
        <v>21</v>
      </c>
      <c r="D82" t="s">
        <v>22</v>
      </c>
      <c r="E82">
        <v>370.99</v>
      </c>
      <c r="F82" t="s">
        <v>77</v>
      </c>
      <c r="G82" s="19">
        <v>45715</v>
      </c>
      <c r="H82" t="s">
        <v>1824</v>
      </c>
      <c r="I82" t="s">
        <v>1730</v>
      </c>
      <c r="Q82" s="3">
        <f t="shared" si="1"/>
        <v>370.99</v>
      </c>
      <c r="S82" t="s">
        <v>97</v>
      </c>
    </row>
    <row r="83" spans="1:19" x14ac:dyDescent="0.35">
      <c r="A83" t="s">
        <v>0</v>
      </c>
      <c r="B83" t="s">
        <v>394</v>
      </c>
      <c r="C83" t="s">
        <v>21</v>
      </c>
      <c r="D83" t="s">
        <v>22</v>
      </c>
      <c r="E83">
        <v>364.54</v>
      </c>
      <c r="F83" t="s">
        <v>77</v>
      </c>
      <c r="G83" s="19">
        <v>45735</v>
      </c>
      <c r="H83" t="s">
        <v>161</v>
      </c>
      <c r="I83" t="s">
        <v>162</v>
      </c>
      <c r="Q83" s="3">
        <f t="shared" si="1"/>
        <v>364.54</v>
      </c>
      <c r="S83" t="s">
        <v>97</v>
      </c>
    </row>
    <row r="84" spans="1:19" x14ac:dyDescent="0.35">
      <c r="A84" t="s">
        <v>0</v>
      </c>
      <c r="B84" t="s">
        <v>339</v>
      </c>
      <c r="C84" t="s">
        <v>21</v>
      </c>
      <c r="D84" t="s">
        <v>22</v>
      </c>
      <c r="E84">
        <v>356.16</v>
      </c>
      <c r="F84" t="s">
        <v>77</v>
      </c>
      <c r="G84" s="19">
        <v>45680</v>
      </c>
      <c r="H84" t="s">
        <v>161</v>
      </c>
      <c r="I84" t="s">
        <v>1856</v>
      </c>
      <c r="Q84" s="3">
        <f t="shared" si="1"/>
        <v>356.16</v>
      </c>
      <c r="S84" t="s">
        <v>97</v>
      </c>
    </row>
    <row r="85" spans="1:19" x14ac:dyDescent="0.35">
      <c r="A85" t="s">
        <v>0</v>
      </c>
      <c r="B85" t="s">
        <v>1855</v>
      </c>
      <c r="C85" t="s">
        <v>21</v>
      </c>
      <c r="D85" t="s">
        <v>22</v>
      </c>
      <c r="E85">
        <v>350</v>
      </c>
      <c r="F85" t="s">
        <v>77</v>
      </c>
      <c r="G85" s="19">
        <v>45698</v>
      </c>
      <c r="H85" t="s">
        <v>161</v>
      </c>
      <c r="I85" t="s">
        <v>162</v>
      </c>
      <c r="Q85" s="3">
        <f t="shared" si="1"/>
        <v>350</v>
      </c>
      <c r="S85" t="s">
        <v>97</v>
      </c>
    </row>
    <row r="86" spans="1:19" x14ac:dyDescent="0.35">
      <c r="A86" t="s">
        <v>27</v>
      </c>
      <c r="B86" t="s">
        <v>544</v>
      </c>
      <c r="C86" t="s">
        <v>21</v>
      </c>
      <c r="D86" t="s">
        <v>22</v>
      </c>
      <c r="E86">
        <v>-311.14</v>
      </c>
      <c r="F86" t="s">
        <v>77</v>
      </c>
      <c r="G86" s="19">
        <v>45715</v>
      </c>
      <c r="H86" t="s">
        <v>119</v>
      </c>
      <c r="I86" t="s">
        <v>120</v>
      </c>
      <c r="Q86" s="3">
        <f t="shared" si="1"/>
        <v>311.14</v>
      </c>
      <c r="S86" t="s">
        <v>97</v>
      </c>
    </row>
    <row r="87" spans="1:19" x14ac:dyDescent="0.35">
      <c r="A87" t="s">
        <v>0</v>
      </c>
      <c r="B87" t="s">
        <v>394</v>
      </c>
      <c r="C87" t="s">
        <v>21</v>
      </c>
      <c r="D87" t="s">
        <v>22</v>
      </c>
      <c r="E87">
        <v>-294</v>
      </c>
      <c r="F87" t="s">
        <v>77</v>
      </c>
      <c r="G87" s="19">
        <v>45693</v>
      </c>
      <c r="H87" t="s">
        <v>161</v>
      </c>
      <c r="I87" t="s">
        <v>162</v>
      </c>
      <c r="Q87" s="3">
        <f t="shared" si="1"/>
        <v>294</v>
      </c>
      <c r="S87" t="s">
        <v>97</v>
      </c>
    </row>
    <row r="88" spans="1:19" x14ac:dyDescent="0.35">
      <c r="A88" t="s">
        <v>0</v>
      </c>
      <c r="B88" t="s">
        <v>366</v>
      </c>
      <c r="C88" t="s">
        <v>21</v>
      </c>
      <c r="D88" t="s">
        <v>22</v>
      </c>
      <c r="E88">
        <v>294</v>
      </c>
      <c r="F88" t="s">
        <v>77</v>
      </c>
      <c r="G88" s="19">
        <v>45693</v>
      </c>
      <c r="H88" t="s">
        <v>161</v>
      </c>
      <c r="I88" t="s">
        <v>82</v>
      </c>
      <c r="Q88" s="3">
        <f t="shared" si="1"/>
        <v>294</v>
      </c>
      <c r="S88" t="s">
        <v>97</v>
      </c>
    </row>
    <row r="89" spans="1:19" x14ac:dyDescent="0.35">
      <c r="A89" t="s">
        <v>27</v>
      </c>
      <c r="B89" t="s">
        <v>415</v>
      </c>
      <c r="C89" t="s">
        <v>21</v>
      </c>
      <c r="D89" t="s">
        <v>22</v>
      </c>
      <c r="E89">
        <v>199.51</v>
      </c>
      <c r="F89" t="s">
        <v>77</v>
      </c>
      <c r="G89" s="19">
        <v>45742</v>
      </c>
      <c r="H89" t="s">
        <v>119</v>
      </c>
      <c r="I89" t="s">
        <v>120</v>
      </c>
      <c r="Q89" s="3">
        <f t="shared" si="1"/>
        <v>199.51</v>
      </c>
      <c r="S89" t="s">
        <v>97</v>
      </c>
    </row>
    <row r="90" spans="1:19" x14ac:dyDescent="0.35">
      <c r="A90" t="s">
        <v>0</v>
      </c>
      <c r="B90" t="s">
        <v>394</v>
      </c>
      <c r="C90" t="s">
        <v>21</v>
      </c>
      <c r="D90" t="s">
        <v>22</v>
      </c>
      <c r="E90">
        <v>190.53</v>
      </c>
      <c r="F90" t="s">
        <v>77</v>
      </c>
      <c r="G90" s="19">
        <v>45691</v>
      </c>
      <c r="H90" t="s">
        <v>161</v>
      </c>
      <c r="I90" t="s">
        <v>162</v>
      </c>
      <c r="Q90" s="3">
        <f t="shared" si="1"/>
        <v>190.53</v>
      </c>
      <c r="S90" t="s">
        <v>97</v>
      </c>
    </row>
    <row r="91" spans="1:19" x14ac:dyDescent="0.35">
      <c r="A91" t="s">
        <v>27</v>
      </c>
      <c r="B91" t="s">
        <v>363</v>
      </c>
      <c r="C91" t="s">
        <v>21</v>
      </c>
      <c r="D91" t="s">
        <v>22</v>
      </c>
      <c r="E91">
        <v>-173.23</v>
      </c>
      <c r="F91" t="s">
        <v>77</v>
      </c>
      <c r="G91" s="19">
        <v>45747</v>
      </c>
      <c r="H91" t="s">
        <v>119</v>
      </c>
      <c r="I91" t="s">
        <v>120</v>
      </c>
      <c r="Q91" s="3">
        <f t="shared" si="1"/>
        <v>173.23</v>
      </c>
      <c r="S91" t="s">
        <v>97</v>
      </c>
    </row>
    <row r="92" spans="1:19" x14ac:dyDescent="0.35">
      <c r="A92" t="s">
        <v>0</v>
      </c>
      <c r="B92" t="s">
        <v>394</v>
      </c>
      <c r="C92" t="s">
        <v>21</v>
      </c>
      <c r="D92" t="s">
        <v>22</v>
      </c>
      <c r="E92">
        <v>-160</v>
      </c>
      <c r="F92" t="s">
        <v>77</v>
      </c>
      <c r="G92" s="19">
        <v>45712</v>
      </c>
      <c r="H92" t="s">
        <v>161</v>
      </c>
      <c r="I92" t="s">
        <v>162</v>
      </c>
      <c r="Q92" s="3">
        <f t="shared" si="1"/>
        <v>160</v>
      </c>
      <c r="S92" t="s">
        <v>97</v>
      </c>
    </row>
    <row r="93" spans="1:19" x14ac:dyDescent="0.35">
      <c r="A93" t="s">
        <v>0</v>
      </c>
      <c r="B93" t="s">
        <v>428</v>
      </c>
      <c r="C93" t="s">
        <v>21</v>
      </c>
      <c r="D93" t="s">
        <v>22</v>
      </c>
      <c r="E93">
        <v>160</v>
      </c>
      <c r="F93" t="s">
        <v>77</v>
      </c>
      <c r="G93" s="19">
        <v>45707</v>
      </c>
      <c r="H93" t="s">
        <v>161</v>
      </c>
      <c r="I93" t="s">
        <v>162</v>
      </c>
      <c r="Q93" s="3">
        <f t="shared" si="1"/>
        <v>160</v>
      </c>
      <c r="S93" t="s">
        <v>97</v>
      </c>
    </row>
    <row r="94" spans="1:19" x14ac:dyDescent="0.35">
      <c r="A94" t="s">
        <v>27</v>
      </c>
      <c r="B94" t="s">
        <v>332</v>
      </c>
      <c r="C94" t="s">
        <v>21</v>
      </c>
      <c r="D94" t="s">
        <v>22</v>
      </c>
      <c r="E94">
        <v>146.81</v>
      </c>
      <c r="F94" t="s">
        <v>77</v>
      </c>
      <c r="G94" s="19">
        <v>45743</v>
      </c>
      <c r="H94" t="s">
        <v>119</v>
      </c>
      <c r="I94" t="s">
        <v>120</v>
      </c>
      <c r="Q94" s="3">
        <f t="shared" si="1"/>
        <v>146.81</v>
      </c>
      <c r="S94" t="s">
        <v>97</v>
      </c>
    </row>
    <row r="95" spans="1:19" x14ac:dyDescent="0.35">
      <c r="A95" t="s">
        <v>27</v>
      </c>
      <c r="B95" t="s">
        <v>415</v>
      </c>
      <c r="C95" t="s">
        <v>21</v>
      </c>
      <c r="D95" t="s">
        <v>22</v>
      </c>
      <c r="E95">
        <v>144.38999999999999</v>
      </c>
      <c r="F95" t="s">
        <v>77</v>
      </c>
      <c r="G95" s="19">
        <v>45741</v>
      </c>
      <c r="H95" t="s">
        <v>119</v>
      </c>
      <c r="I95" t="s">
        <v>120</v>
      </c>
      <c r="Q95" s="3">
        <f t="shared" si="1"/>
        <v>144.38999999999999</v>
      </c>
      <c r="S95" t="s">
        <v>97</v>
      </c>
    </row>
    <row r="96" spans="1:19" x14ac:dyDescent="0.35">
      <c r="A96" t="s">
        <v>27</v>
      </c>
      <c r="B96" t="s">
        <v>415</v>
      </c>
      <c r="C96" t="s">
        <v>21</v>
      </c>
      <c r="D96" t="s">
        <v>22</v>
      </c>
      <c r="E96">
        <v>-132.22</v>
      </c>
      <c r="F96" t="s">
        <v>77</v>
      </c>
      <c r="G96" s="19">
        <v>45746</v>
      </c>
      <c r="H96" t="s">
        <v>119</v>
      </c>
      <c r="I96" t="s">
        <v>120</v>
      </c>
      <c r="Q96" s="3">
        <f t="shared" si="1"/>
        <v>132.22</v>
      </c>
      <c r="S96" t="s">
        <v>97</v>
      </c>
    </row>
    <row r="97" spans="1:19" x14ac:dyDescent="0.35">
      <c r="A97" t="s">
        <v>27</v>
      </c>
      <c r="B97" t="s">
        <v>374</v>
      </c>
      <c r="C97" t="s">
        <v>21</v>
      </c>
      <c r="D97" t="s">
        <v>22</v>
      </c>
      <c r="E97">
        <v>-117.24</v>
      </c>
      <c r="F97" t="s">
        <v>77</v>
      </c>
      <c r="G97" s="19">
        <v>45747</v>
      </c>
      <c r="H97" t="s">
        <v>119</v>
      </c>
      <c r="I97" t="s">
        <v>120</v>
      </c>
      <c r="Q97" s="3">
        <f t="shared" si="1"/>
        <v>117.24</v>
      </c>
      <c r="S97" t="s">
        <v>97</v>
      </c>
    </row>
    <row r="98" spans="1:19" x14ac:dyDescent="0.35">
      <c r="A98" t="s">
        <v>27</v>
      </c>
      <c r="B98" t="s">
        <v>626</v>
      </c>
      <c r="C98" t="s">
        <v>21</v>
      </c>
      <c r="D98" t="s">
        <v>22</v>
      </c>
      <c r="E98">
        <v>-111.08</v>
      </c>
      <c r="F98" t="s">
        <v>77</v>
      </c>
      <c r="G98" s="19">
        <v>45715</v>
      </c>
      <c r="H98" t="s">
        <v>1824</v>
      </c>
      <c r="I98" t="s">
        <v>1825</v>
      </c>
      <c r="Q98" s="3">
        <f t="shared" si="1"/>
        <v>111.08</v>
      </c>
      <c r="S98" t="s">
        <v>97</v>
      </c>
    </row>
    <row r="99" spans="1:19" x14ac:dyDescent="0.35">
      <c r="A99" t="s">
        <v>27</v>
      </c>
      <c r="B99" t="s">
        <v>619</v>
      </c>
      <c r="C99" t="s">
        <v>21</v>
      </c>
      <c r="D99" t="s">
        <v>22</v>
      </c>
      <c r="E99">
        <v>111.08</v>
      </c>
      <c r="F99" t="s">
        <v>77</v>
      </c>
      <c r="G99" s="19">
        <v>45715</v>
      </c>
      <c r="H99" t="s">
        <v>1824</v>
      </c>
      <c r="I99" t="s">
        <v>1825</v>
      </c>
      <c r="Q99" s="3">
        <f t="shared" si="1"/>
        <v>111.08</v>
      </c>
      <c r="S99" t="s">
        <v>97</v>
      </c>
    </row>
    <row r="100" spans="1:19" x14ac:dyDescent="0.35">
      <c r="A100" t="s">
        <v>0</v>
      </c>
      <c r="B100" t="s">
        <v>394</v>
      </c>
      <c r="C100" t="s">
        <v>21</v>
      </c>
      <c r="D100" t="s">
        <v>22</v>
      </c>
      <c r="E100">
        <v>94.57</v>
      </c>
      <c r="F100" t="s">
        <v>77</v>
      </c>
      <c r="G100" s="19">
        <v>45716</v>
      </c>
      <c r="H100" t="s">
        <v>161</v>
      </c>
      <c r="I100" t="s">
        <v>162</v>
      </c>
      <c r="Q100" s="3">
        <f t="shared" si="1"/>
        <v>94.57</v>
      </c>
      <c r="S100" t="s">
        <v>97</v>
      </c>
    </row>
    <row r="101" spans="1:19" x14ac:dyDescent="0.35">
      <c r="A101" t="s">
        <v>27</v>
      </c>
      <c r="B101" t="s">
        <v>363</v>
      </c>
      <c r="C101" t="s">
        <v>21</v>
      </c>
      <c r="D101" t="s">
        <v>22</v>
      </c>
      <c r="E101">
        <v>88.46</v>
      </c>
      <c r="F101" t="s">
        <v>77</v>
      </c>
      <c r="G101" s="19">
        <v>45742</v>
      </c>
      <c r="H101" t="s">
        <v>119</v>
      </c>
      <c r="I101" t="s">
        <v>120</v>
      </c>
      <c r="Q101" s="3">
        <f t="shared" si="1"/>
        <v>88.46</v>
      </c>
      <c r="S101" t="s">
        <v>97</v>
      </c>
    </row>
    <row r="102" spans="1:19" x14ac:dyDescent="0.35">
      <c r="A102" t="s">
        <v>27</v>
      </c>
      <c r="B102" t="s">
        <v>332</v>
      </c>
      <c r="C102" t="s">
        <v>21</v>
      </c>
      <c r="D102" t="s">
        <v>22</v>
      </c>
      <c r="E102">
        <v>-81.96</v>
      </c>
      <c r="F102" t="s">
        <v>77</v>
      </c>
      <c r="G102" s="19">
        <v>45740</v>
      </c>
      <c r="H102" t="s">
        <v>119</v>
      </c>
      <c r="I102" t="s">
        <v>120</v>
      </c>
      <c r="Q102" s="3">
        <f t="shared" si="1"/>
        <v>81.96</v>
      </c>
      <c r="S102" t="s">
        <v>97</v>
      </c>
    </row>
    <row r="103" spans="1:19" x14ac:dyDescent="0.35">
      <c r="A103" t="s">
        <v>0</v>
      </c>
      <c r="B103" t="s">
        <v>394</v>
      </c>
      <c r="C103" t="s">
        <v>21</v>
      </c>
      <c r="D103" t="s">
        <v>22</v>
      </c>
      <c r="E103">
        <v>-80.099999999999994</v>
      </c>
      <c r="F103" t="s">
        <v>77</v>
      </c>
      <c r="G103" s="19">
        <v>45719</v>
      </c>
      <c r="H103" t="s">
        <v>161</v>
      </c>
      <c r="I103" t="s">
        <v>162</v>
      </c>
      <c r="Q103" s="3">
        <f t="shared" si="1"/>
        <v>80.099999999999994</v>
      </c>
      <c r="S103" t="s">
        <v>97</v>
      </c>
    </row>
    <row r="104" spans="1:19" x14ac:dyDescent="0.35">
      <c r="A104" t="s">
        <v>27</v>
      </c>
      <c r="B104" t="s">
        <v>358</v>
      </c>
      <c r="C104" t="s">
        <v>21</v>
      </c>
      <c r="D104" t="s">
        <v>22</v>
      </c>
      <c r="E104">
        <v>-75.28</v>
      </c>
      <c r="F104" t="s">
        <v>77</v>
      </c>
      <c r="G104" s="19">
        <v>45747</v>
      </c>
      <c r="H104" t="s">
        <v>119</v>
      </c>
      <c r="I104" t="s">
        <v>120</v>
      </c>
      <c r="Q104" s="3">
        <f t="shared" si="1"/>
        <v>75.28</v>
      </c>
      <c r="S104" t="s">
        <v>97</v>
      </c>
    </row>
    <row r="105" spans="1:19" x14ac:dyDescent="0.35">
      <c r="A105" t="s">
        <v>27</v>
      </c>
      <c r="B105" t="s">
        <v>584</v>
      </c>
      <c r="C105" t="s">
        <v>21</v>
      </c>
      <c r="D105" t="s">
        <v>22</v>
      </c>
      <c r="E105">
        <v>-74.06</v>
      </c>
      <c r="F105" t="s">
        <v>77</v>
      </c>
      <c r="G105" s="19">
        <v>45747</v>
      </c>
      <c r="H105" t="s">
        <v>119</v>
      </c>
      <c r="I105" t="s">
        <v>120</v>
      </c>
      <c r="Q105" s="3">
        <f t="shared" si="1"/>
        <v>74.06</v>
      </c>
      <c r="S105" t="s">
        <v>97</v>
      </c>
    </row>
    <row r="106" spans="1:19" x14ac:dyDescent="0.35">
      <c r="A106" t="s">
        <v>0</v>
      </c>
      <c r="B106" t="s">
        <v>421</v>
      </c>
      <c r="C106" t="s">
        <v>21</v>
      </c>
      <c r="D106" t="s">
        <v>22</v>
      </c>
      <c r="E106">
        <v>-69.64</v>
      </c>
      <c r="F106" t="s">
        <v>77</v>
      </c>
      <c r="G106" s="19">
        <v>45720</v>
      </c>
      <c r="H106" t="s">
        <v>161</v>
      </c>
      <c r="I106" t="s">
        <v>162</v>
      </c>
      <c r="Q106" s="3">
        <f t="shared" si="1"/>
        <v>69.64</v>
      </c>
      <c r="S106" t="s">
        <v>97</v>
      </c>
    </row>
    <row r="107" spans="1:19" x14ac:dyDescent="0.35">
      <c r="A107" t="s">
        <v>0</v>
      </c>
      <c r="B107" t="s">
        <v>421</v>
      </c>
      <c r="C107" t="s">
        <v>21</v>
      </c>
      <c r="D107" t="s">
        <v>22</v>
      </c>
      <c r="E107">
        <v>69.64</v>
      </c>
      <c r="F107" t="s">
        <v>77</v>
      </c>
      <c r="G107" s="19">
        <v>45719</v>
      </c>
      <c r="H107" t="s">
        <v>161</v>
      </c>
      <c r="I107" t="s">
        <v>82</v>
      </c>
      <c r="Q107" s="3">
        <f t="shared" si="1"/>
        <v>69.64</v>
      </c>
      <c r="S107" t="s">
        <v>97</v>
      </c>
    </row>
    <row r="108" spans="1:19" x14ac:dyDescent="0.35">
      <c r="A108" t="s">
        <v>27</v>
      </c>
      <c r="B108" t="s">
        <v>363</v>
      </c>
      <c r="C108" t="s">
        <v>21</v>
      </c>
      <c r="D108" t="s">
        <v>22</v>
      </c>
      <c r="E108">
        <v>64.03</v>
      </c>
      <c r="F108" t="s">
        <v>77</v>
      </c>
      <c r="G108" s="19">
        <v>45741</v>
      </c>
      <c r="H108" t="s">
        <v>119</v>
      </c>
      <c r="I108" t="s">
        <v>120</v>
      </c>
      <c r="Q108" s="3">
        <f t="shared" si="1"/>
        <v>64.03</v>
      </c>
      <c r="S108" t="s">
        <v>97</v>
      </c>
    </row>
    <row r="109" spans="1:19" x14ac:dyDescent="0.35">
      <c r="A109" t="s">
        <v>27</v>
      </c>
      <c r="B109" t="s">
        <v>318</v>
      </c>
      <c r="C109" t="s">
        <v>21</v>
      </c>
      <c r="D109" t="s">
        <v>22</v>
      </c>
      <c r="E109">
        <v>-62.87</v>
      </c>
      <c r="F109" t="s">
        <v>77</v>
      </c>
      <c r="G109" s="19">
        <v>45688</v>
      </c>
      <c r="H109" t="s">
        <v>1822</v>
      </c>
      <c r="I109" t="s">
        <v>85</v>
      </c>
      <c r="Q109" s="3">
        <f t="shared" si="1"/>
        <v>62.87</v>
      </c>
      <c r="S109" t="s">
        <v>97</v>
      </c>
    </row>
    <row r="110" spans="1:19" x14ac:dyDescent="0.35">
      <c r="A110" t="s">
        <v>27</v>
      </c>
      <c r="B110" t="s">
        <v>333</v>
      </c>
      <c r="C110" t="s">
        <v>21</v>
      </c>
      <c r="D110" t="s">
        <v>22</v>
      </c>
      <c r="E110">
        <v>62.87</v>
      </c>
      <c r="F110" t="s">
        <v>77</v>
      </c>
      <c r="G110" s="19">
        <v>45688</v>
      </c>
      <c r="H110" t="s">
        <v>1822</v>
      </c>
      <c r="I110" t="s">
        <v>85</v>
      </c>
      <c r="Q110" s="3">
        <f t="shared" si="1"/>
        <v>62.87</v>
      </c>
      <c r="S110" t="s">
        <v>97</v>
      </c>
    </row>
    <row r="111" spans="1:19" x14ac:dyDescent="0.35">
      <c r="A111" t="s">
        <v>27</v>
      </c>
      <c r="B111" t="s">
        <v>374</v>
      </c>
      <c r="C111" t="s">
        <v>21</v>
      </c>
      <c r="D111" t="s">
        <v>22</v>
      </c>
      <c r="E111">
        <v>59.87</v>
      </c>
      <c r="F111" t="s">
        <v>77</v>
      </c>
      <c r="G111" s="19">
        <v>45742</v>
      </c>
      <c r="H111" t="s">
        <v>119</v>
      </c>
      <c r="I111" t="s">
        <v>120</v>
      </c>
      <c r="Q111" s="3">
        <f t="shared" si="1"/>
        <v>59.87</v>
      </c>
      <c r="S111" t="s">
        <v>97</v>
      </c>
    </row>
    <row r="112" spans="1:19" x14ac:dyDescent="0.35">
      <c r="A112" t="s">
        <v>27</v>
      </c>
      <c r="B112" t="s">
        <v>356</v>
      </c>
      <c r="C112" t="s">
        <v>21</v>
      </c>
      <c r="D112" t="s">
        <v>22</v>
      </c>
      <c r="E112">
        <v>-58.66</v>
      </c>
      <c r="F112" t="s">
        <v>77</v>
      </c>
      <c r="G112" s="19">
        <v>45747</v>
      </c>
      <c r="H112" t="s">
        <v>119</v>
      </c>
      <c r="I112" t="s">
        <v>120</v>
      </c>
      <c r="Q112" s="3">
        <f t="shared" si="1"/>
        <v>58.66</v>
      </c>
      <c r="R112" s="63"/>
      <c r="S112" s="63" t="s">
        <v>178</v>
      </c>
    </row>
    <row r="113" spans="1:19" x14ac:dyDescent="0.35">
      <c r="A113" t="s">
        <v>27</v>
      </c>
      <c r="B113" t="s">
        <v>363</v>
      </c>
      <c r="C113" t="s">
        <v>21</v>
      </c>
      <c r="D113" t="s">
        <v>22</v>
      </c>
      <c r="E113">
        <v>-58.63</v>
      </c>
      <c r="F113" t="s">
        <v>77</v>
      </c>
      <c r="G113" s="19">
        <v>45746</v>
      </c>
      <c r="H113" t="s">
        <v>119</v>
      </c>
      <c r="I113" t="s">
        <v>120</v>
      </c>
      <c r="Q113" s="3">
        <f t="shared" si="1"/>
        <v>58.63</v>
      </c>
      <c r="S113" t="s">
        <v>97</v>
      </c>
    </row>
    <row r="114" spans="1:19" x14ac:dyDescent="0.35">
      <c r="A114" t="s">
        <v>27</v>
      </c>
      <c r="B114" t="s">
        <v>332</v>
      </c>
      <c r="C114" t="s">
        <v>21</v>
      </c>
      <c r="D114" t="s">
        <v>22</v>
      </c>
      <c r="E114">
        <v>-55.75</v>
      </c>
      <c r="F114" t="s">
        <v>77</v>
      </c>
      <c r="G114" s="19">
        <v>45739</v>
      </c>
      <c r="H114" t="s">
        <v>119</v>
      </c>
      <c r="I114" t="s">
        <v>120</v>
      </c>
      <c r="Q114" s="3">
        <f t="shared" si="1"/>
        <v>55.75</v>
      </c>
      <c r="S114" t="s">
        <v>97</v>
      </c>
    </row>
    <row r="115" spans="1:19" x14ac:dyDescent="0.35">
      <c r="A115" t="s">
        <v>0</v>
      </c>
      <c r="B115" t="s">
        <v>342</v>
      </c>
      <c r="C115" t="s">
        <v>21</v>
      </c>
      <c r="D115" t="s">
        <v>22</v>
      </c>
      <c r="E115">
        <v>54.34</v>
      </c>
      <c r="F115" t="s">
        <v>77</v>
      </c>
      <c r="G115" s="19">
        <v>45727</v>
      </c>
      <c r="H115" t="s">
        <v>161</v>
      </c>
      <c r="I115" t="s">
        <v>1854</v>
      </c>
      <c r="Q115" s="3">
        <f t="shared" si="1"/>
        <v>54.34</v>
      </c>
      <c r="S115" t="s">
        <v>97</v>
      </c>
    </row>
    <row r="116" spans="1:19" x14ac:dyDescent="0.35">
      <c r="A116" t="s">
        <v>0</v>
      </c>
      <c r="B116" t="s">
        <v>315</v>
      </c>
      <c r="C116" t="s">
        <v>21</v>
      </c>
      <c r="D116" t="s">
        <v>22</v>
      </c>
      <c r="E116">
        <v>50</v>
      </c>
      <c r="F116" t="s">
        <v>77</v>
      </c>
      <c r="G116" s="19">
        <v>45700</v>
      </c>
      <c r="H116" t="s">
        <v>161</v>
      </c>
      <c r="I116" t="s">
        <v>1853</v>
      </c>
      <c r="Q116" s="3">
        <f t="shared" si="1"/>
        <v>50</v>
      </c>
      <c r="S116" t="s">
        <v>97</v>
      </c>
    </row>
    <row r="117" spans="1:19" x14ac:dyDescent="0.35">
      <c r="A117" t="s">
        <v>27</v>
      </c>
      <c r="B117" t="s">
        <v>374</v>
      </c>
      <c r="C117" t="s">
        <v>21</v>
      </c>
      <c r="D117" t="s">
        <v>22</v>
      </c>
      <c r="E117">
        <v>43.33</v>
      </c>
      <c r="F117" t="s">
        <v>77</v>
      </c>
      <c r="G117" s="19">
        <v>45741</v>
      </c>
      <c r="H117" t="s">
        <v>119</v>
      </c>
      <c r="I117" t="s">
        <v>120</v>
      </c>
      <c r="Q117" s="3">
        <f t="shared" si="1"/>
        <v>43.33</v>
      </c>
      <c r="S117" t="s">
        <v>97</v>
      </c>
    </row>
    <row r="118" spans="1:19" x14ac:dyDescent="0.35">
      <c r="A118" t="s">
        <v>27</v>
      </c>
      <c r="B118" t="s">
        <v>394</v>
      </c>
      <c r="C118" t="s">
        <v>21</v>
      </c>
      <c r="D118" t="s">
        <v>22</v>
      </c>
      <c r="E118">
        <v>-43.18</v>
      </c>
      <c r="F118" t="s">
        <v>77</v>
      </c>
      <c r="G118" s="19">
        <v>45747</v>
      </c>
      <c r="H118" t="s">
        <v>119</v>
      </c>
      <c r="I118" t="s">
        <v>120</v>
      </c>
      <c r="Q118" s="3">
        <f t="shared" si="1"/>
        <v>43.18</v>
      </c>
      <c r="S118" t="s">
        <v>97</v>
      </c>
    </row>
    <row r="119" spans="1:19" x14ac:dyDescent="0.35">
      <c r="A119" t="s">
        <v>0</v>
      </c>
      <c r="B119" t="s">
        <v>557</v>
      </c>
      <c r="C119" t="s">
        <v>21</v>
      </c>
      <c r="D119" t="s">
        <v>22</v>
      </c>
      <c r="E119">
        <v>42.2</v>
      </c>
      <c r="F119" t="s">
        <v>77</v>
      </c>
      <c r="G119" s="19">
        <v>45695</v>
      </c>
      <c r="H119" t="s">
        <v>161</v>
      </c>
      <c r="I119" t="s">
        <v>162</v>
      </c>
      <c r="Q119" s="3">
        <f t="shared" si="1"/>
        <v>42.2</v>
      </c>
      <c r="S119" t="s">
        <v>97</v>
      </c>
    </row>
    <row r="120" spans="1:19" x14ac:dyDescent="0.35">
      <c r="A120" t="s">
        <v>27</v>
      </c>
      <c r="B120" t="s">
        <v>415</v>
      </c>
      <c r="C120" t="s">
        <v>21</v>
      </c>
      <c r="D120" t="s">
        <v>22</v>
      </c>
      <c r="E120">
        <v>41.15</v>
      </c>
      <c r="F120" t="s">
        <v>77</v>
      </c>
      <c r="G120" s="19">
        <v>45743</v>
      </c>
      <c r="H120" t="s">
        <v>119</v>
      </c>
      <c r="I120" t="s">
        <v>120</v>
      </c>
      <c r="Q120" s="3">
        <f t="shared" si="1"/>
        <v>41.15</v>
      </c>
      <c r="S120" t="s">
        <v>97</v>
      </c>
    </row>
    <row r="121" spans="1:19" x14ac:dyDescent="0.35">
      <c r="A121" t="s">
        <v>27</v>
      </c>
      <c r="B121" t="s">
        <v>374</v>
      </c>
      <c r="C121" t="s">
        <v>21</v>
      </c>
      <c r="D121" t="s">
        <v>22</v>
      </c>
      <c r="E121">
        <v>-39.68</v>
      </c>
      <c r="F121" t="s">
        <v>77</v>
      </c>
      <c r="G121" s="19">
        <v>45746</v>
      </c>
      <c r="H121" t="s">
        <v>119</v>
      </c>
      <c r="I121" t="s">
        <v>120</v>
      </c>
      <c r="Q121" s="3">
        <f t="shared" si="1"/>
        <v>39.68</v>
      </c>
      <c r="S121" t="s">
        <v>97</v>
      </c>
    </row>
    <row r="122" spans="1:19" x14ac:dyDescent="0.35">
      <c r="A122" t="s">
        <v>27</v>
      </c>
      <c r="B122" t="s">
        <v>358</v>
      </c>
      <c r="C122" t="s">
        <v>21</v>
      </c>
      <c r="D122" t="s">
        <v>22</v>
      </c>
      <c r="E122">
        <v>38.44</v>
      </c>
      <c r="F122" t="s">
        <v>77</v>
      </c>
      <c r="G122" s="19">
        <v>45742</v>
      </c>
      <c r="H122" t="s">
        <v>119</v>
      </c>
      <c r="I122" t="s">
        <v>120</v>
      </c>
      <c r="Q122" s="3">
        <f t="shared" si="1"/>
        <v>38.44</v>
      </c>
      <c r="S122" t="s">
        <v>97</v>
      </c>
    </row>
    <row r="123" spans="1:19" x14ac:dyDescent="0.35">
      <c r="A123" t="s">
        <v>27</v>
      </c>
      <c r="B123" t="s">
        <v>584</v>
      </c>
      <c r="C123" t="s">
        <v>21</v>
      </c>
      <c r="D123" t="s">
        <v>22</v>
      </c>
      <c r="E123">
        <v>37.819999999999936</v>
      </c>
      <c r="F123" t="s">
        <v>77</v>
      </c>
      <c r="G123" s="19">
        <v>45742</v>
      </c>
      <c r="H123" t="s">
        <v>119</v>
      </c>
      <c r="I123" t="s">
        <v>120</v>
      </c>
      <c r="Q123" s="3">
        <f t="shared" si="1"/>
        <v>37.819999999999936</v>
      </c>
      <c r="S123" t="s">
        <v>97</v>
      </c>
    </row>
    <row r="124" spans="1:19" x14ac:dyDescent="0.35">
      <c r="A124" t="s">
        <v>27</v>
      </c>
      <c r="B124" t="s">
        <v>356</v>
      </c>
      <c r="C124" t="s">
        <v>21</v>
      </c>
      <c r="D124" t="s">
        <v>22</v>
      </c>
      <c r="E124">
        <v>29.96</v>
      </c>
      <c r="F124" t="s">
        <v>77</v>
      </c>
      <c r="G124" s="19">
        <v>45742</v>
      </c>
      <c r="H124" t="s">
        <v>119</v>
      </c>
      <c r="I124" t="s">
        <v>120</v>
      </c>
      <c r="Q124" s="3">
        <f t="shared" si="1"/>
        <v>29.96</v>
      </c>
      <c r="S124" t="s">
        <v>97</v>
      </c>
    </row>
    <row r="125" spans="1:19" x14ac:dyDescent="0.35">
      <c r="A125" t="s">
        <v>27</v>
      </c>
      <c r="B125" t="s">
        <v>318</v>
      </c>
      <c r="C125" t="s">
        <v>21</v>
      </c>
      <c r="D125" t="s">
        <v>22</v>
      </c>
      <c r="E125">
        <v>-29.21</v>
      </c>
      <c r="F125" t="s">
        <v>77</v>
      </c>
      <c r="G125" s="19">
        <v>45747</v>
      </c>
      <c r="H125" t="s">
        <v>1822</v>
      </c>
      <c r="I125" t="s">
        <v>1826</v>
      </c>
      <c r="Q125" s="3">
        <f t="shared" si="1"/>
        <v>29.21</v>
      </c>
      <c r="S125" t="s">
        <v>97</v>
      </c>
    </row>
    <row r="126" spans="1:19" x14ac:dyDescent="0.35">
      <c r="A126" t="s">
        <v>27</v>
      </c>
      <c r="B126" t="s">
        <v>333</v>
      </c>
      <c r="C126" t="s">
        <v>21</v>
      </c>
      <c r="D126" t="s">
        <v>22</v>
      </c>
      <c r="E126">
        <v>29.21</v>
      </c>
      <c r="F126" t="s">
        <v>77</v>
      </c>
      <c r="G126" s="19">
        <v>45747</v>
      </c>
      <c r="H126" t="s">
        <v>1822</v>
      </c>
      <c r="I126" t="s">
        <v>1826</v>
      </c>
      <c r="Q126" s="3">
        <f t="shared" si="1"/>
        <v>29.21</v>
      </c>
      <c r="S126" t="s">
        <v>97</v>
      </c>
    </row>
    <row r="127" spans="1:19" x14ac:dyDescent="0.35">
      <c r="A127" t="s">
        <v>27</v>
      </c>
      <c r="B127" t="s">
        <v>328</v>
      </c>
      <c r="C127" t="s">
        <v>21</v>
      </c>
      <c r="D127" t="s">
        <v>22</v>
      </c>
      <c r="E127">
        <v>28.98</v>
      </c>
      <c r="F127" t="s">
        <v>77</v>
      </c>
      <c r="G127" s="19">
        <v>45746</v>
      </c>
      <c r="H127" t="s">
        <v>1827</v>
      </c>
      <c r="I127" t="s">
        <v>1827</v>
      </c>
      <c r="Q127" s="3">
        <f t="shared" si="1"/>
        <v>28.98</v>
      </c>
      <c r="S127" t="s">
        <v>97</v>
      </c>
    </row>
    <row r="128" spans="1:19" x14ac:dyDescent="0.35">
      <c r="A128" t="s">
        <v>27</v>
      </c>
      <c r="B128" t="s">
        <v>328</v>
      </c>
      <c r="C128" t="s">
        <v>21</v>
      </c>
      <c r="D128" t="s">
        <v>22</v>
      </c>
      <c r="E128">
        <v>-28.979999999999993</v>
      </c>
      <c r="F128" t="s">
        <v>77</v>
      </c>
      <c r="G128" s="19">
        <v>45736</v>
      </c>
      <c r="H128" t="s">
        <v>1812</v>
      </c>
      <c r="I128" t="s">
        <v>1827</v>
      </c>
      <c r="Q128" s="3">
        <f t="shared" si="1"/>
        <v>28.979999999999993</v>
      </c>
      <c r="S128" t="s">
        <v>97</v>
      </c>
    </row>
    <row r="129" spans="1:19" x14ac:dyDescent="0.35">
      <c r="A129" t="s">
        <v>0</v>
      </c>
      <c r="B129" t="s">
        <v>394</v>
      </c>
      <c r="C129" t="s">
        <v>21</v>
      </c>
      <c r="D129" t="s">
        <v>22</v>
      </c>
      <c r="E129">
        <v>28.94</v>
      </c>
      <c r="F129" t="s">
        <v>77</v>
      </c>
      <c r="G129" s="19">
        <v>45700</v>
      </c>
      <c r="H129" t="s">
        <v>161</v>
      </c>
      <c r="I129" t="s">
        <v>162</v>
      </c>
      <c r="Q129" s="3">
        <f t="shared" si="1"/>
        <v>28.94</v>
      </c>
      <c r="S129" t="s">
        <v>97</v>
      </c>
    </row>
    <row r="130" spans="1:19" x14ac:dyDescent="0.35">
      <c r="A130" t="s">
        <v>27</v>
      </c>
      <c r="B130" t="s">
        <v>358</v>
      </c>
      <c r="C130" t="s">
        <v>21</v>
      </c>
      <c r="D130" t="s">
        <v>22</v>
      </c>
      <c r="E130">
        <v>27.83</v>
      </c>
      <c r="F130" t="s">
        <v>77</v>
      </c>
      <c r="G130" s="19">
        <v>45741</v>
      </c>
      <c r="H130" t="s">
        <v>119</v>
      </c>
      <c r="I130" t="s">
        <v>120</v>
      </c>
      <c r="Q130" s="3">
        <f t="shared" si="1"/>
        <v>27.83</v>
      </c>
      <c r="S130" t="s">
        <v>97</v>
      </c>
    </row>
    <row r="131" spans="1:19" x14ac:dyDescent="0.35">
      <c r="A131" t="s">
        <v>27</v>
      </c>
      <c r="B131" t="s">
        <v>584</v>
      </c>
      <c r="C131" t="s">
        <v>21</v>
      </c>
      <c r="D131" t="s">
        <v>22</v>
      </c>
      <c r="E131">
        <v>27.379999999999995</v>
      </c>
      <c r="F131" t="s">
        <v>77</v>
      </c>
      <c r="G131" s="19">
        <v>45741</v>
      </c>
      <c r="H131" t="s">
        <v>119</v>
      </c>
      <c r="I131" t="s">
        <v>120</v>
      </c>
      <c r="Q131" s="3">
        <f t="shared" si="1"/>
        <v>27.379999999999995</v>
      </c>
      <c r="S131" t="s">
        <v>97</v>
      </c>
    </row>
    <row r="132" spans="1:19" x14ac:dyDescent="0.35">
      <c r="A132" t="s">
        <v>27</v>
      </c>
      <c r="B132" t="s">
        <v>358</v>
      </c>
      <c r="C132" t="s">
        <v>21</v>
      </c>
      <c r="D132" t="s">
        <v>22</v>
      </c>
      <c r="E132">
        <v>-25.48</v>
      </c>
      <c r="F132" t="s">
        <v>77</v>
      </c>
      <c r="G132" s="19">
        <v>45746</v>
      </c>
      <c r="H132" t="s">
        <v>119</v>
      </c>
      <c r="I132" t="s">
        <v>120</v>
      </c>
      <c r="Q132" s="3">
        <f t="shared" si="1"/>
        <v>25.48</v>
      </c>
      <c r="S132" t="s">
        <v>97</v>
      </c>
    </row>
    <row r="133" spans="1:19" x14ac:dyDescent="0.35">
      <c r="A133" t="s">
        <v>27</v>
      </c>
      <c r="B133" t="s">
        <v>584</v>
      </c>
      <c r="C133" t="s">
        <v>21</v>
      </c>
      <c r="D133" t="s">
        <v>22</v>
      </c>
      <c r="E133">
        <v>-25.069999999999993</v>
      </c>
      <c r="F133" t="s">
        <v>77</v>
      </c>
      <c r="G133" s="19">
        <v>45746</v>
      </c>
      <c r="H133" t="s">
        <v>119</v>
      </c>
      <c r="I133" t="s">
        <v>120</v>
      </c>
      <c r="Q133" s="3">
        <f t="shared" si="1"/>
        <v>25.069999999999993</v>
      </c>
      <c r="S133" t="s">
        <v>97</v>
      </c>
    </row>
    <row r="134" spans="1:19" x14ac:dyDescent="0.35">
      <c r="A134" t="s">
        <v>27</v>
      </c>
      <c r="B134" t="s">
        <v>415</v>
      </c>
      <c r="C134" t="s">
        <v>21</v>
      </c>
      <c r="D134" t="s">
        <v>22</v>
      </c>
      <c r="E134">
        <v>-22.98</v>
      </c>
      <c r="F134" t="s">
        <v>77</v>
      </c>
      <c r="G134" s="19">
        <v>45740</v>
      </c>
      <c r="H134" t="s">
        <v>119</v>
      </c>
      <c r="I134" t="s">
        <v>120</v>
      </c>
      <c r="Q134" s="3">
        <f t="shared" si="1"/>
        <v>22.98</v>
      </c>
      <c r="S134" t="s">
        <v>97</v>
      </c>
    </row>
    <row r="135" spans="1:19" x14ac:dyDescent="0.35">
      <c r="A135" t="s">
        <v>27</v>
      </c>
      <c r="B135" t="s">
        <v>394</v>
      </c>
      <c r="C135" t="s">
        <v>21</v>
      </c>
      <c r="D135" t="s">
        <v>22</v>
      </c>
      <c r="E135">
        <v>22.05</v>
      </c>
      <c r="F135" t="s">
        <v>77</v>
      </c>
      <c r="G135" s="19">
        <v>45742</v>
      </c>
      <c r="H135" t="s">
        <v>119</v>
      </c>
      <c r="I135" t="s">
        <v>120</v>
      </c>
      <c r="Q135" s="3">
        <f t="shared" si="1"/>
        <v>22.05</v>
      </c>
      <c r="S135" t="s">
        <v>97</v>
      </c>
    </row>
    <row r="136" spans="1:19" x14ac:dyDescent="0.35">
      <c r="A136" t="s">
        <v>27</v>
      </c>
      <c r="B136" t="s">
        <v>356</v>
      </c>
      <c r="C136" t="s">
        <v>21</v>
      </c>
      <c r="D136" t="s">
        <v>22</v>
      </c>
      <c r="E136">
        <v>21.68</v>
      </c>
      <c r="F136" t="s">
        <v>77</v>
      </c>
      <c r="G136" s="19">
        <v>45741</v>
      </c>
      <c r="H136" t="s">
        <v>119</v>
      </c>
      <c r="I136" t="s">
        <v>120</v>
      </c>
      <c r="Q136" s="3">
        <f t="shared" ref="Q136:Q199" si="2">ABS(E136)</f>
        <v>21.68</v>
      </c>
      <c r="S136" t="s">
        <v>97</v>
      </c>
    </row>
    <row r="137" spans="1:19" x14ac:dyDescent="0.35">
      <c r="A137" t="s">
        <v>0</v>
      </c>
      <c r="B137" t="s">
        <v>499</v>
      </c>
      <c r="C137" t="s">
        <v>21</v>
      </c>
      <c r="D137" t="s">
        <v>22</v>
      </c>
      <c r="E137">
        <v>21.67</v>
      </c>
      <c r="F137" t="s">
        <v>77</v>
      </c>
      <c r="G137" s="19">
        <v>45747</v>
      </c>
      <c r="H137" t="s">
        <v>161</v>
      </c>
      <c r="I137" t="s">
        <v>1852</v>
      </c>
      <c r="Q137" s="3">
        <f t="shared" si="2"/>
        <v>21.67</v>
      </c>
      <c r="S137" t="s">
        <v>97</v>
      </c>
    </row>
    <row r="138" spans="1:19" x14ac:dyDescent="0.35">
      <c r="A138" t="s">
        <v>0</v>
      </c>
      <c r="B138" t="s">
        <v>339</v>
      </c>
      <c r="C138" t="s">
        <v>21</v>
      </c>
      <c r="D138" t="s">
        <v>22</v>
      </c>
      <c r="E138">
        <v>21.1</v>
      </c>
      <c r="F138" t="s">
        <v>77</v>
      </c>
      <c r="G138" s="19">
        <v>45693</v>
      </c>
      <c r="H138" t="s">
        <v>161</v>
      </c>
      <c r="I138" t="s">
        <v>162</v>
      </c>
      <c r="Q138" s="3">
        <f t="shared" si="2"/>
        <v>21.1</v>
      </c>
      <c r="S138" t="s">
        <v>97</v>
      </c>
    </row>
    <row r="139" spans="1:19" x14ac:dyDescent="0.35">
      <c r="A139" t="s">
        <v>0</v>
      </c>
      <c r="B139" t="s">
        <v>423</v>
      </c>
      <c r="C139" t="s">
        <v>21</v>
      </c>
      <c r="D139" t="s">
        <v>22</v>
      </c>
      <c r="E139">
        <v>21.1</v>
      </c>
      <c r="F139" t="s">
        <v>77</v>
      </c>
      <c r="G139" s="19">
        <v>45694</v>
      </c>
      <c r="H139" t="s">
        <v>161</v>
      </c>
      <c r="I139" t="s">
        <v>162</v>
      </c>
      <c r="Q139" s="3">
        <f t="shared" si="2"/>
        <v>21.1</v>
      </c>
      <c r="S139" t="s">
        <v>97</v>
      </c>
    </row>
    <row r="140" spans="1:19" x14ac:dyDescent="0.35">
      <c r="A140" t="s">
        <v>0</v>
      </c>
      <c r="B140" t="s">
        <v>352</v>
      </c>
      <c r="C140" t="s">
        <v>21</v>
      </c>
      <c r="D140" t="s">
        <v>22</v>
      </c>
      <c r="E140">
        <v>21.1</v>
      </c>
      <c r="F140" t="s">
        <v>77</v>
      </c>
      <c r="G140" s="19">
        <v>45695</v>
      </c>
      <c r="H140" t="s">
        <v>161</v>
      </c>
      <c r="I140" t="s">
        <v>162</v>
      </c>
      <c r="Q140" s="3">
        <f t="shared" si="2"/>
        <v>21.1</v>
      </c>
      <c r="S140" t="s">
        <v>97</v>
      </c>
    </row>
    <row r="141" spans="1:19" x14ac:dyDescent="0.35">
      <c r="A141" t="s">
        <v>0</v>
      </c>
      <c r="B141" t="s">
        <v>401</v>
      </c>
      <c r="C141" t="s">
        <v>21</v>
      </c>
      <c r="D141" t="s">
        <v>22</v>
      </c>
      <c r="E141">
        <v>21.1</v>
      </c>
      <c r="F141" t="s">
        <v>77</v>
      </c>
      <c r="G141" s="19">
        <v>45723</v>
      </c>
      <c r="H141" t="s">
        <v>161</v>
      </c>
      <c r="I141" t="s">
        <v>162</v>
      </c>
      <c r="Q141" s="3">
        <f t="shared" si="2"/>
        <v>21.1</v>
      </c>
      <c r="S141" t="s">
        <v>97</v>
      </c>
    </row>
    <row r="142" spans="1:19" x14ac:dyDescent="0.35">
      <c r="A142" t="s">
        <v>0</v>
      </c>
      <c r="B142" t="s">
        <v>588</v>
      </c>
      <c r="C142" t="s">
        <v>21</v>
      </c>
      <c r="D142" t="s">
        <v>22</v>
      </c>
      <c r="E142">
        <v>21.1</v>
      </c>
      <c r="F142" t="s">
        <v>77</v>
      </c>
      <c r="G142" s="19">
        <v>45727</v>
      </c>
      <c r="H142" t="s">
        <v>161</v>
      </c>
      <c r="I142" t="s">
        <v>162</v>
      </c>
      <c r="Q142" s="3">
        <f t="shared" si="2"/>
        <v>21.1</v>
      </c>
      <c r="S142" t="s">
        <v>97</v>
      </c>
    </row>
    <row r="143" spans="1:19" x14ac:dyDescent="0.35">
      <c r="A143" t="s">
        <v>27</v>
      </c>
      <c r="B143" t="s">
        <v>356</v>
      </c>
      <c r="C143" t="s">
        <v>21</v>
      </c>
      <c r="D143" t="s">
        <v>22</v>
      </c>
      <c r="E143">
        <v>-19.86</v>
      </c>
      <c r="F143" t="s">
        <v>77</v>
      </c>
      <c r="G143" s="19">
        <v>45746</v>
      </c>
      <c r="H143" t="s">
        <v>119</v>
      </c>
      <c r="I143" t="s">
        <v>120</v>
      </c>
      <c r="Q143" s="3">
        <f t="shared" si="2"/>
        <v>19.86</v>
      </c>
      <c r="S143" t="s">
        <v>97</v>
      </c>
    </row>
    <row r="144" spans="1:19" x14ac:dyDescent="0.35">
      <c r="A144" t="s">
        <v>27</v>
      </c>
      <c r="B144" t="s">
        <v>363</v>
      </c>
      <c r="C144" t="s">
        <v>21</v>
      </c>
      <c r="D144" t="s">
        <v>22</v>
      </c>
      <c r="E144">
        <v>18.25</v>
      </c>
      <c r="F144" t="s">
        <v>77</v>
      </c>
      <c r="G144" s="19">
        <v>45743</v>
      </c>
      <c r="H144" t="s">
        <v>119</v>
      </c>
      <c r="I144" t="s">
        <v>120</v>
      </c>
      <c r="Q144" s="3">
        <f t="shared" si="2"/>
        <v>18.25</v>
      </c>
      <c r="S144" t="s">
        <v>97</v>
      </c>
    </row>
    <row r="145" spans="1:19" x14ac:dyDescent="0.35">
      <c r="A145" t="s">
        <v>27</v>
      </c>
      <c r="B145" t="s">
        <v>394</v>
      </c>
      <c r="C145" t="s">
        <v>21</v>
      </c>
      <c r="D145" t="s">
        <v>22</v>
      </c>
      <c r="E145">
        <v>15.96</v>
      </c>
      <c r="F145" t="s">
        <v>77</v>
      </c>
      <c r="G145" s="19">
        <v>45741</v>
      </c>
      <c r="H145" t="s">
        <v>119</v>
      </c>
      <c r="I145" t="s">
        <v>120</v>
      </c>
      <c r="Q145" s="3">
        <f t="shared" si="2"/>
        <v>15.96</v>
      </c>
      <c r="S145" t="s">
        <v>97</v>
      </c>
    </row>
    <row r="146" spans="1:19" x14ac:dyDescent="0.35">
      <c r="A146" t="s">
        <v>0</v>
      </c>
      <c r="B146" t="s">
        <v>327</v>
      </c>
      <c r="C146" t="s">
        <v>21</v>
      </c>
      <c r="D146" t="s">
        <v>22</v>
      </c>
      <c r="E146">
        <v>15.82</v>
      </c>
      <c r="F146" t="s">
        <v>77</v>
      </c>
      <c r="G146" s="19">
        <v>45747</v>
      </c>
      <c r="H146" t="s">
        <v>161</v>
      </c>
      <c r="I146" t="s">
        <v>1851</v>
      </c>
      <c r="Q146" s="3">
        <f t="shared" si="2"/>
        <v>15.82</v>
      </c>
      <c r="S146" t="s">
        <v>97</v>
      </c>
    </row>
    <row r="147" spans="1:19" x14ac:dyDescent="0.35">
      <c r="A147" t="s">
        <v>27</v>
      </c>
      <c r="B147" t="s">
        <v>415</v>
      </c>
      <c r="C147" t="s">
        <v>21</v>
      </c>
      <c r="D147" t="s">
        <v>22</v>
      </c>
      <c r="E147">
        <v>-15.63</v>
      </c>
      <c r="F147" t="s">
        <v>77</v>
      </c>
      <c r="G147" s="19">
        <v>45739</v>
      </c>
      <c r="H147" t="s">
        <v>119</v>
      </c>
      <c r="I147" t="s">
        <v>120</v>
      </c>
      <c r="Q147" s="3">
        <f t="shared" si="2"/>
        <v>15.63</v>
      </c>
      <c r="S147" t="s">
        <v>97</v>
      </c>
    </row>
    <row r="148" spans="1:19" x14ac:dyDescent="0.35">
      <c r="A148" t="s">
        <v>0</v>
      </c>
      <c r="B148" t="s">
        <v>365</v>
      </c>
      <c r="C148" t="s">
        <v>21</v>
      </c>
      <c r="D148" t="s">
        <v>22</v>
      </c>
      <c r="E148">
        <v>14.97</v>
      </c>
      <c r="F148" t="s">
        <v>77</v>
      </c>
      <c r="G148" s="19">
        <v>45743</v>
      </c>
      <c r="H148" t="s">
        <v>161</v>
      </c>
      <c r="I148" t="s">
        <v>1850</v>
      </c>
      <c r="Q148" s="3">
        <f t="shared" si="2"/>
        <v>14.97</v>
      </c>
      <c r="S148" t="s">
        <v>97</v>
      </c>
    </row>
    <row r="149" spans="1:19" x14ac:dyDescent="0.35">
      <c r="A149" t="s">
        <v>27</v>
      </c>
      <c r="B149" t="s">
        <v>394</v>
      </c>
      <c r="C149" t="s">
        <v>21</v>
      </c>
      <c r="D149" t="s">
        <v>22</v>
      </c>
      <c r="E149">
        <v>-14.62</v>
      </c>
      <c r="F149" t="s">
        <v>77</v>
      </c>
      <c r="G149" s="19">
        <v>45746</v>
      </c>
      <c r="H149" t="s">
        <v>119</v>
      </c>
      <c r="I149" t="s">
        <v>120</v>
      </c>
      <c r="Q149" s="3">
        <f t="shared" si="2"/>
        <v>14.62</v>
      </c>
      <c r="S149" t="s">
        <v>97</v>
      </c>
    </row>
    <row r="150" spans="1:19" x14ac:dyDescent="0.35">
      <c r="A150" t="s">
        <v>0</v>
      </c>
      <c r="B150" t="s">
        <v>428</v>
      </c>
      <c r="C150" t="s">
        <v>21</v>
      </c>
      <c r="D150" t="s">
        <v>22</v>
      </c>
      <c r="E150">
        <v>14.47</v>
      </c>
      <c r="F150" t="s">
        <v>77</v>
      </c>
      <c r="G150" s="19">
        <v>45673</v>
      </c>
      <c r="H150" t="s">
        <v>161</v>
      </c>
      <c r="I150" t="s">
        <v>1849</v>
      </c>
      <c r="Q150" s="3">
        <f t="shared" si="2"/>
        <v>14.47</v>
      </c>
      <c r="S150" t="s">
        <v>97</v>
      </c>
    </row>
    <row r="151" spans="1:19" x14ac:dyDescent="0.35">
      <c r="A151" t="s">
        <v>0</v>
      </c>
      <c r="B151" t="s">
        <v>394</v>
      </c>
      <c r="C151" t="s">
        <v>21</v>
      </c>
      <c r="D151" t="s">
        <v>22</v>
      </c>
      <c r="E151">
        <v>14.47</v>
      </c>
      <c r="F151" t="s">
        <v>77</v>
      </c>
      <c r="G151" s="19">
        <v>45720</v>
      </c>
      <c r="H151" t="s">
        <v>161</v>
      </c>
      <c r="I151" t="s">
        <v>162</v>
      </c>
      <c r="Q151" s="3">
        <f t="shared" si="2"/>
        <v>14.47</v>
      </c>
      <c r="S151" t="s">
        <v>97</v>
      </c>
    </row>
    <row r="152" spans="1:19" x14ac:dyDescent="0.35">
      <c r="A152" t="s">
        <v>0</v>
      </c>
      <c r="B152" t="s">
        <v>394</v>
      </c>
      <c r="C152" t="s">
        <v>21</v>
      </c>
      <c r="D152" t="s">
        <v>22</v>
      </c>
      <c r="E152">
        <v>14.47</v>
      </c>
      <c r="F152" t="s">
        <v>77</v>
      </c>
      <c r="G152" s="19">
        <v>45737</v>
      </c>
      <c r="H152" t="s">
        <v>161</v>
      </c>
      <c r="I152" t="s">
        <v>162</v>
      </c>
      <c r="Q152" s="3">
        <f t="shared" si="2"/>
        <v>14.47</v>
      </c>
      <c r="S152" t="s">
        <v>97</v>
      </c>
    </row>
    <row r="153" spans="1:19" x14ac:dyDescent="0.35">
      <c r="A153" t="s">
        <v>0</v>
      </c>
      <c r="B153" t="s">
        <v>391</v>
      </c>
      <c r="C153" t="s">
        <v>21</v>
      </c>
      <c r="D153" t="s">
        <v>22</v>
      </c>
      <c r="E153">
        <v>14.45</v>
      </c>
      <c r="F153" t="s">
        <v>77</v>
      </c>
      <c r="G153" s="19">
        <v>45674</v>
      </c>
      <c r="H153" t="s">
        <v>161</v>
      </c>
      <c r="I153" t="s">
        <v>82</v>
      </c>
      <c r="Q153" s="3">
        <f t="shared" si="2"/>
        <v>14.45</v>
      </c>
      <c r="S153" t="s">
        <v>97</v>
      </c>
    </row>
    <row r="154" spans="1:19" x14ac:dyDescent="0.35">
      <c r="A154" t="s">
        <v>0</v>
      </c>
      <c r="B154" t="s">
        <v>430</v>
      </c>
      <c r="C154" t="s">
        <v>21</v>
      </c>
      <c r="D154" t="s">
        <v>22</v>
      </c>
      <c r="E154">
        <v>14.45</v>
      </c>
      <c r="F154" t="s">
        <v>77</v>
      </c>
      <c r="G154" s="19">
        <v>45737</v>
      </c>
      <c r="H154" t="s">
        <v>161</v>
      </c>
      <c r="I154" t="s">
        <v>162</v>
      </c>
      <c r="Q154" s="3">
        <f t="shared" si="2"/>
        <v>14.45</v>
      </c>
      <c r="S154" t="s">
        <v>97</v>
      </c>
    </row>
    <row r="155" spans="1:19" x14ac:dyDescent="0.35">
      <c r="A155" t="s">
        <v>0</v>
      </c>
      <c r="B155" t="s">
        <v>616</v>
      </c>
      <c r="C155" t="s">
        <v>21</v>
      </c>
      <c r="D155" t="s">
        <v>22</v>
      </c>
      <c r="E155">
        <v>-14.38</v>
      </c>
      <c r="F155" t="s">
        <v>77</v>
      </c>
      <c r="G155" s="19">
        <v>45746</v>
      </c>
      <c r="H155" t="s">
        <v>1828</v>
      </c>
      <c r="I155" t="s">
        <v>1829</v>
      </c>
      <c r="Q155" s="3">
        <f t="shared" si="2"/>
        <v>14.38</v>
      </c>
      <c r="S155" t="s">
        <v>97</v>
      </c>
    </row>
    <row r="156" spans="1:19" x14ac:dyDescent="0.35">
      <c r="A156" t="s">
        <v>27</v>
      </c>
      <c r="B156" t="s">
        <v>326</v>
      </c>
      <c r="C156" t="s">
        <v>21</v>
      </c>
      <c r="D156" t="s">
        <v>22</v>
      </c>
      <c r="E156">
        <v>-14.3</v>
      </c>
      <c r="F156" t="s">
        <v>77</v>
      </c>
      <c r="G156" s="19">
        <v>45743</v>
      </c>
      <c r="H156" t="s">
        <v>1830</v>
      </c>
      <c r="I156" t="s">
        <v>632</v>
      </c>
      <c r="Q156" s="3">
        <f t="shared" si="2"/>
        <v>14.3</v>
      </c>
      <c r="S156" t="s">
        <v>97</v>
      </c>
    </row>
    <row r="157" spans="1:19" x14ac:dyDescent="0.35">
      <c r="A157" t="s">
        <v>27</v>
      </c>
      <c r="B157" t="s">
        <v>619</v>
      </c>
      <c r="C157" t="s">
        <v>21</v>
      </c>
      <c r="D157" t="s">
        <v>22</v>
      </c>
      <c r="E157">
        <v>14.3</v>
      </c>
      <c r="F157" t="s">
        <v>77</v>
      </c>
      <c r="G157" s="19">
        <v>45743</v>
      </c>
      <c r="H157" t="s">
        <v>1830</v>
      </c>
      <c r="I157" t="s">
        <v>632</v>
      </c>
      <c r="Q157" s="3">
        <f t="shared" si="2"/>
        <v>14.3</v>
      </c>
      <c r="S157" t="s">
        <v>97</v>
      </c>
    </row>
    <row r="158" spans="1:19" x14ac:dyDescent="0.35">
      <c r="A158" t="s">
        <v>0</v>
      </c>
      <c r="B158" t="s">
        <v>394</v>
      </c>
      <c r="C158" t="s">
        <v>21</v>
      </c>
      <c r="D158" t="s">
        <v>22</v>
      </c>
      <c r="E158">
        <v>14.17</v>
      </c>
      <c r="F158" t="s">
        <v>77</v>
      </c>
      <c r="G158" s="19">
        <v>45708</v>
      </c>
      <c r="H158" t="s">
        <v>161</v>
      </c>
      <c r="I158" t="s">
        <v>162</v>
      </c>
      <c r="Q158" s="3">
        <f t="shared" si="2"/>
        <v>14.17</v>
      </c>
      <c r="S158" t="s">
        <v>97</v>
      </c>
    </row>
    <row r="159" spans="1:19" x14ac:dyDescent="0.35">
      <c r="A159" t="s">
        <v>0</v>
      </c>
      <c r="B159" t="s">
        <v>409</v>
      </c>
      <c r="C159" t="s">
        <v>21</v>
      </c>
      <c r="D159" t="s">
        <v>22</v>
      </c>
      <c r="E159">
        <v>12.42</v>
      </c>
      <c r="F159" t="s">
        <v>77</v>
      </c>
      <c r="G159" s="19">
        <v>45705</v>
      </c>
      <c r="H159" t="s">
        <v>161</v>
      </c>
      <c r="I159" t="s">
        <v>1848</v>
      </c>
      <c r="Q159" s="3">
        <f t="shared" si="2"/>
        <v>12.42</v>
      </c>
      <c r="S159" t="s">
        <v>97</v>
      </c>
    </row>
    <row r="160" spans="1:19" x14ac:dyDescent="0.35">
      <c r="A160" t="s">
        <v>27</v>
      </c>
      <c r="B160" t="s">
        <v>374</v>
      </c>
      <c r="C160" t="s">
        <v>21</v>
      </c>
      <c r="D160" t="s">
        <v>22</v>
      </c>
      <c r="E160">
        <v>12.35</v>
      </c>
      <c r="F160" t="s">
        <v>77</v>
      </c>
      <c r="G160" s="19">
        <v>45743</v>
      </c>
      <c r="H160" t="s">
        <v>119</v>
      </c>
      <c r="I160" t="s">
        <v>120</v>
      </c>
      <c r="Q160" s="3">
        <f t="shared" si="2"/>
        <v>12.35</v>
      </c>
      <c r="S160" t="s">
        <v>97</v>
      </c>
    </row>
    <row r="161" spans="1:19" x14ac:dyDescent="0.35">
      <c r="A161" t="s">
        <v>27</v>
      </c>
      <c r="B161" t="s">
        <v>619</v>
      </c>
      <c r="C161" t="s">
        <v>21</v>
      </c>
      <c r="D161" t="s">
        <v>22</v>
      </c>
      <c r="E161">
        <v>10.350000000000001</v>
      </c>
      <c r="F161" t="s">
        <v>77</v>
      </c>
      <c r="G161" s="19">
        <v>45715</v>
      </c>
      <c r="H161" t="s">
        <v>1824</v>
      </c>
      <c r="I161" t="s">
        <v>1831</v>
      </c>
      <c r="Q161" s="3">
        <f t="shared" si="2"/>
        <v>10.350000000000001</v>
      </c>
      <c r="S161" t="s">
        <v>97</v>
      </c>
    </row>
    <row r="162" spans="1:19" x14ac:dyDescent="0.35">
      <c r="A162" t="s">
        <v>27</v>
      </c>
      <c r="B162" t="s">
        <v>363</v>
      </c>
      <c r="C162" t="s">
        <v>21</v>
      </c>
      <c r="D162" t="s">
        <v>22</v>
      </c>
      <c r="E162">
        <v>-10.19</v>
      </c>
      <c r="F162" t="s">
        <v>77</v>
      </c>
      <c r="G162" s="19">
        <v>45740</v>
      </c>
      <c r="H162" t="s">
        <v>119</v>
      </c>
      <c r="I162" t="s">
        <v>120</v>
      </c>
      <c r="Q162" s="3">
        <f t="shared" si="2"/>
        <v>10.19</v>
      </c>
      <c r="S162" t="s">
        <v>97</v>
      </c>
    </row>
    <row r="163" spans="1:19" x14ac:dyDescent="0.35">
      <c r="A163" t="s">
        <v>27</v>
      </c>
      <c r="B163" t="s">
        <v>626</v>
      </c>
      <c r="C163" t="s">
        <v>21</v>
      </c>
      <c r="D163" t="s">
        <v>22</v>
      </c>
      <c r="E163">
        <v>-9.31</v>
      </c>
      <c r="F163" t="s">
        <v>77</v>
      </c>
      <c r="G163" s="19">
        <v>45715</v>
      </c>
      <c r="H163" t="s">
        <v>1824</v>
      </c>
      <c r="I163" t="s">
        <v>1831</v>
      </c>
      <c r="Q163" s="3">
        <f t="shared" si="2"/>
        <v>9.31</v>
      </c>
      <c r="S163" t="s">
        <v>97</v>
      </c>
    </row>
    <row r="164" spans="1:19" x14ac:dyDescent="0.35">
      <c r="A164" t="s">
        <v>27</v>
      </c>
      <c r="B164" t="s">
        <v>358</v>
      </c>
      <c r="C164" t="s">
        <v>21</v>
      </c>
      <c r="D164" t="s">
        <v>22</v>
      </c>
      <c r="E164">
        <v>7.93</v>
      </c>
      <c r="F164" t="s">
        <v>77</v>
      </c>
      <c r="G164" s="19">
        <v>45743</v>
      </c>
      <c r="H164" t="s">
        <v>119</v>
      </c>
      <c r="I164" t="s">
        <v>120</v>
      </c>
      <c r="Q164" s="3">
        <f t="shared" si="2"/>
        <v>7.93</v>
      </c>
      <c r="S164" t="s">
        <v>97</v>
      </c>
    </row>
    <row r="165" spans="1:19" x14ac:dyDescent="0.35">
      <c r="A165" t="s">
        <v>27</v>
      </c>
      <c r="B165" t="s">
        <v>584</v>
      </c>
      <c r="C165" t="s">
        <v>21</v>
      </c>
      <c r="D165" t="s">
        <v>22</v>
      </c>
      <c r="E165">
        <v>7.8</v>
      </c>
      <c r="F165" t="s">
        <v>77</v>
      </c>
      <c r="G165" s="19">
        <v>45743</v>
      </c>
      <c r="H165" t="s">
        <v>119</v>
      </c>
      <c r="I165" t="s">
        <v>120</v>
      </c>
      <c r="Q165" s="3">
        <f t="shared" si="2"/>
        <v>7.8</v>
      </c>
      <c r="S165" t="s">
        <v>97</v>
      </c>
    </row>
    <row r="166" spans="1:19" x14ac:dyDescent="0.35">
      <c r="A166" t="s">
        <v>0</v>
      </c>
      <c r="B166" t="s">
        <v>438</v>
      </c>
      <c r="C166" t="s">
        <v>21</v>
      </c>
      <c r="D166" t="s">
        <v>22</v>
      </c>
      <c r="E166">
        <v>7.1099999999999994</v>
      </c>
      <c r="F166" t="s">
        <v>77</v>
      </c>
      <c r="G166" s="19">
        <v>45747</v>
      </c>
      <c r="H166" t="s">
        <v>163</v>
      </c>
      <c r="I166" t="s">
        <v>163</v>
      </c>
      <c r="Q166" s="3">
        <f t="shared" si="2"/>
        <v>7.1099999999999994</v>
      </c>
      <c r="S166" t="s">
        <v>97</v>
      </c>
    </row>
    <row r="167" spans="1:19" x14ac:dyDescent="0.35">
      <c r="A167" t="s">
        <v>27</v>
      </c>
      <c r="B167" t="s">
        <v>363</v>
      </c>
      <c r="C167" t="s">
        <v>21</v>
      </c>
      <c r="D167" t="s">
        <v>22</v>
      </c>
      <c r="E167">
        <v>-6.93</v>
      </c>
      <c r="F167" t="s">
        <v>77</v>
      </c>
      <c r="G167" s="19">
        <v>45739</v>
      </c>
      <c r="H167" t="s">
        <v>119</v>
      </c>
      <c r="I167" t="s">
        <v>120</v>
      </c>
      <c r="Q167" s="3">
        <f t="shared" si="2"/>
        <v>6.93</v>
      </c>
      <c r="S167" t="s">
        <v>97</v>
      </c>
    </row>
    <row r="168" spans="1:19" x14ac:dyDescent="0.35">
      <c r="A168" t="s">
        <v>27</v>
      </c>
      <c r="B168" t="s">
        <v>374</v>
      </c>
      <c r="C168" t="s">
        <v>21</v>
      </c>
      <c r="D168" t="s">
        <v>22</v>
      </c>
      <c r="E168">
        <v>-6.89</v>
      </c>
      <c r="F168" t="s">
        <v>77</v>
      </c>
      <c r="G168" s="19">
        <v>45740</v>
      </c>
      <c r="H168" t="s">
        <v>119</v>
      </c>
      <c r="I168" t="s">
        <v>120</v>
      </c>
      <c r="Q168" s="3">
        <f t="shared" si="2"/>
        <v>6.89</v>
      </c>
      <c r="S168" t="s">
        <v>97</v>
      </c>
    </row>
    <row r="169" spans="1:19" x14ac:dyDescent="0.35">
      <c r="A169" t="s">
        <v>27</v>
      </c>
      <c r="B169" t="s">
        <v>356</v>
      </c>
      <c r="C169" t="s">
        <v>21</v>
      </c>
      <c r="D169" t="s">
        <v>22</v>
      </c>
      <c r="E169">
        <v>6.18</v>
      </c>
      <c r="F169" t="s">
        <v>77</v>
      </c>
      <c r="G169" s="19">
        <v>45743</v>
      </c>
      <c r="H169" t="s">
        <v>119</v>
      </c>
      <c r="I169" t="s">
        <v>120</v>
      </c>
      <c r="Q169" s="3">
        <f t="shared" si="2"/>
        <v>6.18</v>
      </c>
      <c r="S169" t="s">
        <v>97</v>
      </c>
    </row>
    <row r="170" spans="1:19" x14ac:dyDescent="0.35">
      <c r="A170" t="s">
        <v>0</v>
      </c>
      <c r="B170" t="s">
        <v>327</v>
      </c>
      <c r="C170" t="s">
        <v>21</v>
      </c>
      <c r="D170" t="s">
        <v>22</v>
      </c>
      <c r="E170">
        <v>5.38</v>
      </c>
      <c r="F170" t="s">
        <v>77</v>
      </c>
      <c r="G170" s="19">
        <v>45699</v>
      </c>
      <c r="H170" t="s">
        <v>161</v>
      </c>
      <c r="I170" t="s">
        <v>1847</v>
      </c>
      <c r="Q170" s="3">
        <f t="shared" si="2"/>
        <v>5.38</v>
      </c>
      <c r="S170" t="s">
        <v>97</v>
      </c>
    </row>
    <row r="171" spans="1:19" x14ac:dyDescent="0.35">
      <c r="A171" t="s">
        <v>0</v>
      </c>
      <c r="B171" t="s">
        <v>321</v>
      </c>
      <c r="C171" t="s">
        <v>21</v>
      </c>
      <c r="D171" t="s">
        <v>22</v>
      </c>
      <c r="E171">
        <v>5.13</v>
      </c>
      <c r="F171" t="s">
        <v>77</v>
      </c>
      <c r="G171" s="19">
        <v>45677</v>
      </c>
      <c r="H171" t="s">
        <v>161</v>
      </c>
      <c r="I171" t="s">
        <v>1846</v>
      </c>
      <c r="Q171" s="3">
        <f t="shared" si="2"/>
        <v>5.13</v>
      </c>
      <c r="S171" t="s">
        <v>97</v>
      </c>
    </row>
    <row r="172" spans="1:19" x14ac:dyDescent="0.35">
      <c r="A172" t="s">
        <v>0</v>
      </c>
      <c r="B172" t="s">
        <v>530</v>
      </c>
      <c r="C172" t="s">
        <v>21</v>
      </c>
      <c r="D172" t="s">
        <v>22</v>
      </c>
      <c r="E172">
        <v>5</v>
      </c>
      <c r="F172" t="s">
        <v>77</v>
      </c>
      <c r="G172" s="19">
        <v>45674</v>
      </c>
      <c r="H172" t="s">
        <v>161</v>
      </c>
      <c r="I172" t="s">
        <v>1845</v>
      </c>
      <c r="Q172" s="3">
        <f t="shared" si="2"/>
        <v>5</v>
      </c>
      <c r="S172" t="s">
        <v>97</v>
      </c>
    </row>
    <row r="173" spans="1:19" x14ac:dyDescent="0.35">
      <c r="A173" t="s">
        <v>0</v>
      </c>
      <c r="B173" t="s">
        <v>424</v>
      </c>
      <c r="C173" t="s">
        <v>21</v>
      </c>
      <c r="D173" t="s">
        <v>22</v>
      </c>
      <c r="E173">
        <v>5</v>
      </c>
      <c r="F173" t="s">
        <v>77</v>
      </c>
      <c r="G173" s="19">
        <v>45747</v>
      </c>
      <c r="H173" t="s">
        <v>622</v>
      </c>
      <c r="I173" t="s">
        <v>622</v>
      </c>
      <c r="Q173" s="3">
        <f t="shared" si="2"/>
        <v>5</v>
      </c>
      <c r="S173" t="s">
        <v>97</v>
      </c>
    </row>
    <row r="174" spans="1:19" x14ac:dyDescent="0.35">
      <c r="A174" t="s">
        <v>27</v>
      </c>
      <c r="B174" t="s">
        <v>374</v>
      </c>
      <c r="C174" t="s">
        <v>21</v>
      </c>
      <c r="D174" t="s">
        <v>22</v>
      </c>
      <c r="E174">
        <v>-4.6900000000000004</v>
      </c>
      <c r="F174" t="s">
        <v>77</v>
      </c>
      <c r="G174" s="19">
        <v>45739</v>
      </c>
      <c r="H174" t="s">
        <v>119</v>
      </c>
      <c r="I174" t="s">
        <v>120</v>
      </c>
      <c r="Q174" s="3">
        <f t="shared" si="2"/>
        <v>4.6900000000000004</v>
      </c>
      <c r="S174" t="s">
        <v>97</v>
      </c>
    </row>
    <row r="175" spans="1:19" x14ac:dyDescent="0.35">
      <c r="A175" t="s">
        <v>27</v>
      </c>
      <c r="B175" t="s">
        <v>394</v>
      </c>
      <c r="C175" t="s">
        <v>21</v>
      </c>
      <c r="D175" t="s">
        <v>22</v>
      </c>
      <c r="E175">
        <v>4.55</v>
      </c>
      <c r="F175" t="s">
        <v>77</v>
      </c>
      <c r="G175" s="19">
        <v>45743</v>
      </c>
      <c r="H175" t="s">
        <v>119</v>
      </c>
      <c r="I175" t="s">
        <v>120</v>
      </c>
      <c r="Q175" s="3">
        <f t="shared" si="2"/>
        <v>4.55</v>
      </c>
      <c r="S175" t="s">
        <v>97</v>
      </c>
    </row>
    <row r="176" spans="1:19" x14ac:dyDescent="0.35">
      <c r="A176" t="s">
        <v>27</v>
      </c>
      <c r="B176" t="s">
        <v>358</v>
      </c>
      <c r="C176" t="s">
        <v>21</v>
      </c>
      <c r="D176" t="s">
        <v>22</v>
      </c>
      <c r="E176">
        <v>-4.43</v>
      </c>
      <c r="F176" t="s">
        <v>77</v>
      </c>
      <c r="G176" s="19">
        <v>45740</v>
      </c>
      <c r="H176" t="s">
        <v>119</v>
      </c>
      <c r="I176" t="s">
        <v>120</v>
      </c>
      <c r="Q176" s="3">
        <f t="shared" si="2"/>
        <v>4.43</v>
      </c>
      <c r="S176" t="s">
        <v>97</v>
      </c>
    </row>
    <row r="177" spans="1:19" x14ac:dyDescent="0.35">
      <c r="A177" t="s">
        <v>27</v>
      </c>
      <c r="B177" t="s">
        <v>584</v>
      </c>
      <c r="C177" t="s">
        <v>21</v>
      </c>
      <c r="D177" t="s">
        <v>22</v>
      </c>
      <c r="E177">
        <v>-4.3600000000000003</v>
      </c>
      <c r="F177" t="s">
        <v>77</v>
      </c>
      <c r="G177" s="19">
        <v>45740</v>
      </c>
      <c r="H177" t="s">
        <v>119</v>
      </c>
      <c r="I177" t="s">
        <v>120</v>
      </c>
      <c r="Q177" s="3">
        <f t="shared" si="2"/>
        <v>4.3600000000000003</v>
      </c>
      <c r="S177" t="s">
        <v>97</v>
      </c>
    </row>
    <row r="178" spans="1:19" x14ac:dyDescent="0.35">
      <c r="A178" t="s">
        <v>27</v>
      </c>
      <c r="B178" t="s">
        <v>626</v>
      </c>
      <c r="C178" t="s">
        <v>21</v>
      </c>
      <c r="D178" t="s">
        <v>22</v>
      </c>
      <c r="E178">
        <v>-4.28</v>
      </c>
      <c r="F178" t="s">
        <v>77</v>
      </c>
      <c r="G178" s="19">
        <v>45715</v>
      </c>
      <c r="H178" t="s">
        <v>1824</v>
      </c>
      <c r="I178" t="s">
        <v>1832</v>
      </c>
      <c r="Q178" s="3">
        <f t="shared" si="2"/>
        <v>4.28</v>
      </c>
      <c r="S178" t="s">
        <v>97</v>
      </c>
    </row>
    <row r="179" spans="1:19" x14ac:dyDescent="0.35">
      <c r="A179" t="s">
        <v>27</v>
      </c>
      <c r="B179" t="s">
        <v>619</v>
      </c>
      <c r="C179" t="s">
        <v>21</v>
      </c>
      <c r="D179" t="s">
        <v>22</v>
      </c>
      <c r="E179">
        <v>4.28</v>
      </c>
      <c r="F179" t="s">
        <v>77</v>
      </c>
      <c r="G179" s="19">
        <v>45715</v>
      </c>
      <c r="H179" t="s">
        <v>1824</v>
      </c>
      <c r="I179" t="s">
        <v>1832</v>
      </c>
      <c r="Q179" s="3">
        <f t="shared" si="2"/>
        <v>4.28</v>
      </c>
      <c r="S179" t="s">
        <v>97</v>
      </c>
    </row>
    <row r="180" spans="1:19" x14ac:dyDescent="0.35">
      <c r="A180" t="s">
        <v>27</v>
      </c>
      <c r="B180" t="s">
        <v>356</v>
      </c>
      <c r="C180" t="s">
        <v>21</v>
      </c>
      <c r="D180" t="s">
        <v>22</v>
      </c>
      <c r="E180">
        <v>-3.45</v>
      </c>
      <c r="F180" t="s">
        <v>77</v>
      </c>
      <c r="G180" s="19">
        <v>45740</v>
      </c>
      <c r="H180" t="s">
        <v>119</v>
      </c>
      <c r="I180" t="s">
        <v>120</v>
      </c>
      <c r="Q180" s="3">
        <f t="shared" si="2"/>
        <v>3.45</v>
      </c>
      <c r="S180" t="s">
        <v>97</v>
      </c>
    </row>
    <row r="181" spans="1:19" x14ac:dyDescent="0.35">
      <c r="A181" t="s">
        <v>27</v>
      </c>
      <c r="B181" t="s">
        <v>358</v>
      </c>
      <c r="C181" t="s">
        <v>21</v>
      </c>
      <c r="D181" t="s">
        <v>22</v>
      </c>
      <c r="E181">
        <v>-3.01</v>
      </c>
      <c r="F181" t="s">
        <v>77</v>
      </c>
      <c r="G181" s="19">
        <v>45739</v>
      </c>
      <c r="H181" t="s">
        <v>119</v>
      </c>
      <c r="I181" t="s">
        <v>120</v>
      </c>
      <c r="Q181" s="3">
        <f t="shared" si="2"/>
        <v>3.01</v>
      </c>
      <c r="S181" t="s">
        <v>97</v>
      </c>
    </row>
    <row r="182" spans="1:19" x14ac:dyDescent="0.35">
      <c r="A182" t="s">
        <v>27</v>
      </c>
      <c r="B182" t="s">
        <v>584</v>
      </c>
      <c r="C182" t="s">
        <v>21</v>
      </c>
      <c r="D182" t="s">
        <v>22</v>
      </c>
      <c r="E182">
        <v>-2.9600000000000364</v>
      </c>
      <c r="F182" t="s">
        <v>77</v>
      </c>
      <c r="G182" s="19">
        <v>45739</v>
      </c>
      <c r="H182" t="s">
        <v>119</v>
      </c>
      <c r="I182" t="s">
        <v>120</v>
      </c>
      <c r="Q182" s="3">
        <f t="shared" si="2"/>
        <v>2.9600000000000364</v>
      </c>
      <c r="S182" t="s">
        <v>97</v>
      </c>
    </row>
    <row r="183" spans="1:19" x14ac:dyDescent="0.35">
      <c r="A183" t="s">
        <v>0</v>
      </c>
      <c r="B183" t="s">
        <v>327</v>
      </c>
      <c r="C183" t="s">
        <v>21</v>
      </c>
      <c r="D183" t="s">
        <v>22</v>
      </c>
      <c r="E183">
        <v>2.77</v>
      </c>
      <c r="F183" t="s">
        <v>77</v>
      </c>
      <c r="G183" s="19">
        <v>45715</v>
      </c>
      <c r="H183" t="s">
        <v>161</v>
      </c>
      <c r="I183" t="s">
        <v>1844</v>
      </c>
      <c r="Q183" s="3">
        <f t="shared" si="2"/>
        <v>2.77</v>
      </c>
      <c r="S183" t="s">
        <v>97</v>
      </c>
    </row>
    <row r="184" spans="1:19" x14ac:dyDescent="0.35">
      <c r="A184" t="s">
        <v>27</v>
      </c>
      <c r="B184" t="s">
        <v>394</v>
      </c>
      <c r="C184" t="s">
        <v>21</v>
      </c>
      <c r="D184" t="s">
        <v>22</v>
      </c>
      <c r="E184">
        <v>-2.54</v>
      </c>
      <c r="F184" t="s">
        <v>77</v>
      </c>
      <c r="G184" s="19">
        <v>45740</v>
      </c>
      <c r="H184" t="s">
        <v>119</v>
      </c>
      <c r="I184" t="s">
        <v>120</v>
      </c>
      <c r="Q184" s="3">
        <f t="shared" si="2"/>
        <v>2.54</v>
      </c>
      <c r="S184" t="s">
        <v>97</v>
      </c>
    </row>
    <row r="185" spans="1:19" x14ac:dyDescent="0.35">
      <c r="A185" t="s">
        <v>27</v>
      </c>
      <c r="B185" t="s">
        <v>356</v>
      </c>
      <c r="C185" t="s">
        <v>21</v>
      </c>
      <c r="D185" t="s">
        <v>22</v>
      </c>
      <c r="E185">
        <v>-2.35</v>
      </c>
      <c r="F185" t="s">
        <v>77</v>
      </c>
      <c r="G185" s="19">
        <v>45739</v>
      </c>
      <c r="H185" t="s">
        <v>119</v>
      </c>
      <c r="I185" t="s">
        <v>120</v>
      </c>
      <c r="Q185" s="3">
        <f t="shared" si="2"/>
        <v>2.35</v>
      </c>
      <c r="S185" t="s">
        <v>97</v>
      </c>
    </row>
    <row r="186" spans="1:19" x14ac:dyDescent="0.35">
      <c r="A186" t="s">
        <v>27</v>
      </c>
      <c r="B186" t="s">
        <v>394</v>
      </c>
      <c r="C186" t="s">
        <v>21</v>
      </c>
      <c r="D186" t="s">
        <v>22</v>
      </c>
      <c r="E186">
        <v>-1.72</v>
      </c>
      <c r="F186" t="s">
        <v>77</v>
      </c>
      <c r="G186" s="19">
        <v>45739</v>
      </c>
      <c r="H186" t="s">
        <v>119</v>
      </c>
      <c r="I186" t="s">
        <v>120</v>
      </c>
      <c r="Q186" s="3">
        <f t="shared" si="2"/>
        <v>1.72</v>
      </c>
      <c r="S186" t="s">
        <v>97</v>
      </c>
    </row>
    <row r="187" spans="1:19" x14ac:dyDescent="0.35">
      <c r="A187" t="s">
        <v>0</v>
      </c>
      <c r="B187" t="s">
        <v>394</v>
      </c>
      <c r="C187" t="s">
        <v>21</v>
      </c>
      <c r="D187" t="s">
        <v>22</v>
      </c>
      <c r="E187">
        <v>-1.45</v>
      </c>
      <c r="F187" t="s">
        <v>77</v>
      </c>
      <c r="G187" s="19">
        <v>45694</v>
      </c>
      <c r="H187" t="s">
        <v>161</v>
      </c>
      <c r="I187" t="s">
        <v>162</v>
      </c>
      <c r="Q187" s="3">
        <f t="shared" si="2"/>
        <v>1.45</v>
      </c>
      <c r="S187" t="s">
        <v>97</v>
      </c>
    </row>
    <row r="188" spans="1:19" x14ac:dyDescent="0.35">
      <c r="A188" t="s">
        <v>0</v>
      </c>
      <c r="B188" t="s">
        <v>492</v>
      </c>
      <c r="C188" t="s">
        <v>21</v>
      </c>
      <c r="D188" t="s">
        <v>22</v>
      </c>
      <c r="E188">
        <v>1.45</v>
      </c>
      <c r="F188" t="s">
        <v>77</v>
      </c>
      <c r="G188" s="19">
        <v>45694</v>
      </c>
      <c r="H188" t="s">
        <v>161</v>
      </c>
      <c r="I188" t="s">
        <v>162</v>
      </c>
      <c r="Q188" s="3">
        <f t="shared" si="2"/>
        <v>1.45</v>
      </c>
      <c r="S188" t="s">
        <v>97</v>
      </c>
    </row>
    <row r="189" spans="1:19" x14ac:dyDescent="0.35">
      <c r="A189" t="s">
        <v>0</v>
      </c>
      <c r="B189" t="s">
        <v>530</v>
      </c>
      <c r="C189" t="s">
        <v>21</v>
      </c>
      <c r="D189" t="s">
        <v>22</v>
      </c>
      <c r="E189">
        <v>1.05</v>
      </c>
      <c r="F189" t="s">
        <v>77</v>
      </c>
      <c r="G189" s="19">
        <v>45729</v>
      </c>
      <c r="H189" t="s">
        <v>161</v>
      </c>
      <c r="I189" t="s">
        <v>1843</v>
      </c>
      <c r="Q189" s="3">
        <f t="shared" si="2"/>
        <v>1.05</v>
      </c>
      <c r="S189" t="s">
        <v>97</v>
      </c>
    </row>
    <row r="190" spans="1:19" x14ac:dyDescent="0.35">
      <c r="A190" t="s">
        <v>27</v>
      </c>
      <c r="B190" t="s">
        <v>326</v>
      </c>
      <c r="C190" t="s">
        <v>21</v>
      </c>
      <c r="D190" t="s">
        <v>22</v>
      </c>
      <c r="E190">
        <v>-1.04</v>
      </c>
      <c r="F190" t="s">
        <v>77</v>
      </c>
      <c r="G190" s="19">
        <v>45715</v>
      </c>
      <c r="H190" t="s">
        <v>1824</v>
      </c>
      <c r="I190" t="s">
        <v>1831</v>
      </c>
      <c r="Q190" s="3">
        <f t="shared" si="2"/>
        <v>1.04</v>
      </c>
      <c r="S190" t="s">
        <v>97</v>
      </c>
    </row>
    <row r="191" spans="1:19" x14ac:dyDescent="0.35">
      <c r="A191" t="s">
        <v>0</v>
      </c>
      <c r="B191" t="s">
        <v>492</v>
      </c>
      <c r="C191" t="s">
        <v>21</v>
      </c>
      <c r="D191" t="s">
        <v>22</v>
      </c>
      <c r="E191">
        <v>1.01</v>
      </c>
      <c r="F191" t="s">
        <v>77</v>
      </c>
      <c r="G191" s="19">
        <v>45687</v>
      </c>
      <c r="H191" t="s">
        <v>161</v>
      </c>
      <c r="I191" t="s">
        <v>1842</v>
      </c>
      <c r="Q191" s="3">
        <f t="shared" si="2"/>
        <v>1.01</v>
      </c>
      <c r="S191" t="s">
        <v>97</v>
      </c>
    </row>
    <row r="192" spans="1:19" x14ac:dyDescent="0.35">
      <c r="A192" t="s">
        <v>0</v>
      </c>
      <c r="B192" t="s">
        <v>354</v>
      </c>
      <c r="C192" t="s">
        <v>21</v>
      </c>
      <c r="D192" t="s">
        <v>22</v>
      </c>
      <c r="E192">
        <v>0.91</v>
      </c>
      <c r="F192" t="s">
        <v>77</v>
      </c>
      <c r="G192" s="19">
        <v>45747</v>
      </c>
      <c r="H192" t="s">
        <v>163</v>
      </c>
      <c r="I192" t="s">
        <v>163</v>
      </c>
      <c r="Q192" s="3">
        <f t="shared" si="2"/>
        <v>0.91</v>
      </c>
      <c r="S192" t="s">
        <v>97</v>
      </c>
    </row>
    <row r="193" spans="1:19" x14ac:dyDescent="0.35">
      <c r="A193" t="s">
        <v>27</v>
      </c>
      <c r="B193" t="s">
        <v>328</v>
      </c>
      <c r="C193" t="s">
        <v>21</v>
      </c>
      <c r="D193" t="s">
        <v>22</v>
      </c>
      <c r="E193">
        <v>0.6100000000000001</v>
      </c>
      <c r="F193" t="s">
        <v>77</v>
      </c>
      <c r="G193" s="19">
        <v>45747</v>
      </c>
      <c r="H193" t="s">
        <v>163</v>
      </c>
      <c r="I193" t="s">
        <v>163</v>
      </c>
      <c r="Q193" s="3">
        <f t="shared" si="2"/>
        <v>0.6100000000000001</v>
      </c>
      <c r="S193" t="s">
        <v>97</v>
      </c>
    </row>
    <row r="194" spans="1:19" x14ac:dyDescent="0.35">
      <c r="A194" t="s">
        <v>0</v>
      </c>
      <c r="B194" t="s">
        <v>339</v>
      </c>
      <c r="C194" t="s">
        <v>21</v>
      </c>
      <c r="D194" t="s">
        <v>22</v>
      </c>
      <c r="E194">
        <v>0.59</v>
      </c>
      <c r="F194" t="s">
        <v>77</v>
      </c>
      <c r="G194" s="19">
        <v>45679</v>
      </c>
      <c r="H194" t="s">
        <v>161</v>
      </c>
      <c r="I194" t="s">
        <v>1841</v>
      </c>
      <c r="Q194" s="3">
        <f t="shared" si="2"/>
        <v>0.59</v>
      </c>
      <c r="S194" t="s">
        <v>97</v>
      </c>
    </row>
    <row r="195" spans="1:19" x14ac:dyDescent="0.35">
      <c r="A195" t="s">
        <v>27</v>
      </c>
      <c r="B195" t="s">
        <v>329</v>
      </c>
      <c r="C195" t="s">
        <v>21</v>
      </c>
      <c r="D195" t="s">
        <v>22</v>
      </c>
      <c r="E195">
        <v>0.53</v>
      </c>
      <c r="F195" t="s">
        <v>77</v>
      </c>
      <c r="G195" s="19">
        <v>45747</v>
      </c>
      <c r="H195" t="s">
        <v>163</v>
      </c>
      <c r="I195" t="s">
        <v>163</v>
      </c>
      <c r="Q195" s="3">
        <f t="shared" si="2"/>
        <v>0.53</v>
      </c>
      <c r="S195" t="s">
        <v>97</v>
      </c>
    </row>
    <row r="196" spans="1:19" x14ac:dyDescent="0.35">
      <c r="A196" t="s">
        <v>0</v>
      </c>
      <c r="B196" t="s">
        <v>496</v>
      </c>
      <c r="C196" t="s">
        <v>21</v>
      </c>
      <c r="D196" t="s">
        <v>22</v>
      </c>
      <c r="E196">
        <v>0.46</v>
      </c>
      <c r="F196" t="s">
        <v>77</v>
      </c>
      <c r="G196" s="19">
        <v>45747</v>
      </c>
      <c r="H196" t="s">
        <v>163</v>
      </c>
      <c r="I196" t="s">
        <v>163</v>
      </c>
      <c r="Q196" s="3">
        <f t="shared" si="2"/>
        <v>0.46</v>
      </c>
      <c r="S196" t="s">
        <v>97</v>
      </c>
    </row>
    <row r="197" spans="1:19" x14ac:dyDescent="0.35">
      <c r="A197" t="s">
        <v>0</v>
      </c>
      <c r="B197" t="s">
        <v>385</v>
      </c>
      <c r="C197" t="s">
        <v>21</v>
      </c>
      <c r="D197" t="s">
        <v>22</v>
      </c>
      <c r="E197">
        <v>0.39</v>
      </c>
      <c r="F197" t="s">
        <v>77</v>
      </c>
      <c r="G197" s="19">
        <v>45747</v>
      </c>
      <c r="H197" t="s">
        <v>163</v>
      </c>
      <c r="I197" t="s">
        <v>163</v>
      </c>
      <c r="Q197" s="3">
        <f t="shared" si="2"/>
        <v>0.39</v>
      </c>
      <c r="S197" t="s">
        <v>97</v>
      </c>
    </row>
    <row r="198" spans="1:19" x14ac:dyDescent="0.35">
      <c r="A198" t="s">
        <v>0</v>
      </c>
      <c r="B198" t="s">
        <v>615</v>
      </c>
      <c r="C198" t="s">
        <v>21</v>
      </c>
      <c r="D198" t="s">
        <v>22</v>
      </c>
      <c r="E198">
        <v>0.39</v>
      </c>
      <c r="F198" t="s">
        <v>77</v>
      </c>
      <c r="G198" s="19">
        <v>45747</v>
      </c>
      <c r="H198" t="s">
        <v>163</v>
      </c>
      <c r="I198" t="s">
        <v>163</v>
      </c>
      <c r="Q198" s="3">
        <f t="shared" si="2"/>
        <v>0.39</v>
      </c>
      <c r="S198" t="s">
        <v>97</v>
      </c>
    </row>
    <row r="199" spans="1:19" x14ac:dyDescent="0.35">
      <c r="A199" t="s">
        <v>0</v>
      </c>
      <c r="B199" t="s">
        <v>370</v>
      </c>
      <c r="C199" t="s">
        <v>21</v>
      </c>
      <c r="D199" t="s">
        <v>22</v>
      </c>
      <c r="E199">
        <v>0.37</v>
      </c>
      <c r="F199" t="s">
        <v>77</v>
      </c>
      <c r="G199" s="19">
        <v>45747</v>
      </c>
      <c r="H199" t="s">
        <v>163</v>
      </c>
      <c r="I199" t="s">
        <v>163</v>
      </c>
      <c r="Q199" s="3">
        <f t="shared" si="2"/>
        <v>0.37</v>
      </c>
      <c r="S199" t="s">
        <v>97</v>
      </c>
    </row>
    <row r="200" spans="1:19" x14ac:dyDescent="0.35">
      <c r="A200" t="s">
        <v>0</v>
      </c>
      <c r="B200" t="s">
        <v>399</v>
      </c>
      <c r="C200" t="s">
        <v>21</v>
      </c>
      <c r="D200" t="s">
        <v>22</v>
      </c>
      <c r="E200">
        <v>0.35</v>
      </c>
      <c r="F200" t="s">
        <v>77</v>
      </c>
      <c r="G200" s="19">
        <v>45747</v>
      </c>
      <c r="H200" t="s">
        <v>163</v>
      </c>
      <c r="I200" t="s">
        <v>163</v>
      </c>
      <c r="Q200" s="3">
        <f t="shared" ref="Q200:Q221" si="3">ABS(E200)</f>
        <v>0.35</v>
      </c>
      <c r="S200" t="s">
        <v>97</v>
      </c>
    </row>
    <row r="201" spans="1:19" x14ac:dyDescent="0.35">
      <c r="A201" t="s">
        <v>0</v>
      </c>
      <c r="B201" t="s">
        <v>335</v>
      </c>
      <c r="C201" t="s">
        <v>21</v>
      </c>
      <c r="D201" t="s">
        <v>22</v>
      </c>
      <c r="E201">
        <v>0.34</v>
      </c>
      <c r="F201" t="s">
        <v>77</v>
      </c>
      <c r="G201" s="19">
        <v>45747</v>
      </c>
      <c r="H201" t="s">
        <v>163</v>
      </c>
      <c r="I201" t="s">
        <v>163</v>
      </c>
      <c r="Q201" s="3">
        <f t="shared" si="3"/>
        <v>0.34</v>
      </c>
      <c r="S201" t="s">
        <v>97</v>
      </c>
    </row>
    <row r="202" spans="1:19" x14ac:dyDescent="0.35">
      <c r="A202" t="s">
        <v>0</v>
      </c>
      <c r="B202" t="s">
        <v>327</v>
      </c>
      <c r="C202" t="s">
        <v>21</v>
      </c>
      <c r="D202" t="s">
        <v>22</v>
      </c>
      <c r="E202">
        <v>0.32</v>
      </c>
      <c r="F202" t="s">
        <v>77</v>
      </c>
      <c r="G202" s="19">
        <v>45747</v>
      </c>
      <c r="H202" t="s">
        <v>163</v>
      </c>
      <c r="I202" t="s">
        <v>163</v>
      </c>
      <c r="Q202" s="3">
        <f t="shared" si="3"/>
        <v>0.32</v>
      </c>
      <c r="S202" t="s">
        <v>97</v>
      </c>
    </row>
    <row r="203" spans="1:19" x14ac:dyDescent="0.35">
      <c r="A203" t="s">
        <v>0</v>
      </c>
      <c r="B203" t="s">
        <v>394</v>
      </c>
      <c r="C203" t="s">
        <v>21</v>
      </c>
      <c r="D203" t="s">
        <v>22</v>
      </c>
      <c r="E203">
        <v>0.3</v>
      </c>
      <c r="F203" t="s">
        <v>77</v>
      </c>
      <c r="G203" s="19">
        <v>45709</v>
      </c>
      <c r="H203" t="s">
        <v>161</v>
      </c>
      <c r="I203" t="s">
        <v>162</v>
      </c>
      <c r="Q203" s="3">
        <f t="shared" si="3"/>
        <v>0.3</v>
      </c>
      <c r="S203" t="s">
        <v>97</v>
      </c>
    </row>
    <row r="204" spans="1:19" x14ac:dyDescent="0.35">
      <c r="A204" t="s">
        <v>0</v>
      </c>
      <c r="B204" t="s">
        <v>344</v>
      </c>
      <c r="C204" t="s">
        <v>21</v>
      </c>
      <c r="D204" t="s">
        <v>22</v>
      </c>
      <c r="E204">
        <v>-0.22</v>
      </c>
      <c r="F204" t="s">
        <v>77</v>
      </c>
      <c r="G204" s="19">
        <v>45716</v>
      </c>
      <c r="H204" t="s">
        <v>621</v>
      </c>
      <c r="I204" t="s">
        <v>621</v>
      </c>
      <c r="Q204" s="3">
        <f t="shared" si="3"/>
        <v>0.22</v>
      </c>
      <c r="S204" t="s">
        <v>97</v>
      </c>
    </row>
    <row r="205" spans="1:19" x14ac:dyDescent="0.35">
      <c r="A205" t="s">
        <v>0</v>
      </c>
      <c r="B205" t="s">
        <v>344</v>
      </c>
      <c r="C205" t="s">
        <v>21</v>
      </c>
      <c r="D205" t="s">
        <v>22</v>
      </c>
      <c r="E205">
        <v>0.22</v>
      </c>
      <c r="F205" t="s">
        <v>77</v>
      </c>
      <c r="G205" s="19">
        <v>45716</v>
      </c>
      <c r="H205" t="s">
        <v>1836</v>
      </c>
      <c r="I205" t="s">
        <v>621</v>
      </c>
      <c r="Q205" s="3">
        <f t="shared" si="3"/>
        <v>0.22</v>
      </c>
      <c r="S205" t="s">
        <v>97</v>
      </c>
    </row>
    <row r="206" spans="1:19" x14ac:dyDescent="0.35">
      <c r="A206" t="s">
        <v>0</v>
      </c>
      <c r="B206" t="s">
        <v>344</v>
      </c>
      <c r="C206" t="s">
        <v>21</v>
      </c>
      <c r="D206" t="s">
        <v>22</v>
      </c>
      <c r="E206">
        <v>0.22</v>
      </c>
      <c r="F206" t="s">
        <v>77</v>
      </c>
      <c r="G206" s="19">
        <v>45716</v>
      </c>
      <c r="H206" t="s">
        <v>1836</v>
      </c>
      <c r="I206" t="s">
        <v>1836</v>
      </c>
      <c r="Q206" s="3">
        <f t="shared" si="3"/>
        <v>0.22</v>
      </c>
      <c r="S206" t="s">
        <v>97</v>
      </c>
    </row>
    <row r="207" spans="1:19" x14ac:dyDescent="0.35">
      <c r="A207" t="s">
        <v>0</v>
      </c>
      <c r="B207" t="s">
        <v>499</v>
      </c>
      <c r="C207" t="s">
        <v>21</v>
      </c>
      <c r="D207" t="s">
        <v>22</v>
      </c>
      <c r="E207">
        <v>0.21</v>
      </c>
      <c r="F207" t="s">
        <v>77</v>
      </c>
      <c r="G207" s="19">
        <v>45700</v>
      </c>
      <c r="H207" t="s">
        <v>161</v>
      </c>
      <c r="I207" t="s">
        <v>1840</v>
      </c>
      <c r="Q207" s="3">
        <f t="shared" si="3"/>
        <v>0.21</v>
      </c>
      <c r="S207" t="s">
        <v>97</v>
      </c>
    </row>
    <row r="208" spans="1:19" x14ac:dyDescent="0.35">
      <c r="A208" t="s">
        <v>0</v>
      </c>
      <c r="B208" t="s">
        <v>396</v>
      </c>
      <c r="C208" t="s">
        <v>21</v>
      </c>
      <c r="D208" t="s">
        <v>22</v>
      </c>
      <c r="E208">
        <v>0.13</v>
      </c>
      <c r="F208" t="s">
        <v>77</v>
      </c>
      <c r="G208" s="19">
        <v>45744</v>
      </c>
      <c r="H208" t="s">
        <v>161</v>
      </c>
      <c r="I208" t="s">
        <v>1839</v>
      </c>
      <c r="Q208" s="3">
        <f t="shared" si="3"/>
        <v>0.13</v>
      </c>
      <c r="S208" t="s">
        <v>97</v>
      </c>
    </row>
    <row r="209" spans="1:19" x14ac:dyDescent="0.35">
      <c r="A209" t="s">
        <v>0</v>
      </c>
      <c r="B209" t="s">
        <v>344</v>
      </c>
      <c r="C209" t="s">
        <v>21</v>
      </c>
      <c r="D209" t="s">
        <v>22</v>
      </c>
      <c r="E209">
        <v>0.11</v>
      </c>
      <c r="F209" t="s">
        <v>77</v>
      </c>
      <c r="G209" s="19">
        <v>45747</v>
      </c>
      <c r="H209" t="s">
        <v>163</v>
      </c>
      <c r="I209" t="s">
        <v>163</v>
      </c>
      <c r="Q209" s="3">
        <f t="shared" si="3"/>
        <v>0.11</v>
      </c>
      <c r="S209" t="s">
        <v>97</v>
      </c>
    </row>
    <row r="210" spans="1:19" x14ac:dyDescent="0.35">
      <c r="A210" t="s">
        <v>0</v>
      </c>
      <c r="B210" t="s">
        <v>401</v>
      </c>
      <c r="C210" t="s">
        <v>21</v>
      </c>
      <c r="D210" t="s">
        <v>22</v>
      </c>
      <c r="E210">
        <v>0.09</v>
      </c>
      <c r="F210" t="s">
        <v>77</v>
      </c>
      <c r="G210" s="19">
        <v>45678</v>
      </c>
      <c r="H210" t="s">
        <v>161</v>
      </c>
      <c r="I210" t="s">
        <v>1838</v>
      </c>
      <c r="Q210" s="3">
        <f t="shared" si="3"/>
        <v>0.09</v>
      </c>
      <c r="S210" t="s">
        <v>97</v>
      </c>
    </row>
    <row r="211" spans="1:19" x14ac:dyDescent="0.35">
      <c r="A211" t="s">
        <v>0</v>
      </c>
      <c r="B211" t="s">
        <v>430</v>
      </c>
      <c r="C211" t="s">
        <v>21</v>
      </c>
      <c r="D211" t="s">
        <v>22</v>
      </c>
      <c r="E211">
        <v>0.05</v>
      </c>
      <c r="F211" t="s">
        <v>77</v>
      </c>
      <c r="G211" s="19">
        <v>45699</v>
      </c>
      <c r="H211" t="s">
        <v>161</v>
      </c>
      <c r="I211" t="s">
        <v>1837</v>
      </c>
      <c r="Q211" s="3">
        <f t="shared" si="3"/>
        <v>0.05</v>
      </c>
      <c r="S211" t="s">
        <v>97</v>
      </c>
    </row>
    <row r="212" spans="1:19" x14ac:dyDescent="0.35">
      <c r="A212" t="s">
        <v>0</v>
      </c>
      <c r="B212" t="s">
        <v>426</v>
      </c>
      <c r="C212" t="s">
        <v>21</v>
      </c>
      <c r="D212" t="s">
        <v>22</v>
      </c>
      <c r="E212">
        <v>-0.04</v>
      </c>
      <c r="F212" t="s">
        <v>77</v>
      </c>
      <c r="G212" s="19">
        <v>45716</v>
      </c>
      <c r="H212" t="s">
        <v>621</v>
      </c>
      <c r="I212" t="s">
        <v>621</v>
      </c>
      <c r="Q212" s="3">
        <f t="shared" si="3"/>
        <v>0.04</v>
      </c>
      <c r="S212" t="s">
        <v>97</v>
      </c>
    </row>
    <row r="213" spans="1:19" x14ac:dyDescent="0.35">
      <c r="A213" t="s">
        <v>0</v>
      </c>
      <c r="B213" t="s">
        <v>426</v>
      </c>
      <c r="C213" t="s">
        <v>21</v>
      </c>
      <c r="D213" t="s">
        <v>22</v>
      </c>
      <c r="E213">
        <v>0.04</v>
      </c>
      <c r="F213" t="s">
        <v>77</v>
      </c>
      <c r="G213" s="19">
        <v>45716</v>
      </c>
      <c r="H213" t="s">
        <v>1836</v>
      </c>
      <c r="I213" t="s">
        <v>621</v>
      </c>
      <c r="Q213" s="3">
        <f t="shared" si="3"/>
        <v>0.04</v>
      </c>
      <c r="S213" t="s">
        <v>97</v>
      </c>
    </row>
    <row r="214" spans="1:19" x14ac:dyDescent="0.35">
      <c r="A214" t="s">
        <v>0</v>
      </c>
      <c r="B214" t="s">
        <v>426</v>
      </c>
      <c r="C214" t="s">
        <v>21</v>
      </c>
      <c r="D214" t="s">
        <v>22</v>
      </c>
      <c r="E214">
        <v>0.04</v>
      </c>
      <c r="F214" t="s">
        <v>77</v>
      </c>
      <c r="G214" s="19">
        <v>45716</v>
      </c>
      <c r="H214" t="s">
        <v>1836</v>
      </c>
      <c r="I214" t="s">
        <v>1836</v>
      </c>
      <c r="Q214" s="3">
        <f t="shared" si="3"/>
        <v>0.04</v>
      </c>
      <c r="S214" t="s">
        <v>97</v>
      </c>
    </row>
    <row r="215" spans="1:19" x14ac:dyDescent="0.35">
      <c r="A215" t="s">
        <v>0</v>
      </c>
      <c r="B215" t="s">
        <v>481</v>
      </c>
      <c r="C215" t="s">
        <v>21</v>
      </c>
      <c r="D215" t="s">
        <v>22</v>
      </c>
      <c r="E215">
        <v>0.04</v>
      </c>
      <c r="F215" t="s">
        <v>77</v>
      </c>
      <c r="G215" s="19">
        <v>45747</v>
      </c>
      <c r="H215" t="s">
        <v>163</v>
      </c>
      <c r="I215" t="s">
        <v>163</v>
      </c>
      <c r="Q215" s="3">
        <f t="shared" si="3"/>
        <v>0.04</v>
      </c>
      <c r="S215" t="s">
        <v>97</v>
      </c>
    </row>
    <row r="216" spans="1:19" x14ac:dyDescent="0.35">
      <c r="A216" t="s">
        <v>0</v>
      </c>
      <c r="B216" t="s">
        <v>426</v>
      </c>
      <c r="C216" t="s">
        <v>21</v>
      </c>
      <c r="D216" t="s">
        <v>22</v>
      </c>
      <c r="E216">
        <v>0.03</v>
      </c>
      <c r="F216" t="s">
        <v>77</v>
      </c>
      <c r="G216" s="19">
        <v>45747</v>
      </c>
      <c r="H216" t="s">
        <v>163</v>
      </c>
      <c r="I216" t="s">
        <v>163</v>
      </c>
      <c r="Q216" s="3">
        <f t="shared" si="3"/>
        <v>0.03</v>
      </c>
      <c r="S216" t="s">
        <v>97</v>
      </c>
    </row>
    <row r="217" spans="1:19" x14ac:dyDescent="0.35">
      <c r="A217" t="s">
        <v>0</v>
      </c>
      <c r="B217" t="s">
        <v>339</v>
      </c>
      <c r="C217" t="s">
        <v>21</v>
      </c>
      <c r="D217" t="s">
        <v>22</v>
      </c>
      <c r="E217">
        <v>0.02</v>
      </c>
      <c r="F217" t="s">
        <v>77</v>
      </c>
      <c r="G217" s="19">
        <v>45681</v>
      </c>
      <c r="H217" t="s">
        <v>161</v>
      </c>
      <c r="I217" t="s">
        <v>1833</v>
      </c>
      <c r="Q217" s="3">
        <f t="shared" si="3"/>
        <v>0.02</v>
      </c>
      <c r="S217" t="s">
        <v>97</v>
      </c>
    </row>
    <row r="218" spans="1:19" x14ac:dyDescent="0.35">
      <c r="A218" t="s">
        <v>0</v>
      </c>
      <c r="B218" t="s">
        <v>327</v>
      </c>
      <c r="C218" t="s">
        <v>21</v>
      </c>
      <c r="D218" t="s">
        <v>22</v>
      </c>
      <c r="E218">
        <v>0.02</v>
      </c>
      <c r="F218" t="s">
        <v>77</v>
      </c>
      <c r="G218" s="19">
        <v>45734</v>
      </c>
      <c r="H218" t="s">
        <v>161</v>
      </c>
      <c r="I218" t="s">
        <v>1834</v>
      </c>
      <c r="Q218" s="3">
        <f t="shared" si="3"/>
        <v>0.02</v>
      </c>
      <c r="S218" t="s">
        <v>97</v>
      </c>
    </row>
    <row r="219" spans="1:19" x14ac:dyDescent="0.35">
      <c r="A219" t="s">
        <v>0</v>
      </c>
      <c r="B219" t="s">
        <v>1835</v>
      </c>
      <c r="C219" t="s">
        <v>21</v>
      </c>
      <c r="D219" t="s">
        <v>22</v>
      </c>
      <c r="E219">
        <v>0.02</v>
      </c>
      <c r="F219" t="s">
        <v>77</v>
      </c>
      <c r="G219" s="19">
        <v>45747</v>
      </c>
      <c r="H219" t="s">
        <v>163</v>
      </c>
      <c r="I219" t="s">
        <v>163</v>
      </c>
      <c r="Q219" s="3">
        <f t="shared" si="3"/>
        <v>0.02</v>
      </c>
      <c r="S219" t="s">
        <v>97</v>
      </c>
    </row>
    <row r="220" spans="1:19" x14ac:dyDescent="0.35">
      <c r="A220" t="s">
        <v>0</v>
      </c>
      <c r="B220" t="s">
        <v>426</v>
      </c>
      <c r="C220" t="s">
        <v>21</v>
      </c>
      <c r="D220" t="s">
        <v>22</v>
      </c>
      <c r="E220">
        <v>0.02</v>
      </c>
      <c r="F220" t="s">
        <v>77</v>
      </c>
      <c r="G220" s="19">
        <v>45747</v>
      </c>
      <c r="H220" t="s">
        <v>621</v>
      </c>
      <c r="I220" t="s">
        <v>621</v>
      </c>
      <c r="Q220" s="3">
        <f t="shared" si="3"/>
        <v>0.02</v>
      </c>
      <c r="S220" t="s">
        <v>97</v>
      </c>
    </row>
    <row r="221" spans="1:19" x14ac:dyDescent="0.35">
      <c r="A221" t="s">
        <v>27</v>
      </c>
      <c r="B221" t="s">
        <v>328</v>
      </c>
      <c r="C221" t="s">
        <v>21</v>
      </c>
      <c r="D221" t="s">
        <v>22</v>
      </c>
      <c r="E221">
        <v>-0.01</v>
      </c>
      <c r="F221" t="s">
        <v>77</v>
      </c>
      <c r="G221" s="19">
        <v>45747</v>
      </c>
      <c r="H221" t="s">
        <v>119</v>
      </c>
      <c r="I221" t="s">
        <v>120</v>
      </c>
      <c r="Q221" s="3">
        <f t="shared" si="3"/>
        <v>0.01</v>
      </c>
      <c r="S221" t="s">
        <v>97</v>
      </c>
    </row>
    <row r="222" spans="1:19" x14ac:dyDescent="0.35">
      <c r="F222"/>
      <c r="G222" s="19"/>
      <c r="H222"/>
      <c r="I222"/>
    </row>
    <row r="223" spans="1:19" x14ac:dyDescent="0.35">
      <c r="F223"/>
      <c r="G223" s="19"/>
      <c r="H223"/>
      <c r="I223"/>
    </row>
    <row r="224" spans="1:19" x14ac:dyDescent="0.35">
      <c r="F224"/>
      <c r="G224" s="19"/>
      <c r="H224"/>
      <c r="I224"/>
    </row>
    <row r="225" spans="6:9" x14ac:dyDescent="0.35">
      <c r="F225"/>
      <c r="G225" s="19"/>
      <c r="H225"/>
      <c r="I225"/>
    </row>
    <row r="226" spans="6:9" x14ac:dyDescent="0.35">
      <c r="F226"/>
      <c r="G226" s="19"/>
      <c r="H226"/>
      <c r="I226"/>
    </row>
    <row r="227" spans="6:9" x14ac:dyDescent="0.35">
      <c r="F227"/>
      <c r="G227" s="19"/>
      <c r="H227"/>
      <c r="I227"/>
    </row>
    <row r="228" spans="6:9" x14ac:dyDescent="0.35">
      <c r="F228"/>
      <c r="G228" s="19"/>
      <c r="H228"/>
      <c r="I228"/>
    </row>
    <row r="229" spans="6:9" x14ac:dyDescent="0.35">
      <c r="F229"/>
      <c r="G229" s="19"/>
      <c r="H229"/>
      <c r="I229"/>
    </row>
    <row r="230" spans="6:9" x14ac:dyDescent="0.35">
      <c r="F230"/>
      <c r="G230" s="19"/>
      <c r="H230"/>
      <c r="I230"/>
    </row>
    <row r="231" spans="6:9" x14ac:dyDescent="0.35">
      <c r="F231"/>
      <c r="G231" s="19"/>
      <c r="H231"/>
      <c r="I231"/>
    </row>
    <row r="232" spans="6:9" x14ac:dyDescent="0.35">
      <c r="F232"/>
      <c r="G232" s="19"/>
      <c r="H232"/>
      <c r="I232"/>
    </row>
    <row r="233" spans="6:9" x14ac:dyDescent="0.35">
      <c r="F233"/>
      <c r="G233" s="19"/>
      <c r="H233"/>
      <c r="I233"/>
    </row>
    <row r="234" spans="6:9" x14ac:dyDescent="0.35">
      <c r="F234"/>
      <c r="G234" s="19"/>
      <c r="H234"/>
      <c r="I234"/>
    </row>
    <row r="235" spans="6:9" x14ac:dyDescent="0.35">
      <c r="F235"/>
      <c r="G235" s="19"/>
      <c r="H235"/>
      <c r="I235"/>
    </row>
    <row r="236" spans="6:9" x14ac:dyDescent="0.35">
      <c r="F236"/>
      <c r="G236" s="19"/>
      <c r="H236"/>
      <c r="I236"/>
    </row>
    <row r="237" spans="6:9" x14ac:dyDescent="0.35">
      <c r="F237"/>
      <c r="G237" s="19"/>
      <c r="H237"/>
      <c r="I237"/>
    </row>
    <row r="238" spans="6:9" x14ac:dyDescent="0.35">
      <c r="F238"/>
      <c r="G238" s="19"/>
      <c r="H238"/>
      <c r="I238"/>
    </row>
    <row r="239" spans="6:9" x14ac:dyDescent="0.35">
      <c r="F239"/>
      <c r="G239" s="19"/>
      <c r="H239"/>
      <c r="I239"/>
    </row>
    <row r="240" spans="6:9" x14ac:dyDescent="0.35">
      <c r="F240"/>
      <c r="G240" s="19"/>
      <c r="H240"/>
      <c r="I240"/>
    </row>
    <row r="241" spans="6:9" x14ac:dyDescent="0.35">
      <c r="F241"/>
      <c r="G241" s="19"/>
      <c r="H241"/>
      <c r="I241"/>
    </row>
    <row r="242" spans="6:9" x14ac:dyDescent="0.35">
      <c r="F242"/>
      <c r="G242" s="19"/>
      <c r="H242"/>
      <c r="I242"/>
    </row>
    <row r="243" spans="6:9" x14ac:dyDescent="0.35">
      <c r="F243"/>
      <c r="G243" s="19"/>
      <c r="H243"/>
      <c r="I243"/>
    </row>
    <row r="244" spans="6:9" x14ac:dyDescent="0.35">
      <c r="F244"/>
      <c r="G244" s="19"/>
      <c r="H244"/>
      <c r="I244"/>
    </row>
    <row r="245" spans="6:9" x14ac:dyDescent="0.35">
      <c r="F245"/>
      <c r="G245" s="19"/>
      <c r="H245"/>
      <c r="I245"/>
    </row>
    <row r="246" spans="6:9" x14ac:dyDescent="0.35">
      <c r="F246"/>
      <c r="G246" s="19"/>
      <c r="H246"/>
      <c r="I246"/>
    </row>
    <row r="247" spans="6:9" x14ac:dyDescent="0.35">
      <c r="F247"/>
      <c r="G247" s="19"/>
      <c r="H247"/>
      <c r="I247"/>
    </row>
    <row r="248" spans="6:9" x14ac:dyDescent="0.35">
      <c r="F248"/>
      <c r="G248" s="19"/>
      <c r="H248"/>
      <c r="I248"/>
    </row>
    <row r="249" spans="6:9" x14ac:dyDescent="0.35">
      <c r="F249"/>
      <c r="G249" s="19"/>
      <c r="H249"/>
      <c r="I249"/>
    </row>
    <row r="250" spans="6:9" x14ac:dyDescent="0.35">
      <c r="F250"/>
      <c r="G250" s="19"/>
      <c r="H250"/>
      <c r="I250"/>
    </row>
    <row r="251" spans="6:9" x14ac:dyDescent="0.35">
      <c r="F251"/>
      <c r="G251" s="19"/>
      <c r="H251"/>
      <c r="I251"/>
    </row>
    <row r="252" spans="6:9" x14ac:dyDescent="0.35">
      <c r="F252"/>
      <c r="G252" s="19"/>
      <c r="H252"/>
      <c r="I252"/>
    </row>
    <row r="253" spans="6:9" x14ac:dyDescent="0.35">
      <c r="F253"/>
      <c r="G253" s="19"/>
      <c r="H253"/>
      <c r="I253"/>
    </row>
    <row r="254" spans="6:9" x14ac:dyDescent="0.35">
      <c r="F254"/>
      <c r="G254" s="19"/>
      <c r="H254"/>
      <c r="I254"/>
    </row>
    <row r="255" spans="6:9" x14ac:dyDescent="0.35">
      <c r="F255"/>
      <c r="G255" s="19"/>
      <c r="H255"/>
      <c r="I255"/>
    </row>
    <row r="256" spans="6:9" x14ac:dyDescent="0.35">
      <c r="F256"/>
      <c r="G256" s="19"/>
      <c r="H256"/>
      <c r="I256"/>
    </row>
    <row r="257" spans="6:9" x14ac:dyDescent="0.35">
      <c r="F257"/>
      <c r="G257" s="19"/>
      <c r="H257"/>
      <c r="I257"/>
    </row>
    <row r="258" spans="6:9" x14ac:dyDescent="0.35">
      <c r="F258"/>
      <c r="G258" s="19"/>
      <c r="H258"/>
      <c r="I258"/>
    </row>
    <row r="259" spans="6:9" x14ac:dyDescent="0.35">
      <c r="F259"/>
      <c r="G259" s="19"/>
      <c r="H259"/>
      <c r="I259"/>
    </row>
    <row r="260" spans="6:9" x14ac:dyDescent="0.35">
      <c r="F260"/>
      <c r="G260" s="19"/>
      <c r="H260"/>
      <c r="I260"/>
    </row>
    <row r="261" spans="6:9" x14ac:dyDescent="0.35">
      <c r="F261"/>
      <c r="G261" s="19"/>
      <c r="H261"/>
      <c r="I261"/>
    </row>
    <row r="262" spans="6:9" x14ac:dyDescent="0.35">
      <c r="F262"/>
      <c r="G262" s="19"/>
      <c r="H262"/>
      <c r="I262"/>
    </row>
    <row r="263" spans="6:9" x14ac:dyDescent="0.35">
      <c r="F263"/>
      <c r="G263" s="19"/>
      <c r="H263"/>
      <c r="I263"/>
    </row>
    <row r="264" spans="6:9" x14ac:dyDescent="0.35">
      <c r="F264"/>
      <c r="G264" s="19"/>
      <c r="H264"/>
      <c r="I264"/>
    </row>
    <row r="265" spans="6:9" x14ac:dyDescent="0.35">
      <c r="F265"/>
      <c r="G265" s="19"/>
      <c r="H265"/>
      <c r="I265"/>
    </row>
    <row r="266" spans="6:9" x14ac:dyDescent="0.35">
      <c r="F266"/>
      <c r="G266" s="19"/>
      <c r="H266"/>
      <c r="I266"/>
    </row>
    <row r="267" spans="6:9" x14ac:dyDescent="0.35">
      <c r="F267"/>
      <c r="G267" s="19"/>
      <c r="H267"/>
      <c r="I267"/>
    </row>
    <row r="268" spans="6:9" x14ac:dyDescent="0.35">
      <c r="F268"/>
      <c r="G268" s="19"/>
      <c r="H268"/>
      <c r="I268"/>
    </row>
    <row r="269" spans="6:9" x14ac:dyDescent="0.35">
      <c r="F269"/>
      <c r="G269" s="19"/>
      <c r="H269"/>
      <c r="I269"/>
    </row>
    <row r="270" spans="6:9" x14ac:dyDescent="0.35">
      <c r="F270"/>
      <c r="G270" s="19"/>
      <c r="H270"/>
      <c r="I270"/>
    </row>
    <row r="271" spans="6:9" x14ac:dyDescent="0.35">
      <c r="F271"/>
      <c r="G271" s="19"/>
      <c r="H271"/>
      <c r="I271"/>
    </row>
    <row r="272" spans="6:9" x14ac:dyDescent="0.35">
      <c r="F272"/>
      <c r="G272" s="19"/>
      <c r="H272"/>
      <c r="I272"/>
    </row>
    <row r="273" spans="6:9" x14ac:dyDescent="0.35">
      <c r="F273"/>
      <c r="G273" s="19"/>
      <c r="H273"/>
      <c r="I273"/>
    </row>
    <row r="274" spans="6:9" x14ac:dyDescent="0.35">
      <c r="F274"/>
      <c r="G274" s="19"/>
      <c r="H274"/>
      <c r="I274"/>
    </row>
    <row r="275" spans="6:9" x14ac:dyDescent="0.35">
      <c r="F275"/>
      <c r="G275" s="19"/>
      <c r="H275"/>
      <c r="I275"/>
    </row>
    <row r="276" spans="6:9" x14ac:dyDescent="0.35">
      <c r="F276"/>
      <c r="G276" s="19"/>
      <c r="H276"/>
      <c r="I276"/>
    </row>
    <row r="277" spans="6:9" x14ac:dyDescent="0.35">
      <c r="F277"/>
      <c r="G277" s="19"/>
      <c r="H277"/>
      <c r="I277"/>
    </row>
    <row r="278" spans="6:9" x14ac:dyDescent="0.35">
      <c r="F278"/>
      <c r="G278" s="19"/>
      <c r="H278"/>
      <c r="I278"/>
    </row>
    <row r="279" spans="6:9" x14ac:dyDescent="0.35">
      <c r="F279"/>
      <c r="G279" s="19"/>
      <c r="H279"/>
      <c r="I279"/>
    </row>
    <row r="280" spans="6:9" x14ac:dyDescent="0.35">
      <c r="F280"/>
      <c r="G280" s="19"/>
      <c r="H280"/>
      <c r="I280"/>
    </row>
    <row r="281" spans="6:9" x14ac:dyDescent="0.35">
      <c r="F281"/>
      <c r="G281" s="19"/>
      <c r="H281"/>
      <c r="I281"/>
    </row>
    <row r="282" spans="6:9" x14ac:dyDescent="0.35">
      <c r="F282"/>
      <c r="G282" s="19"/>
      <c r="H282"/>
      <c r="I282"/>
    </row>
    <row r="283" spans="6:9" x14ac:dyDescent="0.35">
      <c r="F283"/>
      <c r="G283" s="19"/>
      <c r="H283"/>
      <c r="I283"/>
    </row>
    <row r="284" spans="6:9" x14ac:dyDescent="0.35">
      <c r="F284"/>
      <c r="G284" s="19"/>
      <c r="H284"/>
      <c r="I284"/>
    </row>
    <row r="285" spans="6:9" x14ac:dyDescent="0.35">
      <c r="F285"/>
      <c r="G285" s="19"/>
      <c r="H285"/>
      <c r="I285"/>
    </row>
    <row r="286" spans="6:9" x14ac:dyDescent="0.35">
      <c r="F286"/>
      <c r="G286" s="19"/>
      <c r="H286"/>
      <c r="I286"/>
    </row>
    <row r="287" spans="6:9" x14ac:dyDescent="0.35">
      <c r="F287"/>
      <c r="G287" s="19"/>
      <c r="H287"/>
      <c r="I287"/>
    </row>
    <row r="288" spans="6:9" x14ac:dyDescent="0.35">
      <c r="F288"/>
      <c r="G288" s="19"/>
      <c r="H288"/>
      <c r="I288"/>
    </row>
    <row r="289" spans="6:9" x14ac:dyDescent="0.35">
      <c r="F289"/>
      <c r="G289" s="19"/>
      <c r="H289"/>
      <c r="I289"/>
    </row>
    <row r="290" spans="6:9" x14ac:dyDescent="0.35">
      <c r="F290"/>
      <c r="G290" s="19"/>
      <c r="H290"/>
      <c r="I290"/>
    </row>
    <row r="291" spans="6:9" x14ac:dyDescent="0.35">
      <c r="F291"/>
      <c r="G291" s="19"/>
      <c r="H291"/>
      <c r="I291"/>
    </row>
    <row r="292" spans="6:9" x14ac:dyDescent="0.35">
      <c r="F292"/>
      <c r="G292" s="19"/>
      <c r="H292"/>
      <c r="I292"/>
    </row>
    <row r="293" spans="6:9" x14ac:dyDescent="0.35">
      <c r="F293"/>
      <c r="G293" s="19"/>
      <c r="H293"/>
      <c r="I293"/>
    </row>
    <row r="294" spans="6:9" x14ac:dyDescent="0.35">
      <c r="F294"/>
      <c r="G294" s="19"/>
      <c r="H294"/>
      <c r="I294"/>
    </row>
    <row r="295" spans="6:9" x14ac:dyDescent="0.35">
      <c r="F295"/>
      <c r="G295" s="19"/>
      <c r="H295"/>
      <c r="I295"/>
    </row>
    <row r="296" spans="6:9" x14ac:dyDescent="0.35">
      <c r="F296"/>
      <c r="G296" s="19"/>
      <c r="H296"/>
      <c r="I296"/>
    </row>
    <row r="297" spans="6:9" x14ac:dyDescent="0.35">
      <c r="F297"/>
      <c r="G297" s="19"/>
      <c r="H297"/>
      <c r="I297"/>
    </row>
    <row r="298" spans="6:9" x14ac:dyDescent="0.35">
      <c r="F298"/>
      <c r="G298" s="19"/>
      <c r="H298"/>
      <c r="I298"/>
    </row>
    <row r="299" spans="6:9" x14ac:dyDescent="0.35">
      <c r="F299"/>
      <c r="G299" s="19"/>
      <c r="H299"/>
      <c r="I299"/>
    </row>
    <row r="300" spans="6:9" x14ac:dyDescent="0.35">
      <c r="F300"/>
      <c r="G300" s="19"/>
      <c r="H300"/>
      <c r="I300"/>
    </row>
    <row r="301" spans="6:9" x14ac:dyDescent="0.35">
      <c r="F301"/>
      <c r="G301" s="19"/>
      <c r="H301"/>
      <c r="I301"/>
    </row>
    <row r="302" spans="6:9" x14ac:dyDescent="0.35">
      <c r="F302"/>
      <c r="G302" s="19"/>
      <c r="H302"/>
      <c r="I302"/>
    </row>
    <row r="303" spans="6:9" x14ac:dyDescent="0.35">
      <c r="F303"/>
      <c r="G303" s="19"/>
      <c r="H303"/>
      <c r="I303"/>
    </row>
    <row r="304" spans="6:9" x14ac:dyDescent="0.35">
      <c r="F304"/>
      <c r="G304" s="19"/>
      <c r="H304"/>
      <c r="I304"/>
    </row>
    <row r="305" spans="6:9" x14ac:dyDescent="0.35">
      <c r="F305"/>
      <c r="G305" s="19"/>
      <c r="H305"/>
      <c r="I305"/>
    </row>
    <row r="306" spans="6:9" x14ac:dyDescent="0.35">
      <c r="F306"/>
      <c r="G306" s="19"/>
      <c r="H306"/>
      <c r="I306"/>
    </row>
    <row r="307" spans="6:9" x14ac:dyDescent="0.35">
      <c r="F307"/>
      <c r="G307" s="19"/>
      <c r="H307"/>
      <c r="I307"/>
    </row>
    <row r="308" spans="6:9" x14ac:dyDescent="0.35">
      <c r="F308"/>
      <c r="G308" s="19"/>
      <c r="H308"/>
      <c r="I308"/>
    </row>
    <row r="309" spans="6:9" x14ac:dyDescent="0.35">
      <c r="F309"/>
      <c r="G309" s="19"/>
      <c r="H309"/>
      <c r="I309"/>
    </row>
    <row r="310" spans="6:9" x14ac:dyDescent="0.35">
      <c r="F310"/>
      <c r="G310" s="19"/>
      <c r="H310"/>
      <c r="I310"/>
    </row>
    <row r="311" spans="6:9" x14ac:dyDescent="0.35">
      <c r="F311"/>
      <c r="G311" s="19"/>
      <c r="H311"/>
      <c r="I311"/>
    </row>
    <row r="312" spans="6:9" x14ac:dyDescent="0.35">
      <c r="F312"/>
      <c r="G312" s="19"/>
      <c r="H312"/>
      <c r="I312"/>
    </row>
    <row r="313" spans="6:9" x14ac:dyDescent="0.35">
      <c r="F313"/>
      <c r="G313" s="19"/>
      <c r="H313"/>
      <c r="I313"/>
    </row>
    <row r="314" spans="6:9" x14ac:dyDescent="0.35">
      <c r="F314"/>
      <c r="G314" s="19"/>
      <c r="H314"/>
      <c r="I314"/>
    </row>
    <row r="315" spans="6:9" x14ac:dyDescent="0.35">
      <c r="F315"/>
      <c r="G315" s="19"/>
      <c r="H315"/>
      <c r="I315"/>
    </row>
    <row r="316" spans="6:9" x14ac:dyDescent="0.35">
      <c r="F316"/>
      <c r="G316" s="19"/>
      <c r="H316"/>
      <c r="I316"/>
    </row>
    <row r="317" spans="6:9" x14ac:dyDescent="0.35">
      <c r="F317"/>
      <c r="G317" s="19"/>
      <c r="H317"/>
      <c r="I317"/>
    </row>
    <row r="318" spans="6:9" x14ac:dyDescent="0.35">
      <c r="F318"/>
      <c r="G318" s="19"/>
      <c r="H318"/>
      <c r="I318"/>
    </row>
    <row r="319" spans="6:9" x14ac:dyDescent="0.35">
      <c r="F319"/>
      <c r="G319" s="19"/>
      <c r="H319"/>
      <c r="I319"/>
    </row>
    <row r="320" spans="6:9" x14ac:dyDescent="0.35">
      <c r="F320"/>
      <c r="G320" s="19"/>
      <c r="H320"/>
      <c r="I320"/>
    </row>
    <row r="321" spans="6:9" x14ac:dyDescent="0.35">
      <c r="F321"/>
      <c r="G321" s="19"/>
      <c r="H321"/>
      <c r="I321"/>
    </row>
    <row r="322" spans="6:9" x14ac:dyDescent="0.35">
      <c r="F322"/>
      <c r="G322" s="19"/>
      <c r="H322"/>
      <c r="I322"/>
    </row>
    <row r="323" spans="6:9" x14ac:dyDescent="0.35">
      <c r="F323"/>
      <c r="G323" s="19"/>
      <c r="H323"/>
      <c r="I323"/>
    </row>
    <row r="324" spans="6:9" x14ac:dyDescent="0.35">
      <c r="F324"/>
      <c r="G324" s="19"/>
      <c r="H324"/>
      <c r="I324"/>
    </row>
    <row r="325" spans="6:9" x14ac:dyDescent="0.35">
      <c r="F325"/>
      <c r="G325" s="19"/>
      <c r="H325"/>
      <c r="I325"/>
    </row>
    <row r="326" spans="6:9" x14ac:dyDescent="0.35">
      <c r="F326"/>
      <c r="G326" s="19"/>
      <c r="H326"/>
      <c r="I326"/>
    </row>
    <row r="327" spans="6:9" x14ac:dyDescent="0.35">
      <c r="F327"/>
      <c r="G327" s="19"/>
      <c r="H327"/>
      <c r="I327"/>
    </row>
    <row r="328" spans="6:9" x14ac:dyDescent="0.35">
      <c r="F328"/>
      <c r="G328" s="19"/>
      <c r="H328"/>
      <c r="I328"/>
    </row>
    <row r="329" spans="6:9" x14ac:dyDescent="0.35">
      <c r="F329"/>
      <c r="G329" s="19"/>
      <c r="H329"/>
      <c r="I329"/>
    </row>
    <row r="330" spans="6:9" x14ac:dyDescent="0.35">
      <c r="F330"/>
      <c r="G330" s="19"/>
      <c r="H330"/>
      <c r="I330"/>
    </row>
    <row r="331" spans="6:9" x14ac:dyDescent="0.35">
      <c r="F331"/>
      <c r="G331" s="19"/>
      <c r="H331"/>
      <c r="I331"/>
    </row>
    <row r="332" spans="6:9" x14ac:dyDescent="0.35">
      <c r="F332"/>
      <c r="G332" s="19"/>
      <c r="H332"/>
      <c r="I332"/>
    </row>
    <row r="333" spans="6:9" x14ac:dyDescent="0.35">
      <c r="F333"/>
      <c r="G333" s="19"/>
      <c r="H333"/>
      <c r="I333"/>
    </row>
    <row r="334" spans="6:9" x14ac:dyDescent="0.35">
      <c r="F334"/>
      <c r="G334" s="19"/>
      <c r="H334"/>
      <c r="I334"/>
    </row>
    <row r="335" spans="6:9" x14ac:dyDescent="0.35">
      <c r="F335"/>
      <c r="G335" s="19"/>
      <c r="H335"/>
      <c r="I335"/>
    </row>
    <row r="336" spans="6:9" x14ac:dyDescent="0.35">
      <c r="F336"/>
      <c r="G336" s="19"/>
      <c r="H336"/>
      <c r="I336"/>
    </row>
    <row r="337" spans="6:9" x14ac:dyDescent="0.35">
      <c r="F337"/>
      <c r="G337" s="19"/>
      <c r="H337"/>
      <c r="I337"/>
    </row>
    <row r="338" spans="6:9" x14ac:dyDescent="0.35">
      <c r="F338"/>
      <c r="G338" s="19"/>
      <c r="H338"/>
      <c r="I338"/>
    </row>
    <row r="339" spans="6:9" x14ac:dyDescent="0.35">
      <c r="F339"/>
      <c r="G339" s="19"/>
      <c r="H339"/>
      <c r="I339"/>
    </row>
    <row r="340" spans="6:9" x14ac:dyDescent="0.35">
      <c r="F340"/>
      <c r="G340" s="19"/>
      <c r="H340"/>
      <c r="I340"/>
    </row>
    <row r="341" spans="6:9" x14ac:dyDescent="0.35">
      <c r="F341"/>
      <c r="G341" s="19"/>
      <c r="H341"/>
      <c r="I341"/>
    </row>
    <row r="342" spans="6:9" x14ac:dyDescent="0.35">
      <c r="F342"/>
      <c r="G342" s="19"/>
      <c r="H342"/>
      <c r="I342"/>
    </row>
    <row r="343" spans="6:9" x14ac:dyDescent="0.35">
      <c r="F343"/>
      <c r="G343" s="19"/>
      <c r="H343"/>
      <c r="I343"/>
    </row>
    <row r="344" spans="6:9" x14ac:dyDescent="0.35">
      <c r="F344"/>
      <c r="G344" s="19"/>
      <c r="H344"/>
      <c r="I344"/>
    </row>
    <row r="345" spans="6:9" x14ac:dyDescent="0.35">
      <c r="F345"/>
      <c r="G345" s="19"/>
      <c r="H345"/>
      <c r="I345"/>
    </row>
    <row r="346" spans="6:9" x14ac:dyDescent="0.35">
      <c r="F346"/>
      <c r="G346" s="19"/>
      <c r="H346"/>
      <c r="I346"/>
    </row>
    <row r="347" spans="6:9" x14ac:dyDescent="0.35">
      <c r="F347"/>
      <c r="G347" s="19"/>
      <c r="H347"/>
      <c r="I347"/>
    </row>
    <row r="348" spans="6:9" x14ac:dyDescent="0.35">
      <c r="F348"/>
      <c r="G348" s="19"/>
      <c r="H348"/>
      <c r="I348"/>
    </row>
    <row r="349" spans="6:9" x14ac:dyDescent="0.35">
      <c r="F349"/>
      <c r="G349" s="19"/>
      <c r="H349"/>
      <c r="I349"/>
    </row>
    <row r="350" spans="6:9" x14ac:dyDescent="0.35">
      <c r="F350"/>
      <c r="G350" s="19"/>
      <c r="H350"/>
      <c r="I350"/>
    </row>
    <row r="351" spans="6:9" x14ac:dyDescent="0.35">
      <c r="F351"/>
      <c r="G351" s="19"/>
      <c r="H351"/>
      <c r="I351"/>
    </row>
    <row r="352" spans="6:9" x14ac:dyDescent="0.35">
      <c r="F352"/>
      <c r="G352" s="19"/>
      <c r="H352"/>
      <c r="I352"/>
    </row>
    <row r="353" spans="6:9" x14ac:dyDescent="0.35">
      <c r="F353"/>
      <c r="G353" s="19"/>
      <c r="H353"/>
      <c r="I353"/>
    </row>
    <row r="354" spans="6:9" x14ac:dyDescent="0.35">
      <c r="F354"/>
      <c r="G354" s="19"/>
      <c r="H354"/>
      <c r="I354"/>
    </row>
    <row r="355" spans="6:9" x14ac:dyDescent="0.35">
      <c r="F355"/>
      <c r="G355" s="19"/>
      <c r="H355"/>
      <c r="I355"/>
    </row>
    <row r="356" spans="6:9" x14ac:dyDescent="0.35">
      <c r="F356"/>
      <c r="G356" s="19"/>
      <c r="H356"/>
      <c r="I356"/>
    </row>
    <row r="357" spans="6:9" x14ac:dyDescent="0.35">
      <c r="F357"/>
      <c r="G357" s="19"/>
      <c r="H357"/>
      <c r="I357"/>
    </row>
    <row r="358" spans="6:9" x14ac:dyDescent="0.35">
      <c r="F358"/>
      <c r="G358" s="19"/>
      <c r="H358"/>
      <c r="I358"/>
    </row>
    <row r="359" spans="6:9" x14ac:dyDescent="0.35">
      <c r="F359"/>
      <c r="G359" s="19"/>
      <c r="H359"/>
      <c r="I359"/>
    </row>
    <row r="360" spans="6:9" x14ac:dyDescent="0.35">
      <c r="F360"/>
      <c r="G360" s="19"/>
      <c r="H360"/>
      <c r="I360"/>
    </row>
    <row r="361" spans="6:9" x14ac:dyDescent="0.35">
      <c r="F361"/>
      <c r="G361" s="19"/>
      <c r="H361"/>
      <c r="I361"/>
    </row>
    <row r="362" spans="6:9" x14ac:dyDescent="0.35">
      <c r="F362"/>
      <c r="G362" s="19"/>
      <c r="H362"/>
      <c r="I362"/>
    </row>
    <row r="363" spans="6:9" x14ac:dyDescent="0.35">
      <c r="F363"/>
      <c r="G363" s="19"/>
      <c r="H363"/>
      <c r="I363"/>
    </row>
    <row r="364" spans="6:9" x14ac:dyDescent="0.35">
      <c r="F364"/>
      <c r="G364" s="19"/>
      <c r="H364"/>
      <c r="I364"/>
    </row>
    <row r="365" spans="6:9" x14ac:dyDescent="0.35">
      <c r="F365"/>
      <c r="G365" s="19"/>
      <c r="H365"/>
      <c r="I365"/>
    </row>
    <row r="366" spans="6:9" x14ac:dyDescent="0.35">
      <c r="F366"/>
      <c r="G366" s="19"/>
      <c r="H366"/>
      <c r="I366"/>
    </row>
    <row r="367" spans="6:9" x14ac:dyDescent="0.35">
      <c r="F367"/>
      <c r="G367" s="19"/>
      <c r="H367"/>
      <c r="I367"/>
    </row>
    <row r="368" spans="6:9" x14ac:dyDescent="0.35">
      <c r="F368"/>
      <c r="G368" s="19"/>
      <c r="H368"/>
      <c r="I368"/>
    </row>
    <row r="369" spans="6:9" x14ac:dyDescent="0.35">
      <c r="F369"/>
      <c r="G369" s="19"/>
      <c r="H369"/>
      <c r="I369"/>
    </row>
    <row r="370" spans="6:9" x14ac:dyDescent="0.35">
      <c r="F370"/>
      <c r="G370" s="19"/>
      <c r="H370"/>
      <c r="I370"/>
    </row>
    <row r="371" spans="6:9" x14ac:dyDescent="0.35">
      <c r="F371"/>
      <c r="G371" s="19"/>
      <c r="H371"/>
      <c r="I371"/>
    </row>
    <row r="372" spans="6:9" x14ac:dyDescent="0.35">
      <c r="F372"/>
      <c r="G372" s="19"/>
      <c r="H372"/>
      <c r="I372"/>
    </row>
    <row r="373" spans="6:9" x14ac:dyDescent="0.35">
      <c r="F373"/>
      <c r="G373" s="19"/>
      <c r="H373"/>
      <c r="I373"/>
    </row>
    <row r="374" spans="6:9" x14ac:dyDescent="0.35">
      <c r="F374"/>
      <c r="G374" s="19"/>
      <c r="H374"/>
      <c r="I374"/>
    </row>
    <row r="375" spans="6:9" x14ac:dyDescent="0.35">
      <c r="F375"/>
      <c r="G375" s="19"/>
      <c r="H375"/>
      <c r="I375"/>
    </row>
    <row r="376" spans="6:9" x14ac:dyDescent="0.35">
      <c r="F376"/>
      <c r="G376" s="19"/>
      <c r="H376"/>
      <c r="I376"/>
    </row>
    <row r="377" spans="6:9" x14ac:dyDescent="0.35">
      <c r="F377"/>
      <c r="G377" s="19"/>
      <c r="H377"/>
      <c r="I377"/>
    </row>
    <row r="378" spans="6:9" x14ac:dyDescent="0.35">
      <c r="F378"/>
      <c r="G378" s="19"/>
      <c r="H378"/>
      <c r="I378"/>
    </row>
    <row r="379" spans="6:9" x14ac:dyDescent="0.35">
      <c r="F379"/>
      <c r="G379" s="19"/>
      <c r="H379"/>
      <c r="I379"/>
    </row>
    <row r="380" spans="6:9" x14ac:dyDescent="0.35">
      <c r="F380"/>
      <c r="G380" s="19"/>
      <c r="H380"/>
      <c r="I380"/>
    </row>
    <row r="381" spans="6:9" x14ac:dyDescent="0.35">
      <c r="F381"/>
      <c r="G381" s="19"/>
      <c r="H381"/>
      <c r="I381"/>
    </row>
    <row r="382" spans="6:9" x14ac:dyDescent="0.35">
      <c r="F382"/>
      <c r="G382" s="19"/>
      <c r="H382"/>
      <c r="I382"/>
    </row>
    <row r="383" spans="6:9" x14ac:dyDescent="0.35">
      <c r="F383"/>
      <c r="G383" s="19"/>
      <c r="H383"/>
      <c r="I383"/>
    </row>
    <row r="384" spans="6:9" x14ac:dyDescent="0.35">
      <c r="F384"/>
      <c r="G384" s="19"/>
      <c r="H384"/>
      <c r="I384"/>
    </row>
  </sheetData>
  <autoFilter ref="A7:AE7" xr:uid="{A23565D3-B937-48EA-9CA3-02904BCDB346}">
    <sortState xmlns:xlrd2="http://schemas.microsoft.com/office/spreadsheetml/2017/richdata2" ref="A8:AE221">
      <sortCondition descending="1" ref="Q7"/>
    </sortState>
  </autoFilter>
  <sortState xmlns:xlrd2="http://schemas.microsoft.com/office/spreadsheetml/2017/richdata2" ref="A7:Q134">
    <sortCondition descending="1" ref="Q7:Q134"/>
  </sortState>
  <mergeCells count="1">
    <mergeCell ref="AC6:AD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1022F-7741-49D4-9739-916587299B14}">
  <sheetPr>
    <tabColor rgb="FF92D050"/>
  </sheetPr>
  <dimension ref="A1:AF36"/>
  <sheetViews>
    <sheetView workbookViewId="0">
      <selection activeCell="N16" sqref="N16"/>
    </sheetView>
  </sheetViews>
  <sheetFormatPr defaultRowHeight="14.5" x14ac:dyDescent="0.35"/>
  <cols>
    <col min="3" max="3" width="10.81640625" customWidth="1"/>
    <col min="6" max="6" width="10.7265625" style="19" bestFit="1" customWidth="1"/>
    <col min="7" max="7" width="10.453125" style="19" bestFit="1" customWidth="1"/>
    <col min="9" max="9" width="10.54296875" customWidth="1"/>
    <col min="10" max="10" width="9" customWidth="1"/>
    <col min="13" max="13" width="13.54296875" customWidth="1"/>
    <col min="16" max="16" width="2.54296875" style="5" customWidth="1"/>
    <col min="17" max="17" width="9.1796875" style="3" bestFit="1" customWidth="1"/>
    <col min="18" max="19" width="17.7265625" style="48" customWidth="1"/>
  </cols>
  <sheetData>
    <row r="1" spans="1:32" x14ac:dyDescent="0.35">
      <c r="A1" t="s">
        <v>59</v>
      </c>
      <c r="C1">
        <f>Summary!A22</f>
        <v>5200999010</v>
      </c>
      <c r="D1" s="3"/>
    </row>
    <row r="2" spans="1:32" x14ac:dyDescent="0.35">
      <c r="A2" t="s">
        <v>60</v>
      </c>
      <c r="C2" t="str">
        <f>Summary!B22</f>
        <v>Sundry expenses</v>
      </c>
      <c r="D2" s="3"/>
      <c r="G2" s="19" t="s">
        <v>98</v>
      </c>
    </row>
    <row r="3" spans="1:32" x14ac:dyDescent="0.35">
      <c r="A3" t="s">
        <v>61</v>
      </c>
      <c r="C3" s="22" t="e">
        <f>SUMIFS(#REF!,#REF!,C1)</f>
        <v>#REF!</v>
      </c>
      <c r="D3" s="3"/>
      <c r="G3" s="19" t="s">
        <v>182</v>
      </c>
    </row>
    <row r="4" spans="1:32" x14ac:dyDescent="0.35">
      <c r="A4" t="s">
        <v>36</v>
      </c>
      <c r="C4" s="23">
        <f>SUM(E:E)</f>
        <v>0</v>
      </c>
      <c r="D4" s="3"/>
      <c r="T4" s="24" t="s">
        <v>0</v>
      </c>
      <c r="U4" s="24"/>
      <c r="V4" s="3">
        <f>SUMIF($A$10:$A$23974,"AU001",V9:V23973)</f>
        <v>0</v>
      </c>
    </row>
    <row r="5" spans="1:32" ht="15" thickBot="1" x14ac:dyDescent="0.4">
      <c r="A5" t="s">
        <v>62</v>
      </c>
      <c r="C5" s="3" t="e">
        <f>C3-C4</f>
        <v>#REF!</v>
      </c>
      <c r="D5" s="3"/>
      <c r="Q5" s="28"/>
      <c r="R5" s="50"/>
      <c r="T5" s="24" t="s">
        <v>27</v>
      </c>
      <c r="U5" s="24"/>
      <c r="V5" s="3">
        <f>SUMIF($A$10:$A$23975,"AU052",V9:V23974)</f>
        <v>0</v>
      </c>
    </row>
    <row r="6" spans="1:32" ht="15" thickBot="1" x14ac:dyDescent="0.4">
      <c r="D6" s="3"/>
      <c r="AD6" s="207" t="s">
        <v>35</v>
      </c>
      <c r="AE6" s="208"/>
    </row>
    <row r="7" spans="1:32" ht="87.5" thickBot="1" x14ac:dyDescent="0.4">
      <c r="A7" s="95" t="s">
        <v>63</v>
      </c>
      <c r="B7" s="95" t="s">
        <v>313</v>
      </c>
      <c r="C7" s="95" t="s">
        <v>64</v>
      </c>
      <c r="D7" s="95" t="s">
        <v>65</v>
      </c>
      <c r="E7" s="95" t="s">
        <v>66</v>
      </c>
      <c r="F7" s="95" t="s">
        <v>67</v>
      </c>
      <c r="G7" s="96" t="s">
        <v>68</v>
      </c>
      <c r="H7" s="95" t="s">
        <v>69</v>
      </c>
      <c r="I7" s="95" t="s">
        <v>70</v>
      </c>
      <c r="J7" s="95" t="s">
        <v>71</v>
      </c>
      <c r="K7" s="95" t="s">
        <v>72</v>
      </c>
      <c r="L7" s="95" t="s">
        <v>73</v>
      </c>
      <c r="M7" s="95" t="s">
        <v>74</v>
      </c>
      <c r="N7" s="95" t="s">
        <v>75</v>
      </c>
      <c r="O7" s="95" t="s">
        <v>304</v>
      </c>
      <c r="Q7" s="29" t="s">
        <v>95</v>
      </c>
      <c r="R7" s="25" t="s">
        <v>76</v>
      </c>
      <c r="S7" s="8" t="s">
        <v>37</v>
      </c>
      <c r="T7" s="7" t="s">
        <v>38</v>
      </c>
      <c r="U7" s="7" t="s">
        <v>417</v>
      </c>
      <c r="V7" s="8" t="s">
        <v>39</v>
      </c>
      <c r="W7" s="9" t="s">
        <v>40</v>
      </c>
      <c r="X7" s="10" t="s">
        <v>41</v>
      </c>
      <c r="Y7" s="11" t="s">
        <v>42</v>
      </c>
      <c r="Z7" s="12" t="s">
        <v>43</v>
      </c>
      <c r="AA7" s="13" t="s">
        <v>44</v>
      </c>
      <c r="AB7" s="13" t="s">
        <v>45</v>
      </c>
      <c r="AC7" s="13" t="s">
        <v>46</v>
      </c>
      <c r="AD7" s="14" t="s">
        <v>47</v>
      </c>
      <c r="AE7" s="14" t="s">
        <v>48</v>
      </c>
      <c r="AF7" s="15" t="s">
        <v>49</v>
      </c>
    </row>
    <row r="8" spans="1:32" x14ac:dyDescent="0.35">
      <c r="F8"/>
    </row>
    <row r="9" spans="1:32" x14ac:dyDescent="0.35">
      <c r="F9"/>
    </row>
    <row r="10" spans="1:32" x14ac:dyDescent="0.35">
      <c r="F10"/>
    </row>
    <row r="11" spans="1:32" x14ac:dyDescent="0.35">
      <c r="F11"/>
    </row>
    <row r="12" spans="1:32" x14ac:dyDescent="0.35">
      <c r="F12"/>
    </row>
    <row r="13" spans="1:32" x14ac:dyDescent="0.35">
      <c r="F13"/>
    </row>
    <row r="14" spans="1:32" x14ac:dyDescent="0.35">
      <c r="F14"/>
    </row>
    <row r="15" spans="1:32" x14ac:dyDescent="0.35">
      <c r="F15"/>
    </row>
    <row r="16" spans="1:32" x14ac:dyDescent="0.35">
      <c r="F16"/>
    </row>
    <row r="17" spans="1:32" x14ac:dyDescent="0.35">
      <c r="F17"/>
    </row>
    <row r="18" spans="1:32" x14ac:dyDescent="0.35">
      <c r="F18"/>
    </row>
    <row r="19" spans="1:32" x14ac:dyDescent="0.35">
      <c r="F19"/>
    </row>
    <row r="20" spans="1:32" x14ac:dyDescent="0.35">
      <c r="F20"/>
    </row>
    <row r="21" spans="1:32" x14ac:dyDescent="0.35">
      <c r="F21"/>
    </row>
    <row r="22" spans="1:32" x14ac:dyDescent="0.35">
      <c r="F22"/>
    </row>
    <row r="23" spans="1:32" x14ac:dyDescent="0.35">
      <c r="F23"/>
    </row>
    <row r="24" spans="1:32" x14ac:dyDescent="0.35">
      <c r="F24"/>
    </row>
    <row r="25" spans="1:32" x14ac:dyDescent="0.35">
      <c r="A25" s="81"/>
      <c r="B25" s="81"/>
      <c r="C25" s="81"/>
      <c r="D25" s="81"/>
      <c r="E25" s="81"/>
      <c r="F25" s="81"/>
      <c r="G25" s="92"/>
      <c r="H25" s="81"/>
      <c r="I25" s="81"/>
      <c r="J25" s="81"/>
      <c r="K25" s="81"/>
      <c r="L25" s="81"/>
      <c r="M25" s="81"/>
      <c r="N25" s="81"/>
      <c r="O25" s="81"/>
      <c r="P25" s="79"/>
      <c r="U25" s="81"/>
      <c r="V25" s="81"/>
      <c r="W25" s="81"/>
      <c r="X25" s="81"/>
      <c r="Y25" s="81"/>
      <c r="Z25" s="81"/>
      <c r="AA25" s="81"/>
      <c r="AB25" s="81"/>
      <c r="AC25" s="81"/>
      <c r="AD25" s="81"/>
      <c r="AE25" s="81"/>
      <c r="AF25" s="81"/>
    </row>
    <row r="26" spans="1:32" x14ac:dyDescent="0.35">
      <c r="A26" s="81"/>
      <c r="B26" s="81"/>
      <c r="C26" s="81"/>
      <c r="D26" s="81"/>
      <c r="E26" s="81"/>
      <c r="F26" s="81"/>
      <c r="G26" s="92"/>
      <c r="H26" s="81"/>
      <c r="I26" s="81"/>
      <c r="J26" s="81"/>
      <c r="K26" s="81"/>
      <c r="L26" s="81"/>
      <c r="M26" s="81"/>
      <c r="N26" s="81"/>
      <c r="O26" s="81"/>
      <c r="P26" s="79"/>
      <c r="U26" s="81"/>
      <c r="V26" s="81"/>
      <c r="W26" s="81"/>
      <c r="X26" s="81"/>
      <c r="Y26" s="81"/>
      <c r="Z26" s="81"/>
      <c r="AA26" s="81"/>
      <c r="AB26" s="81"/>
      <c r="AC26" s="81"/>
      <c r="AD26" s="81"/>
      <c r="AE26" s="81"/>
      <c r="AF26" s="81"/>
    </row>
    <row r="27" spans="1:32" x14ac:dyDescent="0.35">
      <c r="F27"/>
    </row>
    <row r="28" spans="1:32" x14ac:dyDescent="0.35">
      <c r="F28"/>
    </row>
    <row r="29" spans="1:32" x14ac:dyDescent="0.35">
      <c r="F29"/>
    </row>
    <row r="30" spans="1:32" x14ac:dyDescent="0.35">
      <c r="F30"/>
    </row>
    <row r="31" spans="1:32" x14ac:dyDescent="0.35">
      <c r="F31"/>
    </row>
    <row r="32" spans="1:32" x14ac:dyDescent="0.35">
      <c r="F32"/>
    </row>
    <row r="33" spans="1:32" s="81" customFormat="1" x14ac:dyDescent="0.35">
      <c r="A33"/>
      <c r="B33"/>
      <c r="C33"/>
      <c r="D33"/>
      <c r="E33"/>
      <c r="F33"/>
      <c r="G33" s="19"/>
      <c r="H33"/>
      <c r="I33"/>
      <c r="J33"/>
      <c r="K33"/>
      <c r="L33"/>
      <c r="M33"/>
      <c r="N33"/>
      <c r="O33"/>
      <c r="P33" s="5"/>
      <c r="Q33" s="3"/>
      <c r="R33" s="48"/>
      <c r="S33" s="48"/>
      <c r="T33"/>
      <c r="U33"/>
      <c r="V33"/>
      <c r="W33"/>
      <c r="X33"/>
      <c r="Y33"/>
      <c r="Z33"/>
      <c r="AA33"/>
      <c r="AB33"/>
      <c r="AC33"/>
      <c r="AD33"/>
      <c r="AE33"/>
      <c r="AF33"/>
    </row>
    <row r="34" spans="1:32" s="81" customFormat="1" x14ac:dyDescent="0.35">
      <c r="G34" s="92"/>
      <c r="P34" s="79"/>
      <c r="Q34" s="3"/>
      <c r="R34" s="48"/>
      <c r="S34" s="48"/>
      <c r="T34"/>
      <c r="U34"/>
      <c r="V34"/>
    </row>
    <row r="35" spans="1:32" s="81" customFormat="1" x14ac:dyDescent="0.35">
      <c r="A35"/>
      <c r="B35"/>
      <c r="C35"/>
      <c r="D35"/>
      <c r="E35"/>
      <c r="F35"/>
      <c r="G35" s="19"/>
      <c r="H35"/>
      <c r="I35"/>
      <c r="J35"/>
      <c r="K35"/>
      <c r="L35"/>
      <c r="M35"/>
      <c r="N35"/>
      <c r="O35"/>
      <c r="P35" s="5"/>
      <c r="Q35" s="3"/>
      <c r="R35" s="48"/>
      <c r="S35" s="48"/>
      <c r="T35"/>
      <c r="U35"/>
      <c r="V35"/>
      <c r="W35"/>
      <c r="X35"/>
      <c r="Y35"/>
      <c r="Z35"/>
      <c r="AA35"/>
      <c r="AB35"/>
      <c r="AC35"/>
      <c r="AD35"/>
      <c r="AE35"/>
      <c r="AF35"/>
    </row>
    <row r="36" spans="1:32" s="81" customFormat="1" x14ac:dyDescent="0.35">
      <c r="F36" s="92"/>
      <c r="G36" s="92"/>
      <c r="P36" s="79"/>
      <c r="Q36" s="80"/>
      <c r="R36" s="78"/>
      <c r="S36" s="78"/>
    </row>
  </sheetData>
  <autoFilter ref="A7:AF7" xr:uid="{A121022F-7741-49D4-9739-916587299B14}">
    <sortState xmlns:xlrd2="http://schemas.microsoft.com/office/spreadsheetml/2017/richdata2" ref="A8:AF35">
      <sortCondition descending="1" ref="Q7"/>
    </sortState>
  </autoFilter>
  <sortState xmlns:xlrd2="http://schemas.microsoft.com/office/spreadsheetml/2017/richdata2" ref="A7:Q32">
    <sortCondition descending="1" ref="Q7:Q32"/>
  </sortState>
  <mergeCells count="1">
    <mergeCell ref="AD6:AE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DC647-633B-4CE4-9B03-90E0B59A94C4}">
  <sheetPr>
    <tabColor theme="9" tint="0.79998168889431442"/>
  </sheetPr>
  <dimension ref="A1:AF1236"/>
  <sheetViews>
    <sheetView workbookViewId="0">
      <pane ySplit="7" topLeftCell="A172" activePane="bottomLeft" state="frozen"/>
      <selection pane="bottomLeft" activeCell="N8" sqref="N8"/>
    </sheetView>
  </sheetViews>
  <sheetFormatPr defaultRowHeight="14.5" x14ac:dyDescent="0.35"/>
  <cols>
    <col min="1" max="2" width="5.54296875" customWidth="1"/>
    <col min="3" max="3" width="11.453125" customWidth="1"/>
    <col min="4" max="5" width="4.81640625" customWidth="1"/>
    <col min="6" max="7" width="4.81640625" style="19" customWidth="1"/>
    <col min="8" max="10" width="19.54296875" style="48" customWidth="1"/>
    <col min="11" max="11" width="33.453125" style="48" bestFit="1" customWidth="1"/>
    <col min="12" max="12" width="8.7265625" style="48"/>
    <col min="13" max="13" width="16.453125" style="48" customWidth="1"/>
    <col min="14" max="15" width="8.7265625" style="48"/>
    <col min="16" max="16" width="3" style="5" customWidth="1"/>
    <col min="17" max="17" width="12.54296875" style="3" customWidth="1"/>
    <col min="18" max="18" width="2.453125" style="48" customWidth="1"/>
    <col min="19" max="19" width="11.1796875" style="48" customWidth="1"/>
    <col min="20" max="20" width="6.54296875" customWidth="1"/>
    <col min="21" max="21" width="2" customWidth="1"/>
    <col min="22" max="22" width="9.1796875" style="3" bestFit="1" customWidth="1"/>
    <col min="23" max="23" width="8" customWidth="1"/>
    <col min="24" max="28" width="2" customWidth="1"/>
    <col min="29" max="29" width="2.7265625" customWidth="1"/>
    <col min="31" max="31" width="9.1796875" bestFit="1" customWidth="1"/>
  </cols>
  <sheetData>
    <row r="1" spans="1:32" x14ac:dyDescent="0.35">
      <c r="A1" t="s">
        <v>59</v>
      </c>
      <c r="C1">
        <f>Summary!A23</f>
        <v>5200999020</v>
      </c>
      <c r="D1" s="3"/>
    </row>
    <row r="2" spans="1:32" x14ac:dyDescent="0.35">
      <c r="A2" t="s">
        <v>60</v>
      </c>
      <c r="C2" t="str">
        <f>Summary!B23</f>
        <v>Miscellaneous expenses (2)</v>
      </c>
      <c r="D2" s="3"/>
      <c r="G2" s="191" t="s">
        <v>98</v>
      </c>
      <c r="T2" s="24" t="s">
        <v>0</v>
      </c>
      <c r="U2" s="24"/>
      <c r="V2" s="3">
        <f>SUMIF($A$8:$A$23953,"AU001",V9:V23954)</f>
        <v>0</v>
      </c>
      <c r="W2" s="3">
        <f>SUMIF($A$8:$A$23953,"AU001",W9:W23954)</f>
        <v>0</v>
      </c>
      <c r="AC2" t="s">
        <v>0</v>
      </c>
      <c r="AD2" s="3">
        <f>SUMIF($A$8:$A$99998,"AU001",$AD$8:$AD$99998)</f>
        <v>0</v>
      </c>
      <c r="AE2" s="3">
        <f>SUMIF($A$8:$A$99998,"AU001",$AE$8:$AE$99998)</f>
        <v>0</v>
      </c>
    </row>
    <row r="3" spans="1:32" x14ac:dyDescent="0.35">
      <c r="A3" t="s">
        <v>61</v>
      </c>
      <c r="C3" s="22">
        <v>216944.08999999997</v>
      </c>
      <c r="D3" s="3"/>
      <c r="G3" s="216" t="s">
        <v>308</v>
      </c>
      <c r="H3" s="216"/>
      <c r="I3" s="216"/>
      <c r="J3" s="216"/>
      <c r="K3" s="216"/>
      <c r="T3" s="24" t="s">
        <v>27</v>
      </c>
      <c r="U3" s="24"/>
      <c r="V3" s="3">
        <f>SUMIF($A$8:$A$23954,"AU052",V9:V23955)</f>
        <v>141.80000000000001</v>
      </c>
      <c r="W3" s="172">
        <f>SUMIF($A$8:$A$23954,"AU052",W9:W23955)</f>
        <v>499.09</v>
      </c>
      <c r="AC3" t="s">
        <v>27</v>
      </c>
      <c r="AD3" s="3">
        <f>SUMIF($A$8:$A$99998,"AU052",$AD$8:$AD$99998)</f>
        <v>0</v>
      </c>
      <c r="AE3" s="3">
        <f>SUMIF($A$8:$A$99998,"AU052",$AE$8:$AE$99998)</f>
        <v>5559.3</v>
      </c>
    </row>
    <row r="4" spans="1:32" ht="15" thickBot="1" x14ac:dyDescent="0.4">
      <c r="A4" t="s">
        <v>36</v>
      </c>
      <c r="C4" s="23">
        <f>SUM(E:E)</f>
        <v>216944.08999999994</v>
      </c>
      <c r="D4" s="3"/>
      <c r="G4" s="19" t="s">
        <v>309</v>
      </c>
      <c r="V4" s="187">
        <f>SUM(V2:V3)</f>
        <v>141.80000000000001</v>
      </c>
      <c r="W4" s="194">
        <f>SUM(W2:W3)</f>
        <v>499.09</v>
      </c>
      <c r="AE4" s="187">
        <f>SUM(AE2:AE3)</f>
        <v>5559.3</v>
      </c>
    </row>
    <row r="5" spans="1:32" ht="15.5" thickTop="1" thickBot="1" x14ac:dyDescent="0.4">
      <c r="A5" t="s">
        <v>62</v>
      </c>
      <c r="C5" s="3">
        <f>C3-C4</f>
        <v>0</v>
      </c>
      <c r="D5" s="3"/>
      <c r="Q5" s="28"/>
      <c r="R5" s="50"/>
    </row>
    <row r="6" spans="1:32" ht="15" thickBot="1" x14ac:dyDescent="0.4">
      <c r="D6" s="3"/>
      <c r="AD6" s="207" t="s">
        <v>35</v>
      </c>
      <c r="AE6" s="208"/>
    </row>
    <row r="7" spans="1:32" s="46" customFormat="1" ht="45.65" customHeight="1" thickBot="1" x14ac:dyDescent="0.4">
      <c r="A7" s="1" t="s">
        <v>63</v>
      </c>
      <c r="B7" s="2" t="s">
        <v>313</v>
      </c>
      <c r="C7" s="2" t="s">
        <v>64</v>
      </c>
      <c r="D7" s="2" t="s">
        <v>65</v>
      </c>
      <c r="E7" s="2" t="s">
        <v>66</v>
      </c>
      <c r="F7" s="2" t="s">
        <v>67</v>
      </c>
      <c r="G7" s="189" t="s">
        <v>68</v>
      </c>
      <c r="H7" s="179" t="s">
        <v>69</v>
      </c>
      <c r="I7" s="2" t="s">
        <v>70</v>
      </c>
      <c r="J7" s="179" t="s">
        <v>71</v>
      </c>
      <c r="K7" s="179" t="s">
        <v>72</v>
      </c>
      <c r="L7" s="179" t="s">
        <v>73</v>
      </c>
      <c r="M7" s="179" t="s">
        <v>74</v>
      </c>
      <c r="N7" s="179" t="s">
        <v>75</v>
      </c>
      <c r="O7" s="182" t="s">
        <v>304</v>
      </c>
      <c r="P7" s="36"/>
      <c r="Q7" s="47" t="s">
        <v>95</v>
      </c>
      <c r="R7" s="37" t="s">
        <v>76</v>
      </c>
      <c r="S7" s="38" t="s">
        <v>37</v>
      </c>
      <c r="T7" s="38" t="s">
        <v>38</v>
      </c>
      <c r="U7" s="77" t="s">
        <v>417</v>
      </c>
      <c r="V7" s="58" t="s">
        <v>39</v>
      </c>
      <c r="W7" s="192" t="s">
        <v>2501</v>
      </c>
      <c r="X7" s="40" t="s">
        <v>41</v>
      </c>
      <c r="Y7" s="41" t="s">
        <v>42</v>
      </c>
      <c r="Z7" s="42" t="s">
        <v>43</v>
      </c>
      <c r="AA7" s="43" t="s">
        <v>44</v>
      </c>
      <c r="AB7" s="43" t="s">
        <v>45</v>
      </c>
      <c r="AC7" s="43" t="s">
        <v>46</v>
      </c>
      <c r="AD7" s="44" t="s">
        <v>47</v>
      </c>
      <c r="AE7" s="44" t="s">
        <v>48</v>
      </c>
      <c r="AF7" s="45" t="s">
        <v>49</v>
      </c>
    </row>
    <row r="8" spans="1:32" ht="29" x14ac:dyDescent="0.35">
      <c r="A8" t="s">
        <v>0</v>
      </c>
      <c r="B8" t="s">
        <v>627</v>
      </c>
      <c r="C8" t="s">
        <v>24</v>
      </c>
      <c r="D8" t="s">
        <v>22</v>
      </c>
      <c r="E8">
        <v>225053.11</v>
      </c>
      <c r="F8" t="s">
        <v>77</v>
      </c>
      <c r="G8" s="19">
        <v>45726</v>
      </c>
      <c r="H8" s="48" t="s">
        <v>78</v>
      </c>
      <c r="I8" t="s">
        <v>1945</v>
      </c>
      <c r="K8" s="48" t="s">
        <v>1946</v>
      </c>
      <c r="L8" s="48" t="s">
        <v>1947</v>
      </c>
      <c r="M8" s="48" t="s">
        <v>189</v>
      </c>
      <c r="Q8" s="3">
        <f t="shared" ref="Q8:Q39" si="0">ABS(E8)</f>
        <v>225053.11</v>
      </c>
    </row>
    <row r="9" spans="1:32" ht="29" x14ac:dyDescent="0.35">
      <c r="A9" t="s">
        <v>27</v>
      </c>
      <c r="B9" t="s">
        <v>584</v>
      </c>
      <c r="C9" t="s">
        <v>24</v>
      </c>
      <c r="D9" t="s">
        <v>22</v>
      </c>
      <c r="E9">
        <v>215093.72</v>
      </c>
      <c r="F9" t="s">
        <v>77</v>
      </c>
      <c r="G9" s="19">
        <v>45730</v>
      </c>
      <c r="H9" s="48" t="s">
        <v>78</v>
      </c>
      <c r="I9" t="s">
        <v>1974</v>
      </c>
      <c r="K9" s="48" t="s">
        <v>1975</v>
      </c>
      <c r="L9" s="48" t="s">
        <v>1976</v>
      </c>
      <c r="M9" s="48" t="s">
        <v>1977</v>
      </c>
      <c r="Q9" s="3">
        <f t="shared" si="0"/>
        <v>215093.72</v>
      </c>
    </row>
    <row r="10" spans="1:32" ht="29" x14ac:dyDescent="0.35">
      <c r="A10" t="s">
        <v>27</v>
      </c>
      <c r="B10" t="s">
        <v>584</v>
      </c>
      <c r="C10" t="s">
        <v>24</v>
      </c>
      <c r="D10" t="s">
        <v>22</v>
      </c>
      <c r="E10">
        <v>-194868.55</v>
      </c>
      <c r="F10" t="s">
        <v>77</v>
      </c>
      <c r="G10" s="19">
        <v>45735</v>
      </c>
      <c r="H10" s="48" t="s">
        <v>1985</v>
      </c>
      <c r="I10" t="s">
        <v>1974</v>
      </c>
      <c r="Q10" s="3">
        <f t="shared" si="0"/>
        <v>194868.55</v>
      </c>
    </row>
    <row r="11" spans="1:32" ht="29" x14ac:dyDescent="0.35">
      <c r="A11" t="s">
        <v>27</v>
      </c>
      <c r="B11" t="s">
        <v>332</v>
      </c>
      <c r="C11" t="s">
        <v>24</v>
      </c>
      <c r="D11" t="s">
        <v>22</v>
      </c>
      <c r="E11">
        <v>168548.84</v>
      </c>
      <c r="F11" t="s">
        <v>77</v>
      </c>
      <c r="G11" s="19">
        <v>45735</v>
      </c>
      <c r="H11" s="48" t="s">
        <v>78</v>
      </c>
      <c r="I11" t="s">
        <v>1808</v>
      </c>
      <c r="K11" s="48" t="s">
        <v>1982</v>
      </c>
      <c r="L11" s="48" t="s">
        <v>1983</v>
      </c>
      <c r="M11" s="48" t="s">
        <v>1984</v>
      </c>
      <c r="Q11" s="3">
        <f t="shared" si="0"/>
        <v>168548.84</v>
      </c>
    </row>
    <row r="12" spans="1:32" x14ac:dyDescent="0.35">
      <c r="A12" t="s">
        <v>27</v>
      </c>
      <c r="B12" t="s">
        <v>332</v>
      </c>
      <c r="C12" t="s">
        <v>24</v>
      </c>
      <c r="D12" t="s">
        <v>22</v>
      </c>
      <c r="E12">
        <v>-168548.84</v>
      </c>
      <c r="F12" t="s">
        <v>77</v>
      </c>
      <c r="G12" s="19">
        <v>45742</v>
      </c>
      <c r="H12" s="48" t="s">
        <v>1808</v>
      </c>
      <c r="I12" t="s">
        <v>1808</v>
      </c>
      <c r="Q12" s="3">
        <f t="shared" si="0"/>
        <v>168548.84</v>
      </c>
    </row>
    <row r="13" spans="1:32" ht="29" x14ac:dyDescent="0.35">
      <c r="A13" t="s">
        <v>27</v>
      </c>
      <c r="B13" t="s">
        <v>345</v>
      </c>
      <c r="C13" t="s">
        <v>24</v>
      </c>
      <c r="D13" t="s">
        <v>22</v>
      </c>
      <c r="E13">
        <v>-95000</v>
      </c>
      <c r="F13" t="s">
        <v>77</v>
      </c>
      <c r="G13" s="19">
        <v>45658</v>
      </c>
      <c r="H13" s="48" t="s">
        <v>649</v>
      </c>
      <c r="I13" t="s">
        <v>649</v>
      </c>
      <c r="Q13" s="3">
        <f t="shared" si="0"/>
        <v>95000</v>
      </c>
    </row>
    <row r="14" spans="1:32" ht="29" x14ac:dyDescent="0.35">
      <c r="A14" t="s">
        <v>27</v>
      </c>
      <c r="B14" t="s">
        <v>345</v>
      </c>
      <c r="C14" t="s">
        <v>24</v>
      </c>
      <c r="D14" t="s">
        <v>22</v>
      </c>
      <c r="E14">
        <v>95000</v>
      </c>
      <c r="F14" t="s">
        <v>77</v>
      </c>
      <c r="G14" s="19">
        <v>45685</v>
      </c>
      <c r="H14" s="48" t="s">
        <v>649</v>
      </c>
      <c r="I14" t="s">
        <v>649</v>
      </c>
      <c r="Q14" s="3">
        <f t="shared" si="0"/>
        <v>95000</v>
      </c>
    </row>
    <row r="15" spans="1:32" ht="29" x14ac:dyDescent="0.35">
      <c r="A15" t="s">
        <v>27</v>
      </c>
      <c r="B15" t="s">
        <v>345</v>
      </c>
      <c r="C15" t="s">
        <v>24</v>
      </c>
      <c r="D15" t="s">
        <v>22</v>
      </c>
      <c r="E15">
        <v>-95000</v>
      </c>
      <c r="F15" t="s">
        <v>77</v>
      </c>
      <c r="G15" s="19">
        <v>45691</v>
      </c>
      <c r="H15" s="48" t="s">
        <v>649</v>
      </c>
      <c r="I15" t="s">
        <v>649</v>
      </c>
      <c r="Q15" s="3">
        <f t="shared" si="0"/>
        <v>95000</v>
      </c>
    </row>
    <row r="16" spans="1:32" ht="29" x14ac:dyDescent="0.35">
      <c r="A16" t="s">
        <v>27</v>
      </c>
      <c r="B16" t="s">
        <v>345</v>
      </c>
      <c r="C16" t="s">
        <v>24</v>
      </c>
      <c r="D16" t="s">
        <v>22</v>
      </c>
      <c r="E16">
        <v>95000</v>
      </c>
      <c r="F16" t="s">
        <v>77</v>
      </c>
      <c r="G16" s="19">
        <v>45713</v>
      </c>
      <c r="H16" s="48" t="s">
        <v>649</v>
      </c>
      <c r="I16" t="s">
        <v>649</v>
      </c>
      <c r="Q16" s="3">
        <f t="shared" si="0"/>
        <v>95000</v>
      </c>
    </row>
    <row r="17" spans="1:17" ht="29" x14ac:dyDescent="0.35">
      <c r="A17" t="s">
        <v>27</v>
      </c>
      <c r="B17" t="s">
        <v>345</v>
      </c>
      <c r="C17" t="s">
        <v>24</v>
      </c>
      <c r="D17" t="s">
        <v>22</v>
      </c>
      <c r="E17">
        <v>-95000</v>
      </c>
      <c r="F17" t="s">
        <v>77</v>
      </c>
      <c r="G17" s="19">
        <v>45719</v>
      </c>
      <c r="H17" s="48" t="s">
        <v>649</v>
      </c>
      <c r="I17" t="s">
        <v>649</v>
      </c>
      <c r="Q17" s="3">
        <f t="shared" si="0"/>
        <v>95000</v>
      </c>
    </row>
    <row r="18" spans="1:17" ht="29" x14ac:dyDescent="0.35">
      <c r="A18" t="s">
        <v>27</v>
      </c>
      <c r="B18" t="s">
        <v>544</v>
      </c>
      <c r="C18" t="s">
        <v>24</v>
      </c>
      <c r="D18" t="s">
        <v>22</v>
      </c>
      <c r="E18">
        <v>67791.009999999995</v>
      </c>
      <c r="F18" t="s">
        <v>77</v>
      </c>
      <c r="G18" s="19">
        <v>45708</v>
      </c>
      <c r="H18" s="48" t="s">
        <v>78</v>
      </c>
      <c r="I18" t="s">
        <v>1811</v>
      </c>
      <c r="K18" s="48" t="s">
        <v>1964</v>
      </c>
      <c r="L18" s="48" t="s">
        <v>1965</v>
      </c>
      <c r="M18" s="48" t="s">
        <v>1966</v>
      </c>
      <c r="Q18" s="3">
        <f t="shared" si="0"/>
        <v>67791.009999999995</v>
      </c>
    </row>
    <row r="19" spans="1:17" ht="29" x14ac:dyDescent="0.35">
      <c r="A19" t="s">
        <v>0</v>
      </c>
      <c r="B19" t="s">
        <v>627</v>
      </c>
      <c r="C19" t="s">
        <v>24</v>
      </c>
      <c r="D19" t="s">
        <v>22</v>
      </c>
      <c r="E19">
        <v>50000</v>
      </c>
      <c r="F19" t="s">
        <v>77</v>
      </c>
      <c r="G19" s="19">
        <v>45720</v>
      </c>
      <c r="H19" s="48" t="s">
        <v>78</v>
      </c>
      <c r="I19" t="s">
        <v>1933</v>
      </c>
      <c r="K19" s="48" t="s">
        <v>1934</v>
      </c>
      <c r="L19" s="48" t="s">
        <v>1935</v>
      </c>
      <c r="M19" s="48" t="s">
        <v>189</v>
      </c>
      <c r="Q19" s="3">
        <f t="shared" si="0"/>
        <v>50000</v>
      </c>
    </row>
    <row r="20" spans="1:17" ht="29" x14ac:dyDescent="0.35">
      <c r="A20" t="s">
        <v>27</v>
      </c>
      <c r="B20" t="s">
        <v>415</v>
      </c>
      <c r="C20" t="s">
        <v>24</v>
      </c>
      <c r="D20" t="s">
        <v>22</v>
      </c>
      <c r="E20">
        <v>42952.83</v>
      </c>
      <c r="F20" t="s">
        <v>77</v>
      </c>
      <c r="G20" s="19">
        <v>45735</v>
      </c>
      <c r="H20" s="48" t="s">
        <v>78</v>
      </c>
      <c r="I20" t="s">
        <v>1808</v>
      </c>
      <c r="K20" s="48" t="s">
        <v>1982</v>
      </c>
      <c r="L20" s="48" t="s">
        <v>1983</v>
      </c>
      <c r="M20" s="48" t="s">
        <v>1984</v>
      </c>
      <c r="Q20" s="3">
        <f t="shared" si="0"/>
        <v>42952.83</v>
      </c>
    </row>
    <row r="21" spans="1:17" x14ac:dyDescent="0.35">
      <c r="A21" t="s">
        <v>27</v>
      </c>
      <c r="B21" t="s">
        <v>415</v>
      </c>
      <c r="C21" t="s">
        <v>24</v>
      </c>
      <c r="D21" t="s">
        <v>22</v>
      </c>
      <c r="E21">
        <v>-42952.83</v>
      </c>
      <c r="F21" t="s">
        <v>77</v>
      </c>
      <c r="G21" s="19">
        <v>45742</v>
      </c>
      <c r="H21" s="48" t="s">
        <v>1808</v>
      </c>
      <c r="I21" t="s">
        <v>1808</v>
      </c>
      <c r="Q21" s="3">
        <f t="shared" si="0"/>
        <v>42952.83</v>
      </c>
    </row>
    <row r="22" spans="1:17" ht="58" x14ac:dyDescent="0.35">
      <c r="A22" t="s">
        <v>0</v>
      </c>
      <c r="B22" t="s">
        <v>627</v>
      </c>
      <c r="C22" t="s">
        <v>24</v>
      </c>
      <c r="D22" t="s">
        <v>22</v>
      </c>
      <c r="E22">
        <v>41250</v>
      </c>
      <c r="F22" t="s">
        <v>77</v>
      </c>
      <c r="G22" s="19">
        <v>45722</v>
      </c>
      <c r="H22" s="48" t="s">
        <v>78</v>
      </c>
      <c r="I22" t="s">
        <v>1940</v>
      </c>
      <c r="K22" s="48" t="s">
        <v>1941</v>
      </c>
      <c r="L22" s="48" t="s">
        <v>1942</v>
      </c>
      <c r="M22" s="48" t="s">
        <v>187</v>
      </c>
      <c r="Q22" s="3">
        <f t="shared" si="0"/>
        <v>41250</v>
      </c>
    </row>
    <row r="23" spans="1:17" x14ac:dyDescent="0.35">
      <c r="A23" t="s">
        <v>0</v>
      </c>
      <c r="B23" t="s">
        <v>630</v>
      </c>
      <c r="C23" t="s">
        <v>24</v>
      </c>
      <c r="D23" t="s">
        <v>22</v>
      </c>
      <c r="E23">
        <v>32843.360000000001</v>
      </c>
      <c r="F23" t="s">
        <v>77</v>
      </c>
      <c r="G23" s="19">
        <v>45664</v>
      </c>
      <c r="H23" s="48" t="s">
        <v>78</v>
      </c>
      <c r="I23" t="s">
        <v>1896</v>
      </c>
      <c r="K23" s="48" t="s">
        <v>1897</v>
      </c>
      <c r="L23" s="48" t="s">
        <v>1898</v>
      </c>
      <c r="M23" s="48" t="s">
        <v>1895</v>
      </c>
      <c r="Q23" s="3">
        <f t="shared" si="0"/>
        <v>32843.360000000001</v>
      </c>
    </row>
    <row r="24" spans="1:17" x14ac:dyDescent="0.35">
      <c r="A24" t="s">
        <v>0</v>
      </c>
      <c r="B24" t="s">
        <v>630</v>
      </c>
      <c r="C24" t="s">
        <v>24</v>
      </c>
      <c r="D24" t="s">
        <v>22</v>
      </c>
      <c r="E24">
        <v>-32843.360000000001</v>
      </c>
      <c r="F24" t="s">
        <v>77</v>
      </c>
      <c r="G24" s="19">
        <v>45684</v>
      </c>
      <c r="H24" s="48" t="s">
        <v>1896</v>
      </c>
      <c r="I24" t="s">
        <v>1896</v>
      </c>
      <c r="Q24" s="3">
        <f t="shared" si="0"/>
        <v>32843.360000000001</v>
      </c>
    </row>
    <row r="25" spans="1:17" ht="29" x14ac:dyDescent="0.35">
      <c r="A25" t="s">
        <v>27</v>
      </c>
      <c r="B25" t="s">
        <v>363</v>
      </c>
      <c r="C25" t="s">
        <v>24</v>
      </c>
      <c r="D25" t="s">
        <v>22</v>
      </c>
      <c r="E25">
        <v>20913.52</v>
      </c>
      <c r="F25" t="s">
        <v>77</v>
      </c>
      <c r="G25" s="19">
        <v>45735</v>
      </c>
      <c r="H25" s="48" t="s">
        <v>78</v>
      </c>
      <c r="I25" t="s">
        <v>1808</v>
      </c>
      <c r="K25" s="48" t="s">
        <v>1982</v>
      </c>
      <c r="L25" s="48" t="s">
        <v>1983</v>
      </c>
      <c r="M25" s="48" t="s">
        <v>1984</v>
      </c>
      <c r="Q25" s="3">
        <f t="shared" si="0"/>
        <v>20913.52</v>
      </c>
    </row>
    <row r="26" spans="1:17" x14ac:dyDescent="0.35">
      <c r="A26" t="s">
        <v>27</v>
      </c>
      <c r="B26" t="s">
        <v>363</v>
      </c>
      <c r="C26" t="s">
        <v>24</v>
      </c>
      <c r="D26" t="s">
        <v>22</v>
      </c>
      <c r="E26">
        <v>-20913.52</v>
      </c>
      <c r="F26" t="s">
        <v>77</v>
      </c>
      <c r="G26" s="19">
        <v>45742</v>
      </c>
      <c r="H26" s="48" t="s">
        <v>1808</v>
      </c>
      <c r="I26" t="s">
        <v>1808</v>
      </c>
      <c r="Q26" s="3">
        <f t="shared" si="0"/>
        <v>20913.52</v>
      </c>
    </row>
    <row r="27" spans="1:17" ht="58" x14ac:dyDescent="0.35">
      <c r="A27" t="s">
        <v>0</v>
      </c>
      <c r="B27" t="s">
        <v>438</v>
      </c>
      <c r="C27" t="s">
        <v>24</v>
      </c>
      <c r="D27" t="s">
        <v>22</v>
      </c>
      <c r="E27">
        <v>18088.96</v>
      </c>
      <c r="F27" t="s">
        <v>77</v>
      </c>
      <c r="G27" s="19">
        <v>45720</v>
      </c>
      <c r="H27" s="48" t="s">
        <v>78</v>
      </c>
      <c r="I27" t="s">
        <v>1930</v>
      </c>
      <c r="K27" s="48" t="s">
        <v>1931</v>
      </c>
      <c r="L27" s="48" t="s">
        <v>1932</v>
      </c>
      <c r="M27" s="48" t="s">
        <v>188</v>
      </c>
      <c r="Q27" s="3">
        <f t="shared" si="0"/>
        <v>18088.96</v>
      </c>
    </row>
    <row r="28" spans="1:17" ht="58" x14ac:dyDescent="0.35">
      <c r="A28" t="s">
        <v>0</v>
      </c>
      <c r="B28" t="s">
        <v>438</v>
      </c>
      <c r="C28" t="s">
        <v>24</v>
      </c>
      <c r="D28" t="s">
        <v>22</v>
      </c>
      <c r="E28">
        <v>17110.28</v>
      </c>
      <c r="F28" t="s">
        <v>77</v>
      </c>
      <c r="G28" s="19">
        <v>45691</v>
      </c>
      <c r="H28" s="48" t="s">
        <v>78</v>
      </c>
      <c r="I28" t="s">
        <v>1914</v>
      </c>
      <c r="K28" s="48" t="s">
        <v>1915</v>
      </c>
      <c r="L28" s="48" t="s">
        <v>1916</v>
      </c>
      <c r="M28" s="48" t="s">
        <v>188</v>
      </c>
      <c r="Q28" s="3">
        <f t="shared" si="0"/>
        <v>17110.28</v>
      </c>
    </row>
    <row r="29" spans="1:17" x14ac:dyDescent="0.35">
      <c r="A29" t="s">
        <v>0</v>
      </c>
      <c r="B29" t="s">
        <v>627</v>
      </c>
      <c r="C29" t="s">
        <v>24</v>
      </c>
      <c r="D29" t="s">
        <v>22</v>
      </c>
      <c r="E29">
        <v>-15750</v>
      </c>
      <c r="F29" t="s">
        <v>77</v>
      </c>
      <c r="G29" s="19">
        <v>45671</v>
      </c>
      <c r="H29" s="48" t="s">
        <v>1879</v>
      </c>
      <c r="I29" t="s">
        <v>1899</v>
      </c>
      <c r="Q29" s="3">
        <f t="shared" si="0"/>
        <v>15750</v>
      </c>
    </row>
    <row r="30" spans="1:17" x14ac:dyDescent="0.35">
      <c r="A30" t="s">
        <v>0</v>
      </c>
      <c r="B30" t="s">
        <v>627</v>
      </c>
      <c r="C30" t="s">
        <v>24</v>
      </c>
      <c r="D30" t="s">
        <v>22</v>
      </c>
      <c r="E30">
        <v>-15750</v>
      </c>
      <c r="F30" t="s">
        <v>77</v>
      </c>
      <c r="G30" s="19">
        <v>45693</v>
      </c>
      <c r="H30" s="48" t="s">
        <v>1917</v>
      </c>
      <c r="I30" t="s">
        <v>1918</v>
      </c>
      <c r="Q30" s="3">
        <f t="shared" si="0"/>
        <v>15750</v>
      </c>
    </row>
    <row r="31" spans="1:17" x14ac:dyDescent="0.35">
      <c r="A31" t="s">
        <v>0</v>
      </c>
      <c r="B31" t="s">
        <v>627</v>
      </c>
      <c r="C31" t="s">
        <v>24</v>
      </c>
      <c r="D31" t="s">
        <v>22</v>
      </c>
      <c r="E31">
        <v>-15750</v>
      </c>
      <c r="F31" t="s">
        <v>77</v>
      </c>
      <c r="G31" s="19">
        <v>45702</v>
      </c>
      <c r="H31" s="48" t="s">
        <v>1917</v>
      </c>
      <c r="I31" t="s">
        <v>1922</v>
      </c>
      <c r="Q31" s="3">
        <f t="shared" si="0"/>
        <v>15750</v>
      </c>
    </row>
    <row r="32" spans="1:17" x14ac:dyDescent="0.35">
      <c r="A32" t="s">
        <v>0</v>
      </c>
      <c r="B32" t="s">
        <v>627</v>
      </c>
      <c r="C32" t="s">
        <v>24</v>
      </c>
      <c r="D32" t="s">
        <v>22</v>
      </c>
      <c r="E32">
        <v>-15750</v>
      </c>
      <c r="F32" t="s">
        <v>77</v>
      </c>
      <c r="G32" s="19">
        <v>45702</v>
      </c>
      <c r="H32" s="48" t="s">
        <v>1917</v>
      </c>
      <c r="I32" t="s">
        <v>1923</v>
      </c>
      <c r="Q32" s="3">
        <f t="shared" si="0"/>
        <v>15750</v>
      </c>
    </row>
    <row r="33" spans="1:17" x14ac:dyDescent="0.35">
      <c r="A33" t="s">
        <v>0</v>
      </c>
      <c r="B33" t="s">
        <v>627</v>
      </c>
      <c r="C33" t="s">
        <v>24</v>
      </c>
      <c r="D33" t="s">
        <v>22</v>
      </c>
      <c r="E33">
        <v>-15750</v>
      </c>
      <c r="F33" t="s">
        <v>77</v>
      </c>
      <c r="G33" s="19">
        <v>45726</v>
      </c>
      <c r="H33" s="48" t="s">
        <v>1926</v>
      </c>
      <c r="I33" t="s">
        <v>1948</v>
      </c>
      <c r="Q33" s="3">
        <f t="shared" si="0"/>
        <v>15750</v>
      </c>
    </row>
    <row r="34" spans="1:17" x14ac:dyDescent="0.35">
      <c r="A34" t="s">
        <v>0</v>
      </c>
      <c r="B34" t="s">
        <v>627</v>
      </c>
      <c r="C34" t="s">
        <v>24</v>
      </c>
      <c r="D34" t="s">
        <v>22</v>
      </c>
      <c r="E34">
        <v>-15750</v>
      </c>
      <c r="F34" t="s">
        <v>77</v>
      </c>
      <c r="G34" s="19">
        <v>45741</v>
      </c>
      <c r="H34" s="48" t="s">
        <v>1926</v>
      </c>
      <c r="I34" t="s">
        <v>1952</v>
      </c>
      <c r="Q34" s="3">
        <f t="shared" si="0"/>
        <v>15750</v>
      </c>
    </row>
    <row r="35" spans="1:17" x14ac:dyDescent="0.35">
      <c r="A35" t="s">
        <v>0</v>
      </c>
      <c r="B35" t="s">
        <v>627</v>
      </c>
      <c r="C35" t="s">
        <v>24</v>
      </c>
      <c r="D35" t="s">
        <v>22</v>
      </c>
      <c r="E35">
        <v>-15750</v>
      </c>
      <c r="F35" t="s">
        <v>77</v>
      </c>
      <c r="G35" s="19">
        <v>45741</v>
      </c>
      <c r="H35" s="48" t="s">
        <v>1926</v>
      </c>
      <c r="I35" t="s">
        <v>1953</v>
      </c>
      <c r="Q35" s="3">
        <f t="shared" si="0"/>
        <v>15750</v>
      </c>
    </row>
    <row r="36" spans="1:17" ht="58" x14ac:dyDescent="0.35">
      <c r="A36" t="s">
        <v>0</v>
      </c>
      <c r="B36" t="s">
        <v>438</v>
      </c>
      <c r="C36" t="s">
        <v>24</v>
      </c>
      <c r="D36" t="s">
        <v>22</v>
      </c>
      <c r="E36">
        <v>14894.37</v>
      </c>
      <c r="F36" t="s">
        <v>77</v>
      </c>
      <c r="G36" s="19">
        <v>45664</v>
      </c>
      <c r="H36" s="48" t="s">
        <v>78</v>
      </c>
      <c r="I36" t="s">
        <v>1886</v>
      </c>
      <c r="K36" s="48" t="s">
        <v>1887</v>
      </c>
      <c r="L36" s="48" t="s">
        <v>1888</v>
      </c>
      <c r="M36" s="48" t="s">
        <v>188</v>
      </c>
      <c r="Q36" s="3">
        <f t="shared" si="0"/>
        <v>14894.37</v>
      </c>
    </row>
    <row r="37" spans="1:17" ht="29" x14ac:dyDescent="0.35">
      <c r="A37" t="s">
        <v>27</v>
      </c>
      <c r="B37" t="s">
        <v>374</v>
      </c>
      <c r="C37" t="s">
        <v>24</v>
      </c>
      <c r="D37" t="s">
        <v>22</v>
      </c>
      <c r="E37">
        <v>14026.68</v>
      </c>
      <c r="F37" t="s">
        <v>77</v>
      </c>
      <c r="G37" s="19">
        <v>45735</v>
      </c>
      <c r="H37" s="48" t="s">
        <v>78</v>
      </c>
      <c r="I37" t="s">
        <v>1808</v>
      </c>
      <c r="K37" s="48" t="s">
        <v>1982</v>
      </c>
      <c r="L37" s="48" t="s">
        <v>1983</v>
      </c>
      <c r="M37" s="48" t="s">
        <v>1984</v>
      </c>
      <c r="Q37" s="3">
        <f t="shared" si="0"/>
        <v>14026.68</v>
      </c>
    </row>
    <row r="38" spans="1:17" x14ac:dyDescent="0.35">
      <c r="A38" t="s">
        <v>27</v>
      </c>
      <c r="B38" t="s">
        <v>374</v>
      </c>
      <c r="C38" t="s">
        <v>24</v>
      </c>
      <c r="D38" t="s">
        <v>22</v>
      </c>
      <c r="E38">
        <v>-14026.68</v>
      </c>
      <c r="F38" t="s">
        <v>77</v>
      </c>
      <c r="G38" s="19">
        <v>45742</v>
      </c>
      <c r="H38" s="48" t="s">
        <v>1808</v>
      </c>
      <c r="I38" t="s">
        <v>1808</v>
      </c>
      <c r="Q38" s="3">
        <f t="shared" si="0"/>
        <v>14026.68</v>
      </c>
    </row>
    <row r="39" spans="1:17" x14ac:dyDescent="0.35">
      <c r="A39" t="s">
        <v>0</v>
      </c>
      <c r="B39" t="s">
        <v>627</v>
      </c>
      <c r="C39" t="s">
        <v>24</v>
      </c>
      <c r="D39" t="s">
        <v>22</v>
      </c>
      <c r="E39">
        <v>-9250</v>
      </c>
      <c r="F39" t="s">
        <v>77</v>
      </c>
      <c r="G39" s="19">
        <v>45659</v>
      </c>
      <c r="H39" s="48" t="s">
        <v>1879</v>
      </c>
      <c r="I39" t="s">
        <v>1879</v>
      </c>
      <c r="Q39" s="3">
        <f t="shared" si="0"/>
        <v>9250</v>
      </c>
    </row>
    <row r="40" spans="1:17" x14ac:dyDescent="0.35">
      <c r="A40" t="s">
        <v>0</v>
      </c>
      <c r="B40" t="s">
        <v>627</v>
      </c>
      <c r="C40" t="s">
        <v>24</v>
      </c>
      <c r="D40" t="s">
        <v>22</v>
      </c>
      <c r="E40">
        <v>-9250</v>
      </c>
      <c r="F40" t="s">
        <v>77</v>
      </c>
      <c r="G40" s="19">
        <v>45723</v>
      </c>
      <c r="H40" s="48" t="s">
        <v>1926</v>
      </c>
      <c r="I40" t="s">
        <v>1926</v>
      </c>
      <c r="Q40" s="3">
        <f t="shared" ref="Q40:Q71" si="1">ABS(E40)</f>
        <v>9250</v>
      </c>
    </row>
    <row r="41" spans="1:17" x14ac:dyDescent="0.35">
      <c r="A41" t="s">
        <v>0</v>
      </c>
      <c r="B41" t="s">
        <v>627</v>
      </c>
      <c r="C41" t="s">
        <v>24</v>
      </c>
      <c r="D41" t="s">
        <v>22</v>
      </c>
      <c r="E41">
        <v>-9250</v>
      </c>
      <c r="F41" t="s">
        <v>77</v>
      </c>
      <c r="G41" s="19">
        <v>45733</v>
      </c>
      <c r="H41" s="48" t="s">
        <v>1926</v>
      </c>
      <c r="I41" t="s">
        <v>1949</v>
      </c>
      <c r="Q41" s="3">
        <f t="shared" si="1"/>
        <v>9250</v>
      </c>
    </row>
    <row r="42" spans="1:17" ht="29" x14ac:dyDescent="0.35">
      <c r="A42" t="s">
        <v>27</v>
      </c>
      <c r="B42" t="s">
        <v>358</v>
      </c>
      <c r="C42" t="s">
        <v>24</v>
      </c>
      <c r="D42" t="s">
        <v>22</v>
      </c>
      <c r="E42">
        <v>9104.43</v>
      </c>
      <c r="F42" t="s">
        <v>77</v>
      </c>
      <c r="G42" s="19">
        <v>45735</v>
      </c>
      <c r="H42" s="48" t="s">
        <v>78</v>
      </c>
      <c r="I42" t="s">
        <v>1808</v>
      </c>
      <c r="K42" s="48" t="s">
        <v>1982</v>
      </c>
      <c r="L42" s="48" t="s">
        <v>1983</v>
      </c>
      <c r="M42" s="48" t="s">
        <v>1984</v>
      </c>
      <c r="Q42" s="3">
        <f t="shared" si="1"/>
        <v>9104.43</v>
      </c>
    </row>
    <row r="43" spans="1:17" x14ac:dyDescent="0.35">
      <c r="A43" t="s">
        <v>27</v>
      </c>
      <c r="B43" t="s">
        <v>358</v>
      </c>
      <c r="C43" t="s">
        <v>24</v>
      </c>
      <c r="D43" t="s">
        <v>22</v>
      </c>
      <c r="E43">
        <v>-9104.43</v>
      </c>
      <c r="F43" t="s">
        <v>77</v>
      </c>
      <c r="G43" s="19">
        <v>45742</v>
      </c>
      <c r="H43" s="48" t="s">
        <v>1808</v>
      </c>
      <c r="I43" t="s">
        <v>1808</v>
      </c>
      <c r="Q43" s="3">
        <f t="shared" si="1"/>
        <v>9104.43</v>
      </c>
    </row>
    <row r="44" spans="1:17" ht="29" x14ac:dyDescent="0.35">
      <c r="A44" t="s">
        <v>27</v>
      </c>
      <c r="B44" t="s">
        <v>584</v>
      </c>
      <c r="C44" t="s">
        <v>24</v>
      </c>
      <c r="D44" t="s">
        <v>22</v>
      </c>
      <c r="E44">
        <v>8730.18</v>
      </c>
      <c r="F44" t="s">
        <v>77</v>
      </c>
      <c r="G44" s="19">
        <v>45735</v>
      </c>
      <c r="H44" s="48" t="s">
        <v>78</v>
      </c>
      <c r="I44" t="s">
        <v>1808</v>
      </c>
      <c r="K44" s="48" t="s">
        <v>1982</v>
      </c>
      <c r="L44" s="48" t="s">
        <v>1983</v>
      </c>
      <c r="M44" s="48" t="s">
        <v>1984</v>
      </c>
      <c r="Q44" s="3">
        <f t="shared" si="1"/>
        <v>8730.18</v>
      </c>
    </row>
    <row r="45" spans="1:17" x14ac:dyDescent="0.35">
      <c r="A45" t="s">
        <v>27</v>
      </c>
      <c r="B45" t="s">
        <v>584</v>
      </c>
      <c r="C45" t="s">
        <v>24</v>
      </c>
      <c r="D45" t="s">
        <v>22</v>
      </c>
      <c r="E45">
        <v>-8730.18</v>
      </c>
      <c r="F45" t="s">
        <v>77</v>
      </c>
      <c r="G45" s="19">
        <v>45742</v>
      </c>
      <c r="H45" s="48" t="s">
        <v>1808</v>
      </c>
      <c r="I45" t="s">
        <v>1808</v>
      </c>
      <c r="Q45" s="3">
        <f t="shared" si="1"/>
        <v>8730.18</v>
      </c>
    </row>
    <row r="46" spans="1:17" x14ac:dyDescent="0.35">
      <c r="A46" t="s">
        <v>0</v>
      </c>
      <c r="B46" t="s">
        <v>627</v>
      </c>
      <c r="C46" t="s">
        <v>24</v>
      </c>
      <c r="D46" t="s">
        <v>22</v>
      </c>
      <c r="E46">
        <v>-7875</v>
      </c>
      <c r="F46" t="s">
        <v>77</v>
      </c>
      <c r="G46" s="19">
        <v>45714</v>
      </c>
      <c r="H46" s="48" t="s">
        <v>1917</v>
      </c>
      <c r="I46" t="s">
        <v>1924</v>
      </c>
      <c r="Q46" s="3">
        <f t="shared" si="1"/>
        <v>7875</v>
      </c>
    </row>
    <row r="47" spans="1:17" ht="29" x14ac:dyDescent="0.35">
      <c r="A47" t="s">
        <v>27</v>
      </c>
      <c r="B47" t="s">
        <v>356</v>
      </c>
      <c r="C47" t="s">
        <v>24</v>
      </c>
      <c r="D47" t="s">
        <v>22</v>
      </c>
      <c r="E47">
        <v>6718.29</v>
      </c>
      <c r="F47" t="s">
        <v>77</v>
      </c>
      <c r="G47" s="19">
        <v>45735</v>
      </c>
      <c r="H47" s="48" t="s">
        <v>78</v>
      </c>
      <c r="I47" t="s">
        <v>1808</v>
      </c>
      <c r="K47" s="48" t="s">
        <v>1982</v>
      </c>
      <c r="L47" s="48" t="s">
        <v>1983</v>
      </c>
      <c r="M47" s="48" t="s">
        <v>1984</v>
      </c>
      <c r="Q47" s="3">
        <f t="shared" si="1"/>
        <v>6718.29</v>
      </c>
    </row>
    <row r="48" spans="1:17" x14ac:dyDescent="0.35">
      <c r="A48" t="s">
        <v>27</v>
      </c>
      <c r="B48" t="s">
        <v>356</v>
      </c>
      <c r="C48" t="s">
        <v>24</v>
      </c>
      <c r="D48" t="s">
        <v>22</v>
      </c>
      <c r="E48">
        <v>-6718.29</v>
      </c>
      <c r="F48" t="s">
        <v>77</v>
      </c>
      <c r="G48" s="19">
        <v>45742</v>
      </c>
      <c r="H48" s="48" t="s">
        <v>1808</v>
      </c>
      <c r="I48" t="s">
        <v>1808</v>
      </c>
      <c r="Q48" s="3">
        <f t="shared" si="1"/>
        <v>6718.29</v>
      </c>
    </row>
    <row r="49" spans="1:31" x14ac:dyDescent="0.35">
      <c r="A49" t="s">
        <v>0</v>
      </c>
      <c r="B49" t="s">
        <v>627</v>
      </c>
      <c r="C49" t="s">
        <v>24</v>
      </c>
      <c r="D49" t="s">
        <v>22</v>
      </c>
      <c r="E49">
        <v>-6363.64</v>
      </c>
      <c r="F49" t="s">
        <v>77</v>
      </c>
      <c r="G49" s="19">
        <v>45709</v>
      </c>
      <c r="H49" s="48" t="s">
        <v>1917</v>
      </c>
      <c r="I49" t="s">
        <v>1917</v>
      </c>
      <c r="Q49" s="3">
        <f t="shared" si="1"/>
        <v>6363.64</v>
      </c>
    </row>
    <row r="50" spans="1:31" x14ac:dyDescent="0.35">
      <c r="A50" t="s">
        <v>0</v>
      </c>
      <c r="B50" t="s">
        <v>627</v>
      </c>
      <c r="C50" t="s">
        <v>24</v>
      </c>
      <c r="D50" t="s">
        <v>22</v>
      </c>
      <c r="E50">
        <v>-6363.64</v>
      </c>
      <c r="F50" t="s">
        <v>77</v>
      </c>
      <c r="G50" s="19">
        <v>45714</v>
      </c>
      <c r="H50" s="48" t="s">
        <v>1917</v>
      </c>
      <c r="I50" t="s">
        <v>1925</v>
      </c>
      <c r="Q50" s="3">
        <f t="shared" si="1"/>
        <v>6363.64</v>
      </c>
    </row>
    <row r="51" spans="1:31" x14ac:dyDescent="0.35">
      <c r="A51" t="s">
        <v>0</v>
      </c>
      <c r="B51" t="s">
        <v>627</v>
      </c>
      <c r="C51" t="s">
        <v>24</v>
      </c>
      <c r="D51" t="s">
        <v>22</v>
      </c>
      <c r="E51">
        <v>-6363.64</v>
      </c>
      <c r="F51" t="s">
        <v>77</v>
      </c>
      <c r="G51" s="19">
        <v>45717</v>
      </c>
      <c r="H51" s="48" t="s">
        <v>1926</v>
      </c>
      <c r="I51" t="s">
        <v>1927</v>
      </c>
      <c r="Q51" s="3">
        <f t="shared" si="1"/>
        <v>6363.64</v>
      </c>
    </row>
    <row r="52" spans="1:31" x14ac:dyDescent="0.35">
      <c r="A52" t="s">
        <v>0</v>
      </c>
      <c r="B52" t="s">
        <v>627</v>
      </c>
      <c r="C52" t="s">
        <v>24</v>
      </c>
      <c r="D52" t="s">
        <v>22</v>
      </c>
      <c r="E52">
        <v>-6363.64</v>
      </c>
      <c r="F52" t="s">
        <v>77</v>
      </c>
      <c r="G52" s="19">
        <v>45717</v>
      </c>
      <c r="H52" s="48" t="s">
        <v>1926</v>
      </c>
      <c r="I52" t="s">
        <v>1929</v>
      </c>
      <c r="Q52" s="3">
        <f t="shared" si="1"/>
        <v>6363.64</v>
      </c>
    </row>
    <row r="53" spans="1:31" ht="43.5" x14ac:dyDescent="0.35">
      <c r="A53" t="s">
        <v>0</v>
      </c>
      <c r="B53" t="s">
        <v>315</v>
      </c>
      <c r="C53" t="s">
        <v>24</v>
      </c>
      <c r="D53" t="s">
        <v>22</v>
      </c>
      <c r="E53">
        <v>6121.49</v>
      </c>
      <c r="F53" t="s">
        <v>77</v>
      </c>
      <c r="G53" s="19">
        <v>45679</v>
      </c>
      <c r="H53" s="48" t="s">
        <v>78</v>
      </c>
      <c r="I53" t="s">
        <v>1905</v>
      </c>
      <c r="K53" s="48" t="s">
        <v>1906</v>
      </c>
      <c r="L53" s="48" t="s">
        <v>1907</v>
      </c>
      <c r="M53" s="48" t="s">
        <v>185</v>
      </c>
      <c r="Q53" s="3">
        <f t="shared" si="1"/>
        <v>6121.49</v>
      </c>
    </row>
    <row r="54" spans="1:31" x14ac:dyDescent="0.35">
      <c r="A54" t="s">
        <v>0</v>
      </c>
      <c r="B54" t="s">
        <v>627</v>
      </c>
      <c r="C54" t="s">
        <v>24</v>
      </c>
      <c r="D54" t="s">
        <v>22</v>
      </c>
      <c r="E54">
        <v>-5909.09</v>
      </c>
      <c r="F54" t="s">
        <v>77</v>
      </c>
      <c r="G54" s="19">
        <v>45717</v>
      </c>
      <c r="H54" s="48" t="s">
        <v>1926</v>
      </c>
      <c r="I54" t="s">
        <v>1928</v>
      </c>
      <c r="Q54" s="3">
        <f t="shared" si="1"/>
        <v>5909.09</v>
      </c>
    </row>
    <row r="55" spans="1:31" ht="29" x14ac:dyDescent="0.35">
      <c r="A55" t="s">
        <v>0</v>
      </c>
      <c r="B55" t="s">
        <v>327</v>
      </c>
      <c r="C55" t="s">
        <v>24</v>
      </c>
      <c r="D55" t="s">
        <v>22</v>
      </c>
      <c r="E55">
        <v>5436.44</v>
      </c>
      <c r="F55" t="s">
        <v>77</v>
      </c>
      <c r="G55" s="19">
        <v>45720</v>
      </c>
      <c r="H55" s="48" t="s">
        <v>78</v>
      </c>
      <c r="I55" t="s">
        <v>1936</v>
      </c>
      <c r="K55" s="48" t="s">
        <v>1937</v>
      </c>
      <c r="L55" s="48" t="s">
        <v>986</v>
      </c>
      <c r="M55" s="48" t="s">
        <v>634</v>
      </c>
      <c r="Q55" s="3">
        <f t="shared" si="1"/>
        <v>5436.44</v>
      </c>
    </row>
    <row r="56" spans="1:31" ht="29" x14ac:dyDescent="0.35">
      <c r="A56" t="s">
        <v>27</v>
      </c>
      <c r="B56" t="s">
        <v>394</v>
      </c>
      <c r="C56" t="s">
        <v>24</v>
      </c>
      <c r="D56" t="s">
        <v>22</v>
      </c>
      <c r="E56">
        <v>5214.74</v>
      </c>
      <c r="F56" t="s">
        <v>77</v>
      </c>
      <c r="G56" s="19">
        <v>45735</v>
      </c>
      <c r="H56" s="48" t="s">
        <v>78</v>
      </c>
      <c r="I56" t="s">
        <v>1808</v>
      </c>
      <c r="K56" s="48" t="s">
        <v>1982</v>
      </c>
      <c r="L56" s="48" t="s">
        <v>1983</v>
      </c>
      <c r="M56" s="48" t="s">
        <v>1984</v>
      </c>
      <c r="Q56" s="3">
        <f t="shared" si="1"/>
        <v>5214.74</v>
      </c>
    </row>
    <row r="57" spans="1:31" x14ac:dyDescent="0.35">
      <c r="A57" t="s">
        <v>27</v>
      </c>
      <c r="B57" t="s">
        <v>394</v>
      </c>
      <c r="C57" t="s">
        <v>24</v>
      </c>
      <c r="D57" t="s">
        <v>22</v>
      </c>
      <c r="E57">
        <v>-5214.74</v>
      </c>
      <c r="F57" t="s">
        <v>77</v>
      </c>
      <c r="G57" s="19">
        <v>45742</v>
      </c>
      <c r="H57" s="48" t="s">
        <v>1808</v>
      </c>
      <c r="I57" t="s">
        <v>1808</v>
      </c>
      <c r="Q57" s="3">
        <f t="shared" si="1"/>
        <v>5214.74</v>
      </c>
    </row>
    <row r="58" spans="1:31" ht="29" x14ac:dyDescent="0.35">
      <c r="A58" t="s">
        <v>27</v>
      </c>
      <c r="B58" t="s">
        <v>382</v>
      </c>
      <c r="C58" t="s">
        <v>24</v>
      </c>
      <c r="D58" t="s">
        <v>22</v>
      </c>
      <c r="E58">
        <v>4959.3</v>
      </c>
      <c r="F58" t="s">
        <v>77</v>
      </c>
      <c r="G58" s="19">
        <v>45736</v>
      </c>
      <c r="H58" s="48" t="s">
        <v>79</v>
      </c>
      <c r="I58" t="s">
        <v>131</v>
      </c>
      <c r="K58" s="48" t="s">
        <v>1988</v>
      </c>
      <c r="M58" s="48" t="s">
        <v>1989</v>
      </c>
      <c r="Q58" s="3">
        <f t="shared" si="1"/>
        <v>4959.3</v>
      </c>
      <c r="S58" s="48" t="s">
        <v>2010</v>
      </c>
      <c r="AE58">
        <f>E58</f>
        <v>4959.3</v>
      </c>
    </row>
    <row r="59" spans="1:31" x14ac:dyDescent="0.35">
      <c r="A59" t="s">
        <v>0</v>
      </c>
      <c r="B59" t="s">
        <v>630</v>
      </c>
      <c r="C59" t="s">
        <v>24</v>
      </c>
      <c r="D59" t="s">
        <v>22</v>
      </c>
      <c r="E59">
        <v>4259.32</v>
      </c>
      <c r="F59" t="s">
        <v>77</v>
      </c>
      <c r="G59" s="19">
        <v>45664</v>
      </c>
      <c r="H59" s="48" t="s">
        <v>78</v>
      </c>
      <c r="I59" t="s">
        <v>1892</v>
      </c>
      <c r="K59" s="48" t="s">
        <v>1893</v>
      </c>
      <c r="L59" s="48" t="s">
        <v>1894</v>
      </c>
      <c r="M59" s="48" t="s">
        <v>1895</v>
      </c>
      <c r="Q59" s="3">
        <f t="shared" si="1"/>
        <v>4259.32</v>
      </c>
    </row>
    <row r="60" spans="1:31" x14ac:dyDescent="0.35">
      <c r="A60" t="s">
        <v>0</v>
      </c>
      <c r="B60" t="s">
        <v>627</v>
      </c>
      <c r="C60" t="s">
        <v>24</v>
      </c>
      <c r="D60" t="s">
        <v>22</v>
      </c>
      <c r="E60">
        <v>-4250</v>
      </c>
      <c r="F60" t="s">
        <v>77</v>
      </c>
      <c r="G60" s="19">
        <v>45693</v>
      </c>
      <c r="H60" s="48" t="s">
        <v>1917</v>
      </c>
      <c r="I60" t="s">
        <v>1919</v>
      </c>
      <c r="Q60" s="3">
        <f t="shared" si="1"/>
        <v>4250</v>
      </c>
    </row>
    <row r="61" spans="1:31" x14ac:dyDescent="0.35">
      <c r="A61" t="s">
        <v>0</v>
      </c>
      <c r="B61" t="s">
        <v>394</v>
      </c>
      <c r="C61" t="s">
        <v>24</v>
      </c>
      <c r="D61" t="s">
        <v>22</v>
      </c>
      <c r="E61">
        <v>3130.33</v>
      </c>
      <c r="F61" t="s">
        <v>77</v>
      </c>
      <c r="G61" s="19">
        <v>45679</v>
      </c>
      <c r="H61" s="48" t="s">
        <v>78</v>
      </c>
      <c r="I61" t="s">
        <v>1908</v>
      </c>
      <c r="K61" s="48" t="s">
        <v>1909</v>
      </c>
      <c r="L61" s="48" t="s">
        <v>1910</v>
      </c>
      <c r="M61" s="48" t="s">
        <v>1895</v>
      </c>
      <c r="Q61" s="3">
        <f t="shared" si="1"/>
        <v>3130.33</v>
      </c>
    </row>
    <row r="62" spans="1:31" ht="58" x14ac:dyDescent="0.35">
      <c r="A62" t="s">
        <v>0</v>
      </c>
      <c r="B62" t="s">
        <v>530</v>
      </c>
      <c r="C62" t="s">
        <v>24</v>
      </c>
      <c r="D62" t="s">
        <v>22</v>
      </c>
      <c r="E62">
        <v>2520.87</v>
      </c>
      <c r="F62" t="s">
        <v>77</v>
      </c>
      <c r="G62" s="19">
        <v>45672</v>
      </c>
      <c r="H62" s="48" t="s">
        <v>78</v>
      </c>
      <c r="I62" t="s">
        <v>1900</v>
      </c>
      <c r="K62" s="48" t="s">
        <v>1901</v>
      </c>
      <c r="L62" s="48" t="s">
        <v>591</v>
      </c>
      <c r="M62" s="48" t="s">
        <v>186</v>
      </c>
      <c r="Q62" s="3">
        <f t="shared" si="1"/>
        <v>2520.87</v>
      </c>
    </row>
    <row r="63" spans="1:31" ht="58" x14ac:dyDescent="0.35">
      <c r="A63" t="s">
        <v>0</v>
      </c>
      <c r="B63" t="s">
        <v>530</v>
      </c>
      <c r="C63" t="s">
        <v>24</v>
      </c>
      <c r="D63" t="s">
        <v>22</v>
      </c>
      <c r="E63">
        <v>2520.87</v>
      </c>
      <c r="F63" t="s">
        <v>77</v>
      </c>
      <c r="G63" s="19">
        <v>45694</v>
      </c>
      <c r="H63" s="48" t="s">
        <v>78</v>
      </c>
      <c r="I63" t="s">
        <v>1920</v>
      </c>
      <c r="K63" s="48" t="s">
        <v>1901</v>
      </c>
      <c r="L63" s="48" t="s">
        <v>1921</v>
      </c>
      <c r="M63" s="48" t="s">
        <v>186</v>
      </c>
      <c r="Q63" s="3">
        <f t="shared" si="1"/>
        <v>2520.87</v>
      </c>
    </row>
    <row r="64" spans="1:31" ht="58" x14ac:dyDescent="0.35">
      <c r="A64" t="s">
        <v>0</v>
      </c>
      <c r="B64" t="s">
        <v>530</v>
      </c>
      <c r="C64" t="s">
        <v>24</v>
      </c>
      <c r="D64" t="s">
        <v>22</v>
      </c>
      <c r="E64">
        <v>2520.87</v>
      </c>
      <c r="F64" t="s">
        <v>77</v>
      </c>
      <c r="G64" s="19">
        <v>45722</v>
      </c>
      <c r="H64" s="48" t="s">
        <v>78</v>
      </c>
      <c r="I64" t="s">
        <v>1943</v>
      </c>
      <c r="K64" s="48" t="s">
        <v>1901</v>
      </c>
      <c r="L64" s="48" t="s">
        <v>1944</v>
      </c>
      <c r="M64" s="48" t="s">
        <v>186</v>
      </c>
      <c r="Q64" s="3">
        <f t="shared" si="1"/>
        <v>2520.87</v>
      </c>
    </row>
    <row r="65" spans="1:31" ht="43.5" x14ac:dyDescent="0.35">
      <c r="A65" t="s">
        <v>0</v>
      </c>
      <c r="B65" t="s">
        <v>629</v>
      </c>
      <c r="C65" t="s">
        <v>24</v>
      </c>
      <c r="D65" t="s">
        <v>22</v>
      </c>
      <c r="E65">
        <v>2273.9700000000003</v>
      </c>
      <c r="F65" t="s">
        <v>77</v>
      </c>
      <c r="G65" s="19">
        <v>45673</v>
      </c>
      <c r="H65" s="48" t="s">
        <v>78</v>
      </c>
      <c r="I65" t="s">
        <v>1902</v>
      </c>
      <c r="K65" s="48" t="s">
        <v>1903</v>
      </c>
      <c r="L65" s="48" t="s">
        <v>1904</v>
      </c>
      <c r="M65" s="48" t="s">
        <v>185</v>
      </c>
      <c r="Q65" s="3">
        <f t="shared" si="1"/>
        <v>2273.9700000000003</v>
      </c>
    </row>
    <row r="66" spans="1:31" ht="43.5" x14ac:dyDescent="0.35">
      <c r="A66" t="s">
        <v>0</v>
      </c>
      <c r="B66" t="s">
        <v>315</v>
      </c>
      <c r="C66" t="s">
        <v>24</v>
      </c>
      <c r="D66" t="s">
        <v>22</v>
      </c>
      <c r="E66">
        <v>1512.25</v>
      </c>
      <c r="F66" t="s">
        <v>77</v>
      </c>
      <c r="G66" s="19">
        <v>45734</v>
      </c>
      <c r="H66" s="48" t="s">
        <v>78</v>
      </c>
      <c r="I66" t="s">
        <v>1950</v>
      </c>
      <c r="K66" s="48" t="s">
        <v>184</v>
      </c>
      <c r="L66" s="48" t="s">
        <v>1951</v>
      </c>
      <c r="M66" s="48" t="s">
        <v>185</v>
      </c>
      <c r="Q66" s="3">
        <f t="shared" si="1"/>
        <v>1512.25</v>
      </c>
    </row>
    <row r="67" spans="1:31" x14ac:dyDescent="0.35">
      <c r="A67" t="s">
        <v>27</v>
      </c>
      <c r="B67" t="s">
        <v>584</v>
      </c>
      <c r="C67" t="s">
        <v>24</v>
      </c>
      <c r="D67" t="s">
        <v>22</v>
      </c>
      <c r="E67">
        <v>-1481.37</v>
      </c>
      <c r="F67" t="s">
        <v>77</v>
      </c>
      <c r="G67" s="19">
        <v>45735</v>
      </c>
      <c r="H67" s="48" t="s">
        <v>119</v>
      </c>
      <c r="I67" t="s">
        <v>120</v>
      </c>
      <c r="Q67" s="3">
        <f t="shared" si="1"/>
        <v>1481.37</v>
      </c>
    </row>
    <row r="68" spans="1:31" ht="43.5" x14ac:dyDescent="0.35">
      <c r="A68" t="s">
        <v>27</v>
      </c>
      <c r="B68" t="s">
        <v>627</v>
      </c>
      <c r="C68" t="s">
        <v>24</v>
      </c>
      <c r="D68" t="s">
        <v>22</v>
      </c>
      <c r="E68">
        <v>1461.82</v>
      </c>
      <c r="F68" t="s">
        <v>77</v>
      </c>
      <c r="G68" s="19">
        <v>45734</v>
      </c>
      <c r="H68" s="48" t="s">
        <v>79</v>
      </c>
      <c r="I68" t="s">
        <v>351</v>
      </c>
      <c r="K68" s="48" t="s">
        <v>1980</v>
      </c>
      <c r="M68" s="48" t="s">
        <v>1981</v>
      </c>
      <c r="Q68" s="3">
        <f t="shared" si="1"/>
        <v>1461.82</v>
      </c>
    </row>
    <row r="69" spans="1:31" ht="29" x14ac:dyDescent="0.35">
      <c r="A69" t="s">
        <v>27</v>
      </c>
      <c r="B69" t="s">
        <v>368</v>
      </c>
      <c r="C69" t="s">
        <v>24</v>
      </c>
      <c r="D69" t="s">
        <v>22</v>
      </c>
      <c r="E69">
        <v>1424.5</v>
      </c>
      <c r="F69" t="s">
        <v>77</v>
      </c>
      <c r="G69" s="19">
        <v>45736</v>
      </c>
      <c r="H69" s="48" t="s">
        <v>79</v>
      </c>
      <c r="I69" t="s">
        <v>369</v>
      </c>
      <c r="K69" s="48" t="s">
        <v>1996</v>
      </c>
      <c r="M69" s="48" t="s">
        <v>1997</v>
      </c>
      <c r="Q69" s="3">
        <f t="shared" si="1"/>
        <v>1424.5</v>
      </c>
    </row>
    <row r="70" spans="1:31" x14ac:dyDescent="0.35">
      <c r="A70" t="s">
        <v>27</v>
      </c>
      <c r="B70" t="s">
        <v>584</v>
      </c>
      <c r="C70" t="s">
        <v>24</v>
      </c>
      <c r="D70" t="s">
        <v>22</v>
      </c>
      <c r="E70">
        <v>1120.3699999999999</v>
      </c>
      <c r="F70" t="s">
        <v>77</v>
      </c>
      <c r="G70" s="19">
        <v>45742</v>
      </c>
      <c r="H70" s="48" t="s">
        <v>119</v>
      </c>
      <c r="I70" t="s">
        <v>120</v>
      </c>
      <c r="Q70" s="3">
        <f t="shared" si="1"/>
        <v>1120.3699999999999</v>
      </c>
    </row>
    <row r="71" spans="1:31" ht="29" x14ac:dyDescent="0.35">
      <c r="A71" t="s">
        <v>0</v>
      </c>
      <c r="B71" t="s">
        <v>315</v>
      </c>
      <c r="C71" t="s">
        <v>24</v>
      </c>
      <c r="D71" t="s">
        <v>22</v>
      </c>
      <c r="E71">
        <v>1052.67</v>
      </c>
      <c r="F71" t="s">
        <v>77</v>
      </c>
      <c r="G71" s="19">
        <v>45663</v>
      </c>
      <c r="H71" s="48" t="s">
        <v>78</v>
      </c>
      <c r="I71" t="s">
        <v>1880</v>
      </c>
      <c r="K71" s="48" t="s">
        <v>1881</v>
      </c>
      <c r="L71" s="48" t="s">
        <v>1882</v>
      </c>
      <c r="M71" s="48" t="s">
        <v>183</v>
      </c>
      <c r="Q71" s="3">
        <f t="shared" si="1"/>
        <v>1052.67</v>
      </c>
    </row>
    <row r="72" spans="1:31" x14ac:dyDescent="0.35">
      <c r="A72" t="s">
        <v>27</v>
      </c>
      <c r="B72" t="s">
        <v>584</v>
      </c>
      <c r="C72" t="s">
        <v>24</v>
      </c>
      <c r="D72" t="s">
        <v>22</v>
      </c>
      <c r="E72">
        <v>-1045.67</v>
      </c>
      <c r="F72" t="s">
        <v>77</v>
      </c>
      <c r="G72" s="19">
        <v>45747</v>
      </c>
      <c r="H72" s="48" t="s">
        <v>119</v>
      </c>
      <c r="I72" t="s">
        <v>120</v>
      </c>
      <c r="Q72" s="3">
        <f t="shared" ref="Q72:Q108" si="2">ABS(E72)</f>
        <v>1045.67</v>
      </c>
    </row>
    <row r="73" spans="1:31" x14ac:dyDescent="0.35">
      <c r="A73" t="s">
        <v>27</v>
      </c>
      <c r="B73" t="s">
        <v>584</v>
      </c>
      <c r="C73" t="s">
        <v>24</v>
      </c>
      <c r="D73" t="s">
        <v>22</v>
      </c>
      <c r="E73">
        <v>-796.71</v>
      </c>
      <c r="F73" t="s">
        <v>77</v>
      </c>
      <c r="G73" s="19">
        <v>45736</v>
      </c>
      <c r="H73" s="48" t="s">
        <v>119</v>
      </c>
      <c r="I73" t="s">
        <v>120</v>
      </c>
      <c r="Q73" s="3">
        <f t="shared" si="2"/>
        <v>796.71</v>
      </c>
    </row>
    <row r="74" spans="1:31" x14ac:dyDescent="0.35">
      <c r="A74" t="s">
        <v>27</v>
      </c>
      <c r="B74" t="s">
        <v>584</v>
      </c>
      <c r="C74" t="s">
        <v>24</v>
      </c>
      <c r="D74" t="s">
        <v>22</v>
      </c>
      <c r="E74">
        <v>-796.7</v>
      </c>
      <c r="F74" t="s">
        <v>77</v>
      </c>
      <c r="G74" s="19">
        <v>45739</v>
      </c>
      <c r="H74" s="48" t="s">
        <v>119</v>
      </c>
      <c r="I74" t="s">
        <v>120</v>
      </c>
      <c r="Q74" s="3">
        <f t="shared" si="2"/>
        <v>796.7</v>
      </c>
    </row>
    <row r="75" spans="1:31" ht="43.5" x14ac:dyDescent="0.35">
      <c r="A75" t="s">
        <v>27</v>
      </c>
      <c r="B75" t="s">
        <v>317</v>
      </c>
      <c r="C75" t="s">
        <v>24</v>
      </c>
      <c r="D75" t="s">
        <v>22</v>
      </c>
      <c r="E75">
        <v>613.64</v>
      </c>
      <c r="F75" t="s">
        <v>77</v>
      </c>
      <c r="G75" s="19">
        <v>45737</v>
      </c>
      <c r="H75" s="48" t="s">
        <v>79</v>
      </c>
      <c r="I75" t="s">
        <v>264</v>
      </c>
      <c r="K75" s="48" t="s">
        <v>2001</v>
      </c>
      <c r="M75" s="48" t="s">
        <v>2002</v>
      </c>
      <c r="Q75" s="3">
        <f t="shared" si="2"/>
        <v>613.64</v>
      </c>
    </row>
    <row r="76" spans="1:31" ht="29" x14ac:dyDescent="0.35">
      <c r="A76" t="s">
        <v>27</v>
      </c>
      <c r="B76" t="s">
        <v>363</v>
      </c>
      <c r="C76" t="s">
        <v>24</v>
      </c>
      <c r="D76" t="s">
        <v>22</v>
      </c>
      <c r="E76">
        <v>600</v>
      </c>
      <c r="F76" t="s">
        <v>77</v>
      </c>
      <c r="G76" s="19">
        <v>45733</v>
      </c>
      <c r="H76" s="48" t="s">
        <v>79</v>
      </c>
      <c r="I76" t="s">
        <v>160</v>
      </c>
      <c r="K76" s="48" t="s">
        <v>1978</v>
      </c>
      <c r="M76" s="48" t="s">
        <v>1979</v>
      </c>
      <c r="Q76" s="3">
        <f t="shared" si="2"/>
        <v>600</v>
      </c>
      <c r="S76" s="48" t="s">
        <v>2010</v>
      </c>
      <c r="AE76">
        <f>E76</f>
        <v>600</v>
      </c>
    </row>
    <row r="77" spans="1:31" ht="29" x14ac:dyDescent="0.35">
      <c r="A77" t="s">
        <v>27</v>
      </c>
      <c r="B77" t="s">
        <v>315</v>
      </c>
      <c r="C77" t="s">
        <v>24</v>
      </c>
      <c r="D77" t="s">
        <v>22</v>
      </c>
      <c r="E77">
        <v>499.09</v>
      </c>
      <c r="F77" t="s">
        <v>77</v>
      </c>
      <c r="G77" s="19">
        <v>45740</v>
      </c>
      <c r="H77" s="48" t="s">
        <v>79</v>
      </c>
      <c r="I77" t="s">
        <v>624</v>
      </c>
      <c r="K77" s="48" t="s">
        <v>2003</v>
      </c>
      <c r="M77" s="48" t="s">
        <v>604</v>
      </c>
      <c r="Q77" s="3">
        <f t="shared" si="2"/>
        <v>499.09</v>
      </c>
      <c r="S77" s="48" t="s">
        <v>2502</v>
      </c>
      <c r="W77" s="184">
        <f>Q77</f>
        <v>499.09</v>
      </c>
    </row>
    <row r="78" spans="1:31" x14ac:dyDescent="0.35">
      <c r="A78" t="s">
        <v>27</v>
      </c>
      <c r="B78" t="s">
        <v>584</v>
      </c>
      <c r="C78" t="s">
        <v>24</v>
      </c>
      <c r="D78" t="s">
        <v>22</v>
      </c>
      <c r="E78">
        <v>-485.49</v>
      </c>
      <c r="F78" t="s">
        <v>77</v>
      </c>
      <c r="G78" s="19">
        <v>45741</v>
      </c>
      <c r="H78" s="48" t="s">
        <v>119</v>
      </c>
      <c r="I78" t="s">
        <v>120</v>
      </c>
      <c r="Q78" s="3">
        <f t="shared" si="2"/>
        <v>485.49</v>
      </c>
    </row>
    <row r="79" spans="1:31" ht="29" x14ac:dyDescent="0.35">
      <c r="A79" t="s">
        <v>27</v>
      </c>
      <c r="B79" t="s">
        <v>627</v>
      </c>
      <c r="C79" t="s">
        <v>24</v>
      </c>
      <c r="D79" t="s">
        <v>22</v>
      </c>
      <c r="E79">
        <v>-454.55</v>
      </c>
      <c r="F79" t="s">
        <v>77</v>
      </c>
      <c r="G79" s="19">
        <v>45747</v>
      </c>
      <c r="H79" s="48" t="s">
        <v>351</v>
      </c>
      <c r="I79" t="s">
        <v>351</v>
      </c>
      <c r="Q79" s="3">
        <f t="shared" si="2"/>
        <v>454.55</v>
      </c>
    </row>
    <row r="80" spans="1:31" x14ac:dyDescent="0.35">
      <c r="A80" t="s">
        <v>0</v>
      </c>
      <c r="B80" t="s">
        <v>627</v>
      </c>
      <c r="C80" t="s">
        <v>24</v>
      </c>
      <c r="D80" t="s">
        <v>22</v>
      </c>
      <c r="E80">
        <v>400</v>
      </c>
      <c r="F80" t="s">
        <v>77</v>
      </c>
      <c r="G80" s="19">
        <v>45691</v>
      </c>
      <c r="H80" s="48" t="s">
        <v>78</v>
      </c>
      <c r="I80" t="s">
        <v>1911</v>
      </c>
      <c r="K80" s="48" t="s">
        <v>1912</v>
      </c>
      <c r="L80" s="48" t="s">
        <v>1913</v>
      </c>
      <c r="M80" s="48" t="s">
        <v>130</v>
      </c>
      <c r="Q80" s="3">
        <f t="shared" si="2"/>
        <v>400</v>
      </c>
    </row>
    <row r="81" spans="1:22" ht="43.5" x14ac:dyDescent="0.35">
      <c r="A81" t="s">
        <v>0</v>
      </c>
      <c r="B81" t="s">
        <v>315</v>
      </c>
      <c r="C81" t="s">
        <v>24</v>
      </c>
      <c r="D81" t="s">
        <v>22</v>
      </c>
      <c r="E81">
        <v>396.11</v>
      </c>
      <c r="F81" t="s">
        <v>77</v>
      </c>
      <c r="G81" s="19">
        <v>45664</v>
      </c>
      <c r="H81" s="48" t="s">
        <v>78</v>
      </c>
      <c r="I81" t="s">
        <v>1889</v>
      </c>
      <c r="K81" s="48" t="s">
        <v>1890</v>
      </c>
      <c r="L81" s="48" t="s">
        <v>1891</v>
      </c>
      <c r="M81" s="48" t="s">
        <v>185</v>
      </c>
      <c r="Q81" s="3">
        <f t="shared" si="2"/>
        <v>396.11</v>
      </c>
    </row>
    <row r="82" spans="1:22" x14ac:dyDescent="0.35">
      <c r="A82" t="s">
        <v>27</v>
      </c>
      <c r="B82" t="s">
        <v>584</v>
      </c>
      <c r="C82" t="s">
        <v>24</v>
      </c>
      <c r="D82" t="s">
        <v>22</v>
      </c>
      <c r="E82">
        <v>-361.01</v>
      </c>
      <c r="F82" t="s">
        <v>77</v>
      </c>
      <c r="G82" s="19">
        <v>45743</v>
      </c>
      <c r="H82" s="48" t="s">
        <v>119</v>
      </c>
      <c r="I82" t="s">
        <v>120</v>
      </c>
      <c r="Q82" s="3">
        <f t="shared" si="2"/>
        <v>361.01</v>
      </c>
    </row>
    <row r="83" spans="1:22" x14ac:dyDescent="0.35">
      <c r="A83" t="s">
        <v>27</v>
      </c>
      <c r="B83" t="s">
        <v>584</v>
      </c>
      <c r="C83" t="s">
        <v>24</v>
      </c>
      <c r="D83" t="s">
        <v>22</v>
      </c>
      <c r="E83">
        <v>-361.01</v>
      </c>
      <c r="F83" t="s">
        <v>77</v>
      </c>
      <c r="G83" s="19">
        <v>45746</v>
      </c>
      <c r="H83" s="48" t="s">
        <v>119</v>
      </c>
      <c r="I83" t="s">
        <v>120</v>
      </c>
      <c r="Q83" s="3">
        <f t="shared" si="2"/>
        <v>361.01</v>
      </c>
    </row>
    <row r="84" spans="1:22" x14ac:dyDescent="0.35">
      <c r="A84" t="s">
        <v>0</v>
      </c>
      <c r="B84" t="s">
        <v>319</v>
      </c>
      <c r="C84" t="s">
        <v>24</v>
      </c>
      <c r="D84" t="s">
        <v>22</v>
      </c>
      <c r="E84">
        <v>260</v>
      </c>
      <c r="F84" t="s">
        <v>77</v>
      </c>
      <c r="G84" s="19">
        <v>45664</v>
      </c>
      <c r="H84" s="48" t="s">
        <v>78</v>
      </c>
      <c r="I84" t="s">
        <v>1883</v>
      </c>
      <c r="K84" s="48" t="s">
        <v>1884</v>
      </c>
      <c r="L84" s="48" t="s">
        <v>1885</v>
      </c>
      <c r="M84" s="48" t="s">
        <v>130</v>
      </c>
      <c r="Q84" s="3">
        <f t="shared" si="2"/>
        <v>260</v>
      </c>
    </row>
    <row r="85" spans="1:22" x14ac:dyDescent="0.35">
      <c r="A85" t="s">
        <v>0</v>
      </c>
      <c r="B85" t="s">
        <v>319</v>
      </c>
      <c r="C85" t="s">
        <v>24</v>
      </c>
      <c r="D85" t="s">
        <v>22</v>
      </c>
      <c r="E85">
        <v>260</v>
      </c>
      <c r="F85" t="s">
        <v>77</v>
      </c>
      <c r="G85" s="19">
        <v>45722</v>
      </c>
      <c r="H85" s="48" t="s">
        <v>78</v>
      </c>
      <c r="I85" t="s">
        <v>1938</v>
      </c>
      <c r="K85" s="48" t="s">
        <v>1884</v>
      </c>
      <c r="L85" s="48" t="s">
        <v>1939</v>
      </c>
      <c r="M85" s="48" t="s">
        <v>130</v>
      </c>
      <c r="Q85" s="3">
        <f t="shared" si="2"/>
        <v>260</v>
      </c>
    </row>
    <row r="86" spans="1:22" x14ac:dyDescent="0.35">
      <c r="A86" t="s">
        <v>27</v>
      </c>
      <c r="B86" t="s">
        <v>584</v>
      </c>
      <c r="C86" t="s">
        <v>24</v>
      </c>
      <c r="D86" t="s">
        <v>22</v>
      </c>
      <c r="E86">
        <v>236.52</v>
      </c>
      <c r="F86" t="s">
        <v>77</v>
      </c>
      <c r="G86" s="19">
        <v>45740</v>
      </c>
      <c r="H86" s="48" t="s">
        <v>119</v>
      </c>
      <c r="I86" t="s">
        <v>120</v>
      </c>
      <c r="Q86" s="3">
        <f t="shared" si="2"/>
        <v>236.52</v>
      </c>
    </row>
    <row r="87" spans="1:22" ht="29" x14ac:dyDescent="0.35">
      <c r="A87" t="s">
        <v>27</v>
      </c>
      <c r="B87" t="s">
        <v>407</v>
      </c>
      <c r="C87" t="s">
        <v>24</v>
      </c>
      <c r="D87" t="s">
        <v>22</v>
      </c>
      <c r="E87">
        <v>218.57</v>
      </c>
      <c r="F87" t="s">
        <v>77</v>
      </c>
      <c r="G87" s="19">
        <v>45713</v>
      </c>
      <c r="H87" s="48" t="s">
        <v>79</v>
      </c>
      <c r="I87" t="s">
        <v>137</v>
      </c>
      <c r="J87" s="48" t="s">
        <v>1969</v>
      </c>
      <c r="M87" s="48" t="s">
        <v>648</v>
      </c>
      <c r="Q87" s="3">
        <f t="shared" si="2"/>
        <v>218.57</v>
      </c>
      <c r="S87" s="48" t="s">
        <v>743</v>
      </c>
    </row>
    <row r="88" spans="1:22" ht="29" x14ac:dyDescent="0.35">
      <c r="A88" t="s">
        <v>27</v>
      </c>
      <c r="B88" t="s">
        <v>315</v>
      </c>
      <c r="C88" t="s">
        <v>24</v>
      </c>
      <c r="D88" t="s">
        <v>22</v>
      </c>
      <c r="E88">
        <v>117.95</v>
      </c>
      <c r="F88" t="s">
        <v>77</v>
      </c>
      <c r="G88" s="19">
        <v>45740</v>
      </c>
      <c r="H88" s="48" t="s">
        <v>79</v>
      </c>
      <c r="I88" t="s">
        <v>167</v>
      </c>
      <c r="K88" s="48" t="s">
        <v>2004</v>
      </c>
      <c r="M88" s="48" t="s">
        <v>2005</v>
      </c>
      <c r="Q88" s="3">
        <f t="shared" si="2"/>
        <v>117.95</v>
      </c>
      <c r="S88" s="48" t="s">
        <v>742</v>
      </c>
    </row>
    <row r="89" spans="1:22" ht="43.5" x14ac:dyDescent="0.35">
      <c r="A89" t="s">
        <v>27</v>
      </c>
      <c r="B89" t="s">
        <v>335</v>
      </c>
      <c r="C89" t="s">
        <v>24</v>
      </c>
      <c r="D89" t="s">
        <v>22</v>
      </c>
      <c r="E89">
        <v>107.27</v>
      </c>
      <c r="F89" t="s">
        <v>77</v>
      </c>
      <c r="G89" s="19">
        <v>45740</v>
      </c>
      <c r="H89" s="48" t="s">
        <v>79</v>
      </c>
      <c r="I89" t="s">
        <v>167</v>
      </c>
      <c r="K89" s="48" t="s">
        <v>2006</v>
      </c>
      <c r="O89" s="48" t="s">
        <v>533</v>
      </c>
      <c r="Q89" s="3">
        <f t="shared" si="2"/>
        <v>107.27</v>
      </c>
      <c r="S89" s="48" t="s">
        <v>743</v>
      </c>
    </row>
    <row r="90" spans="1:22" ht="43.5" x14ac:dyDescent="0.35">
      <c r="A90" t="s">
        <v>27</v>
      </c>
      <c r="B90" t="s">
        <v>335</v>
      </c>
      <c r="C90" t="s">
        <v>24</v>
      </c>
      <c r="D90" t="s">
        <v>22</v>
      </c>
      <c r="E90">
        <v>105.91</v>
      </c>
      <c r="F90" t="s">
        <v>77</v>
      </c>
      <c r="G90" s="19">
        <v>45687</v>
      </c>
      <c r="H90" s="48" t="s">
        <v>79</v>
      </c>
      <c r="I90" t="s">
        <v>167</v>
      </c>
      <c r="K90" s="48" t="s">
        <v>1959</v>
      </c>
      <c r="M90" s="48" t="s">
        <v>1960</v>
      </c>
      <c r="Q90" s="3">
        <f t="shared" si="2"/>
        <v>105.91</v>
      </c>
      <c r="S90" s="48" t="s">
        <v>743</v>
      </c>
    </row>
    <row r="91" spans="1:22" ht="29" x14ac:dyDescent="0.35">
      <c r="A91" t="s">
        <v>27</v>
      </c>
      <c r="B91" t="s">
        <v>363</v>
      </c>
      <c r="C91" t="s">
        <v>24</v>
      </c>
      <c r="D91" t="s">
        <v>22</v>
      </c>
      <c r="E91">
        <v>101.89</v>
      </c>
      <c r="F91" t="s">
        <v>77</v>
      </c>
      <c r="G91" s="19">
        <v>45694</v>
      </c>
      <c r="H91" s="48" t="s">
        <v>79</v>
      </c>
      <c r="I91" t="s">
        <v>635</v>
      </c>
      <c r="J91" s="48" t="s">
        <v>1962</v>
      </c>
      <c r="M91" s="48" t="s">
        <v>1963</v>
      </c>
      <c r="Q91" s="3">
        <f t="shared" si="2"/>
        <v>101.89</v>
      </c>
      <c r="S91" s="48" t="s">
        <v>44</v>
      </c>
      <c r="T91" t="s">
        <v>54</v>
      </c>
      <c r="U91" t="str">
        <f>B91</f>
        <v>AU071197</v>
      </c>
      <c r="V91" s="3">
        <f>E91</f>
        <v>101.89</v>
      </c>
    </row>
    <row r="92" spans="1:22" ht="43.5" x14ac:dyDescent="0.35">
      <c r="A92" t="s">
        <v>27</v>
      </c>
      <c r="B92" t="s">
        <v>338</v>
      </c>
      <c r="C92" t="s">
        <v>24</v>
      </c>
      <c r="D92" t="s">
        <v>22</v>
      </c>
      <c r="E92">
        <v>99.09</v>
      </c>
      <c r="F92" t="s">
        <v>77</v>
      </c>
      <c r="G92" s="19">
        <v>45685</v>
      </c>
      <c r="H92" s="48" t="s">
        <v>79</v>
      </c>
      <c r="I92" t="s">
        <v>645</v>
      </c>
      <c r="K92" s="48" t="s">
        <v>1956</v>
      </c>
      <c r="M92" s="48" t="s">
        <v>1550</v>
      </c>
      <c r="Q92" s="3">
        <f t="shared" si="2"/>
        <v>99.09</v>
      </c>
      <c r="S92" s="48" t="s">
        <v>743</v>
      </c>
    </row>
    <row r="93" spans="1:22" ht="29" x14ac:dyDescent="0.35">
      <c r="A93" t="s">
        <v>27</v>
      </c>
      <c r="B93" t="s">
        <v>496</v>
      </c>
      <c r="C93" t="s">
        <v>24</v>
      </c>
      <c r="D93" t="s">
        <v>22</v>
      </c>
      <c r="E93">
        <v>90.91</v>
      </c>
      <c r="F93" t="s">
        <v>77</v>
      </c>
      <c r="G93" s="19">
        <v>45736</v>
      </c>
      <c r="H93" s="48" t="s">
        <v>79</v>
      </c>
      <c r="I93" t="s">
        <v>1990</v>
      </c>
      <c r="K93" s="48" t="s">
        <v>1991</v>
      </c>
      <c r="M93" s="48" t="s">
        <v>1992</v>
      </c>
      <c r="Q93" s="3">
        <f t="shared" si="2"/>
        <v>90.91</v>
      </c>
      <c r="S93" s="48" t="s">
        <v>743</v>
      </c>
    </row>
    <row r="94" spans="1:22" ht="29" x14ac:dyDescent="0.35">
      <c r="A94" t="s">
        <v>27</v>
      </c>
      <c r="B94" t="s">
        <v>368</v>
      </c>
      <c r="C94" t="s">
        <v>24</v>
      </c>
      <c r="D94" t="s">
        <v>22</v>
      </c>
      <c r="E94">
        <v>77.73</v>
      </c>
      <c r="F94" t="s">
        <v>77</v>
      </c>
      <c r="G94" s="19">
        <v>45736</v>
      </c>
      <c r="H94" s="48" t="s">
        <v>79</v>
      </c>
      <c r="I94" t="s">
        <v>1993</v>
      </c>
      <c r="J94" s="48" t="s">
        <v>1994</v>
      </c>
      <c r="M94" s="48" t="s">
        <v>1995</v>
      </c>
      <c r="Q94" s="3">
        <f t="shared" si="2"/>
        <v>77.73</v>
      </c>
      <c r="S94" s="48" t="s">
        <v>743</v>
      </c>
    </row>
    <row r="95" spans="1:22" ht="43.5" x14ac:dyDescent="0.35">
      <c r="A95" t="s">
        <v>27</v>
      </c>
      <c r="B95" t="s">
        <v>505</v>
      </c>
      <c r="C95" t="s">
        <v>24</v>
      </c>
      <c r="D95" t="s">
        <v>22</v>
      </c>
      <c r="E95">
        <v>59.44</v>
      </c>
      <c r="F95" t="s">
        <v>77</v>
      </c>
      <c r="G95" s="19">
        <v>45686</v>
      </c>
      <c r="H95" s="48" t="s">
        <v>79</v>
      </c>
      <c r="I95" t="s">
        <v>1957</v>
      </c>
      <c r="J95" s="48" t="s">
        <v>1958</v>
      </c>
      <c r="M95" s="48" t="s">
        <v>710</v>
      </c>
      <c r="Q95" s="3">
        <f t="shared" si="2"/>
        <v>59.44</v>
      </c>
      <c r="S95" s="48" t="s">
        <v>743</v>
      </c>
    </row>
    <row r="96" spans="1:22" ht="29" x14ac:dyDescent="0.35">
      <c r="A96" t="s">
        <v>27</v>
      </c>
      <c r="B96" t="s">
        <v>338</v>
      </c>
      <c r="C96" t="s">
        <v>24</v>
      </c>
      <c r="D96" t="s">
        <v>22</v>
      </c>
      <c r="E96">
        <v>50.78</v>
      </c>
      <c r="F96" t="s">
        <v>77</v>
      </c>
      <c r="G96" s="19">
        <v>45685</v>
      </c>
      <c r="H96" s="48" t="s">
        <v>79</v>
      </c>
      <c r="I96" t="s">
        <v>645</v>
      </c>
      <c r="J96" s="48" t="s">
        <v>646</v>
      </c>
      <c r="M96" s="48" t="s">
        <v>638</v>
      </c>
      <c r="Q96" s="3">
        <f t="shared" si="2"/>
        <v>50.78</v>
      </c>
      <c r="S96" s="48" t="s">
        <v>743</v>
      </c>
    </row>
    <row r="97" spans="1:22" ht="29" x14ac:dyDescent="0.35">
      <c r="A97" t="s">
        <v>27</v>
      </c>
      <c r="B97" t="s">
        <v>363</v>
      </c>
      <c r="C97" t="s">
        <v>24</v>
      </c>
      <c r="D97" t="s">
        <v>22</v>
      </c>
      <c r="E97">
        <v>35.36</v>
      </c>
      <c r="F97" t="s">
        <v>77</v>
      </c>
      <c r="G97" s="19">
        <v>45694</v>
      </c>
      <c r="H97" s="48" t="s">
        <v>79</v>
      </c>
      <c r="I97" t="s">
        <v>146</v>
      </c>
      <c r="J97" s="48" t="s">
        <v>1961</v>
      </c>
      <c r="M97" s="48" t="s">
        <v>532</v>
      </c>
      <c r="Q97" s="3">
        <f t="shared" si="2"/>
        <v>35.36</v>
      </c>
      <c r="S97" s="48" t="s">
        <v>44</v>
      </c>
      <c r="T97" t="s">
        <v>54</v>
      </c>
      <c r="U97" t="str">
        <f>B97</f>
        <v>AU071197</v>
      </c>
      <c r="V97" s="3">
        <f>E97</f>
        <v>35.36</v>
      </c>
    </row>
    <row r="98" spans="1:22" ht="29" x14ac:dyDescent="0.35">
      <c r="A98" t="s">
        <v>27</v>
      </c>
      <c r="B98" t="s">
        <v>376</v>
      </c>
      <c r="C98" t="s">
        <v>24</v>
      </c>
      <c r="D98" t="s">
        <v>22</v>
      </c>
      <c r="E98">
        <v>29.09</v>
      </c>
      <c r="F98" t="s">
        <v>77</v>
      </c>
      <c r="G98" s="19">
        <v>45734</v>
      </c>
      <c r="H98" s="48" t="s">
        <v>79</v>
      </c>
      <c r="I98" t="s">
        <v>564</v>
      </c>
      <c r="J98" s="48" t="s">
        <v>196</v>
      </c>
      <c r="M98" s="48" t="s">
        <v>275</v>
      </c>
      <c r="Q98" s="3">
        <f t="shared" si="2"/>
        <v>29.09</v>
      </c>
    </row>
    <row r="99" spans="1:22" ht="29" x14ac:dyDescent="0.35">
      <c r="A99" t="s">
        <v>27</v>
      </c>
      <c r="B99" t="s">
        <v>628</v>
      </c>
      <c r="C99" t="s">
        <v>24</v>
      </c>
      <c r="D99" t="s">
        <v>22</v>
      </c>
      <c r="E99">
        <v>21.68</v>
      </c>
      <c r="F99" t="s">
        <v>77</v>
      </c>
      <c r="G99" s="19">
        <v>45737</v>
      </c>
      <c r="H99" s="48" t="s">
        <v>79</v>
      </c>
      <c r="I99" t="s">
        <v>1998</v>
      </c>
      <c r="J99" s="48" t="s">
        <v>1999</v>
      </c>
      <c r="M99" s="48" t="s">
        <v>2000</v>
      </c>
      <c r="Q99" s="3">
        <f t="shared" si="2"/>
        <v>21.68</v>
      </c>
    </row>
    <row r="100" spans="1:22" ht="29" x14ac:dyDescent="0.35">
      <c r="A100" t="s">
        <v>27</v>
      </c>
      <c r="B100" t="s">
        <v>428</v>
      </c>
      <c r="C100" t="s">
        <v>24</v>
      </c>
      <c r="D100" t="s">
        <v>22</v>
      </c>
      <c r="E100">
        <v>20</v>
      </c>
      <c r="F100" t="s">
        <v>77</v>
      </c>
      <c r="G100" s="19">
        <v>45744</v>
      </c>
      <c r="H100" s="48" t="s">
        <v>2009</v>
      </c>
      <c r="I100" t="s">
        <v>721</v>
      </c>
      <c r="Q100" s="3">
        <f t="shared" si="2"/>
        <v>20</v>
      </c>
    </row>
    <row r="101" spans="1:22" x14ac:dyDescent="0.35">
      <c r="A101" t="s">
        <v>27</v>
      </c>
      <c r="B101" t="s">
        <v>355</v>
      </c>
      <c r="C101" t="s">
        <v>24</v>
      </c>
      <c r="D101" t="s">
        <v>22</v>
      </c>
      <c r="E101">
        <v>18.18</v>
      </c>
      <c r="F101" t="s">
        <v>77</v>
      </c>
      <c r="G101" s="19">
        <v>45729</v>
      </c>
      <c r="H101" s="48" t="s">
        <v>79</v>
      </c>
      <c r="I101" t="s">
        <v>1970</v>
      </c>
      <c r="J101" s="48" t="s">
        <v>1971</v>
      </c>
      <c r="M101" s="48" t="s">
        <v>1972</v>
      </c>
      <c r="Q101" s="3">
        <f t="shared" si="2"/>
        <v>18.18</v>
      </c>
    </row>
    <row r="102" spans="1:22" ht="29" x14ac:dyDescent="0.35">
      <c r="A102" t="s">
        <v>27</v>
      </c>
      <c r="B102" t="s">
        <v>430</v>
      </c>
      <c r="C102" t="s">
        <v>24</v>
      </c>
      <c r="D102" t="s">
        <v>22</v>
      </c>
      <c r="E102">
        <v>18.170000000000002</v>
      </c>
      <c r="F102" t="s">
        <v>77</v>
      </c>
      <c r="G102" s="19">
        <v>45729</v>
      </c>
      <c r="H102" s="48" t="s">
        <v>79</v>
      </c>
      <c r="I102" t="s">
        <v>215</v>
      </c>
      <c r="K102" s="48" t="s">
        <v>1973</v>
      </c>
      <c r="M102" s="48" t="s">
        <v>273</v>
      </c>
      <c r="Q102" s="3">
        <f t="shared" si="2"/>
        <v>18.170000000000002</v>
      </c>
    </row>
    <row r="103" spans="1:22" ht="43.5" x14ac:dyDescent="0.35">
      <c r="A103" t="s">
        <v>27</v>
      </c>
      <c r="B103" t="s">
        <v>315</v>
      </c>
      <c r="C103" t="s">
        <v>24</v>
      </c>
      <c r="D103" t="s">
        <v>22</v>
      </c>
      <c r="E103">
        <v>16.5</v>
      </c>
      <c r="F103" t="s">
        <v>77</v>
      </c>
      <c r="G103" s="19">
        <v>45740</v>
      </c>
      <c r="H103" s="48" t="s">
        <v>79</v>
      </c>
      <c r="I103" t="s">
        <v>641</v>
      </c>
      <c r="K103" s="48" t="s">
        <v>2008</v>
      </c>
      <c r="M103" s="48" t="s">
        <v>633</v>
      </c>
      <c r="Q103" s="3">
        <f t="shared" si="2"/>
        <v>16.5</v>
      </c>
    </row>
    <row r="104" spans="1:22" ht="29" x14ac:dyDescent="0.35">
      <c r="A104" t="s">
        <v>27</v>
      </c>
      <c r="B104" t="s">
        <v>326</v>
      </c>
      <c r="C104" t="s">
        <v>24</v>
      </c>
      <c r="D104" t="s">
        <v>22</v>
      </c>
      <c r="E104">
        <v>13</v>
      </c>
      <c r="F104" t="s">
        <v>77</v>
      </c>
      <c r="G104" s="19">
        <v>45735</v>
      </c>
      <c r="H104" s="48" t="s">
        <v>79</v>
      </c>
      <c r="I104" t="s">
        <v>632</v>
      </c>
      <c r="J104" s="48" t="s">
        <v>1986</v>
      </c>
      <c r="M104" s="48" t="s">
        <v>1987</v>
      </c>
      <c r="Q104" s="3">
        <f t="shared" si="2"/>
        <v>13</v>
      </c>
    </row>
    <row r="105" spans="1:22" x14ac:dyDescent="0.35">
      <c r="A105" t="s">
        <v>27</v>
      </c>
      <c r="B105" t="s">
        <v>328</v>
      </c>
      <c r="C105" t="s">
        <v>24</v>
      </c>
      <c r="D105" t="s">
        <v>22</v>
      </c>
      <c r="E105">
        <v>10.38</v>
      </c>
      <c r="F105" t="s">
        <v>77</v>
      </c>
      <c r="G105" s="19">
        <v>45709</v>
      </c>
      <c r="H105" s="48" t="s">
        <v>1967</v>
      </c>
      <c r="I105" t="s">
        <v>1968</v>
      </c>
      <c r="Q105" s="3">
        <f t="shared" si="2"/>
        <v>10.38</v>
      </c>
    </row>
    <row r="106" spans="1:22" ht="29" x14ac:dyDescent="0.35">
      <c r="A106" t="s">
        <v>27</v>
      </c>
      <c r="B106" t="s">
        <v>315</v>
      </c>
      <c r="C106" t="s">
        <v>24</v>
      </c>
      <c r="D106" t="s">
        <v>22</v>
      </c>
      <c r="E106">
        <v>5.5</v>
      </c>
      <c r="F106" t="s">
        <v>77</v>
      </c>
      <c r="G106" s="19">
        <v>45740</v>
      </c>
      <c r="H106" s="48" t="s">
        <v>79</v>
      </c>
      <c r="I106" t="s">
        <v>641</v>
      </c>
      <c r="J106" s="48" t="s">
        <v>2007</v>
      </c>
      <c r="M106" s="48" t="s">
        <v>642</v>
      </c>
      <c r="Q106" s="3">
        <f t="shared" si="2"/>
        <v>5.5</v>
      </c>
    </row>
    <row r="107" spans="1:22" ht="58" x14ac:dyDescent="0.35">
      <c r="A107" t="s">
        <v>27</v>
      </c>
      <c r="B107" t="s">
        <v>335</v>
      </c>
      <c r="C107" t="s">
        <v>24</v>
      </c>
      <c r="D107" t="s">
        <v>22</v>
      </c>
      <c r="E107">
        <v>4.55</v>
      </c>
      <c r="F107" t="s">
        <v>77</v>
      </c>
      <c r="G107" s="19">
        <v>45685</v>
      </c>
      <c r="H107" s="48" t="s">
        <v>79</v>
      </c>
      <c r="I107" t="s">
        <v>643</v>
      </c>
      <c r="J107" s="48" t="s">
        <v>1954</v>
      </c>
      <c r="M107" s="48" t="s">
        <v>1955</v>
      </c>
      <c r="Q107" s="3">
        <f t="shared" si="2"/>
        <v>4.55</v>
      </c>
      <c r="S107" s="48" t="s">
        <v>44</v>
      </c>
      <c r="T107" t="s">
        <v>54</v>
      </c>
      <c r="U107" t="str">
        <f>B107</f>
        <v>AU030420</v>
      </c>
      <c r="V107" s="3">
        <f>E107</f>
        <v>4.55</v>
      </c>
    </row>
    <row r="108" spans="1:22" ht="29" x14ac:dyDescent="0.35">
      <c r="A108" t="s">
        <v>27</v>
      </c>
      <c r="B108" t="s">
        <v>630</v>
      </c>
      <c r="C108" t="s">
        <v>24</v>
      </c>
      <c r="D108" t="s">
        <v>22</v>
      </c>
      <c r="E108">
        <v>-0.03</v>
      </c>
      <c r="F108" t="s">
        <v>77</v>
      </c>
      <c r="G108" s="19">
        <v>45744</v>
      </c>
      <c r="H108" s="48" t="s">
        <v>2009</v>
      </c>
      <c r="I108" t="s">
        <v>2009</v>
      </c>
      <c r="Q108" s="3">
        <f t="shared" si="2"/>
        <v>0.03</v>
      </c>
    </row>
    <row r="109" spans="1:22" x14ac:dyDescent="0.35">
      <c r="F109"/>
      <c r="I109"/>
    </row>
    <row r="110" spans="1:22" x14ac:dyDescent="0.35">
      <c r="F110"/>
      <c r="I110"/>
    </row>
    <row r="111" spans="1:22" x14ac:dyDescent="0.35">
      <c r="F111"/>
      <c r="I111"/>
    </row>
    <row r="112" spans="1:22" x14ac:dyDescent="0.35">
      <c r="F112"/>
      <c r="I112"/>
    </row>
    <row r="113" spans="6:9" x14ac:dyDescent="0.35">
      <c r="F113"/>
      <c r="I113"/>
    </row>
    <row r="114" spans="6:9" x14ac:dyDescent="0.35">
      <c r="F114"/>
      <c r="I114"/>
    </row>
    <row r="115" spans="6:9" x14ac:dyDescent="0.35">
      <c r="F115"/>
      <c r="I115"/>
    </row>
    <row r="116" spans="6:9" x14ac:dyDescent="0.35">
      <c r="F116"/>
      <c r="I116"/>
    </row>
    <row r="117" spans="6:9" x14ac:dyDescent="0.35">
      <c r="F117"/>
      <c r="I117"/>
    </row>
    <row r="118" spans="6:9" x14ac:dyDescent="0.35">
      <c r="F118"/>
      <c r="I118"/>
    </row>
    <row r="119" spans="6:9" x14ac:dyDescent="0.35">
      <c r="F119"/>
      <c r="I119"/>
    </row>
    <row r="120" spans="6:9" x14ac:dyDescent="0.35">
      <c r="F120"/>
      <c r="I120"/>
    </row>
    <row r="121" spans="6:9" x14ac:dyDescent="0.35">
      <c r="F121"/>
      <c r="I121"/>
    </row>
    <row r="122" spans="6:9" x14ac:dyDescent="0.35">
      <c r="F122"/>
      <c r="I122"/>
    </row>
    <row r="123" spans="6:9" x14ac:dyDescent="0.35">
      <c r="F123"/>
      <c r="I123"/>
    </row>
    <row r="124" spans="6:9" x14ac:dyDescent="0.35">
      <c r="F124"/>
      <c r="I124"/>
    </row>
    <row r="125" spans="6:9" x14ac:dyDescent="0.35">
      <c r="F125"/>
      <c r="I125"/>
    </row>
    <row r="126" spans="6:9" x14ac:dyDescent="0.35">
      <c r="F126"/>
      <c r="I126"/>
    </row>
    <row r="127" spans="6:9" x14ac:dyDescent="0.35">
      <c r="F127"/>
      <c r="I127"/>
    </row>
    <row r="128" spans="6:9" x14ac:dyDescent="0.35">
      <c r="F128"/>
      <c r="I128"/>
    </row>
    <row r="129" spans="6:9" x14ac:dyDescent="0.35">
      <c r="F129"/>
      <c r="I129"/>
    </row>
    <row r="130" spans="6:9" x14ac:dyDescent="0.35">
      <c r="F130"/>
      <c r="I130"/>
    </row>
    <row r="131" spans="6:9" x14ac:dyDescent="0.35">
      <c r="F131"/>
      <c r="I131"/>
    </row>
    <row r="132" spans="6:9" x14ac:dyDescent="0.35">
      <c r="F132"/>
      <c r="I132"/>
    </row>
    <row r="133" spans="6:9" x14ac:dyDescent="0.35">
      <c r="F133"/>
      <c r="I133"/>
    </row>
    <row r="134" spans="6:9" x14ac:dyDescent="0.35">
      <c r="F134"/>
      <c r="I134"/>
    </row>
    <row r="135" spans="6:9" x14ac:dyDescent="0.35">
      <c r="F135"/>
      <c r="I135"/>
    </row>
    <row r="136" spans="6:9" x14ac:dyDescent="0.35">
      <c r="F136"/>
      <c r="I136"/>
    </row>
    <row r="137" spans="6:9" x14ac:dyDescent="0.35">
      <c r="F137"/>
      <c r="I137"/>
    </row>
    <row r="138" spans="6:9" x14ac:dyDescent="0.35">
      <c r="F138"/>
      <c r="I138"/>
    </row>
    <row r="139" spans="6:9" x14ac:dyDescent="0.35">
      <c r="F139"/>
      <c r="I139"/>
    </row>
    <row r="140" spans="6:9" x14ac:dyDescent="0.35">
      <c r="F140"/>
      <c r="I140"/>
    </row>
    <row r="141" spans="6:9" x14ac:dyDescent="0.35">
      <c r="F141"/>
      <c r="I141"/>
    </row>
    <row r="142" spans="6:9" x14ac:dyDescent="0.35">
      <c r="F142"/>
      <c r="I142"/>
    </row>
    <row r="143" spans="6:9" x14ac:dyDescent="0.35">
      <c r="F143"/>
      <c r="I143"/>
    </row>
    <row r="144" spans="6:9" x14ac:dyDescent="0.35">
      <c r="F144"/>
      <c r="I144"/>
    </row>
    <row r="145" spans="6:9" x14ac:dyDescent="0.35">
      <c r="F145"/>
      <c r="I145"/>
    </row>
    <row r="146" spans="6:9" x14ac:dyDescent="0.35">
      <c r="F146"/>
      <c r="I146"/>
    </row>
    <row r="147" spans="6:9" x14ac:dyDescent="0.35">
      <c r="F147"/>
      <c r="I147"/>
    </row>
    <row r="148" spans="6:9" x14ac:dyDescent="0.35">
      <c r="F148"/>
      <c r="I148"/>
    </row>
    <row r="149" spans="6:9" x14ac:dyDescent="0.35">
      <c r="F149"/>
      <c r="I149"/>
    </row>
    <row r="150" spans="6:9" x14ac:dyDescent="0.35">
      <c r="F150"/>
      <c r="I150"/>
    </row>
    <row r="151" spans="6:9" x14ac:dyDescent="0.35">
      <c r="F151"/>
      <c r="I151"/>
    </row>
    <row r="152" spans="6:9" x14ac:dyDescent="0.35">
      <c r="F152"/>
      <c r="I152"/>
    </row>
    <row r="153" spans="6:9" x14ac:dyDescent="0.35">
      <c r="F153"/>
      <c r="I153"/>
    </row>
    <row r="154" spans="6:9" x14ac:dyDescent="0.35">
      <c r="F154"/>
      <c r="I154"/>
    </row>
    <row r="155" spans="6:9" x14ac:dyDescent="0.35">
      <c r="F155"/>
      <c r="I155"/>
    </row>
    <row r="156" spans="6:9" x14ac:dyDescent="0.35">
      <c r="F156"/>
      <c r="I156"/>
    </row>
    <row r="157" spans="6:9" x14ac:dyDescent="0.35">
      <c r="F157"/>
      <c r="I157"/>
    </row>
    <row r="158" spans="6:9" x14ac:dyDescent="0.35">
      <c r="F158"/>
      <c r="I158"/>
    </row>
    <row r="159" spans="6:9" x14ac:dyDescent="0.35">
      <c r="F159"/>
      <c r="I159"/>
    </row>
    <row r="160" spans="6:9" x14ac:dyDescent="0.35">
      <c r="F160"/>
      <c r="I160"/>
    </row>
    <row r="161" spans="1:22" x14ac:dyDescent="0.35">
      <c r="F161"/>
      <c r="I161"/>
    </row>
    <row r="162" spans="1:22" x14ac:dyDescent="0.35">
      <c r="F162"/>
      <c r="I162"/>
    </row>
    <row r="163" spans="1:22" x14ac:dyDescent="0.35">
      <c r="F163"/>
      <c r="I163"/>
    </row>
    <row r="164" spans="1:22" x14ac:dyDescent="0.35">
      <c r="F164"/>
      <c r="I164"/>
    </row>
    <row r="165" spans="1:22" x14ac:dyDescent="0.35">
      <c r="F165"/>
      <c r="I165"/>
    </row>
    <row r="166" spans="1:22" x14ac:dyDescent="0.35">
      <c r="F166"/>
      <c r="I166"/>
    </row>
    <row r="167" spans="1:22" x14ac:dyDescent="0.35">
      <c r="F167"/>
      <c r="I167"/>
    </row>
    <row r="168" spans="1:22" x14ac:dyDescent="0.35">
      <c r="F168"/>
      <c r="I168"/>
    </row>
    <row r="169" spans="1:22" x14ac:dyDescent="0.35">
      <c r="F169"/>
      <c r="I169"/>
    </row>
    <row r="170" spans="1:22" x14ac:dyDescent="0.35">
      <c r="F170"/>
      <c r="I170"/>
    </row>
    <row r="171" spans="1:22" s="113" customFormat="1" x14ac:dyDescent="0.35">
      <c r="A171"/>
      <c r="B171"/>
      <c r="C171"/>
      <c r="D171"/>
      <c r="E171"/>
      <c r="F171"/>
      <c r="G171" s="19"/>
      <c r="H171" s="48"/>
      <c r="I171"/>
      <c r="J171" s="48"/>
      <c r="K171" s="48"/>
      <c r="L171" s="48"/>
      <c r="M171" s="48"/>
      <c r="N171" s="48"/>
      <c r="O171" s="48"/>
      <c r="P171" s="111"/>
      <c r="Q171" s="3"/>
      <c r="R171" s="112"/>
      <c r="S171" s="112"/>
      <c r="V171" s="114"/>
    </row>
    <row r="172" spans="1:22" s="81" customFormat="1" x14ac:dyDescent="0.35">
      <c r="G172" s="92"/>
      <c r="H172" s="78"/>
      <c r="J172" s="78"/>
      <c r="K172" s="78"/>
      <c r="L172" s="78"/>
      <c r="M172" s="78"/>
      <c r="N172" s="78"/>
      <c r="O172" s="78"/>
      <c r="P172" s="79"/>
      <c r="Q172" s="80"/>
      <c r="R172" s="78"/>
      <c r="S172" s="78"/>
      <c r="V172" s="80"/>
    </row>
    <row r="173" spans="1:22" x14ac:dyDescent="0.35">
      <c r="F173"/>
      <c r="I173"/>
    </row>
    <row r="174" spans="1:22" x14ac:dyDescent="0.35">
      <c r="F174"/>
      <c r="I174"/>
    </row>
    <row r="175" spans="1:22" x14ac:dyDescent="0.35">
      <c r="F175"/>
      <c r="I175"/>
    </row>
    <row r="176" spans="1:22" x14ac:dyDescent="0.35">
      <c r="F176"/>
      <c r="I176"/>
    </row>
    <row r="177" spans="6:9" x14ac:dyDescent="0.35">
      <c r="F177"/>
      <c r="I177"/>
    </row>
    <row r="178" spans="6:9" x14ac:dyDescent="0.35">
      <c r="F178"/>
      <c r="I178"/>
    </row>
    <row r="179" spans="6:9" x14ac:dyDescent="0.35">
      <c r="F179"/>
      <c r="I179"/>
    </row>
    <row r="180" spans="6:9" x14ac:dyDescent="0.35">
      <c r="F180"/>
      <c r="I180"/>
    </row>
    <row r="181" spans="6:9" x14ac:dyDescent="0.35">
      <c r="F181"/>
      <c r="I181"/>
    </row>
    <row r="182" spans="6:9" x14ac:dyDescent="0.35">
      <c r="F182"/>
      <c r="I182"/>
    </row>
    <row r="183" spans="6:9" x14ac:dyDescent="0.35">
      <c r="F183"/>
      <c r="I183"/>
    </row>
    <row r="184" spans="6:9" x14ac:dyDescent="0.35">
      <c r="F184"/>
      <c r="I184"/>
    </row>
    <row r="185" spans="6:9" x14ac:dyDescent="0.35">
      <c r="F185"/>
      <c r="I185"/>
    </row>
    <row r="186" spans="6:9" x14ac:dyDescent="0.35">
      <c r="F186"/>
      <c r="I186"/>
    </row>
    <row r="187" spans="6:9" x14ac:dyDescent="0.35">
      <c r="F187"/>
      <c r="I187"/>
    </row>
    <row r="188" spans="6:9" x14ac:dyDescent="0.35">
      <c r="F188"/>
      <c r="I188"/>
    </row>
    <row r="189" spans="6:9" x14ac:dyDescent="0.35">
      <c r="F189"/>
      <c r="I189"/>
    </row>
    <row r="190" spans="6:9" x14ac:dyDescent="0.35">
      <c r="F190"/>
      <c r="I190"/>
    </row>
    <row r="191" spans="6:9" x14ac:dyDescent="0.35">
      <c r="F191"/>
      <c r="I191"/>
    </row>
    <row r="192" spans="6:9" x14ac:dyDescent="0.35">
      <c r="F192"/>
      <c r="I192"/>
    </row>
    <row r="193" spans="6:9" x14ac:dyDescent="0.35">
      <c r="F193"/>
      <c r="I193"/>
    </row>
    <row r="194" spans="6:9" x14ac:dyDescent="0.35">
      <c r="F194"/>
      <c r="I194"/>
    </row>
    <row r="195" spans="6:9" x14ac:dyDescent="0.35">
      <c r="F195"/>
      <c r="I195"/>
    </row>
    <row r="196" spans="6:9" x14ac:dyDescent="0.35">
      <c r="F196"/>
      <c r="I196"/>
    </row>
    <row r="197" spans="6:9" x14ac:dyDescent="0.35">
      <c r="F197"/>
      <c r="I197"/>
    </row>
    <row r="198" spans="6:9" x14ac:dyDescent="0.35">
      <c r="F198"/>
      <c r="I198"/>
    </row>
    <row r="199" spans="6:9" x14ac:dyDescent="0.35">
      <c r="F199"/>
      <c r="I199"/>
    </row>
    <row r="200" spans="6:9" x14ac:dyDescent="0.35">
      <c r="F200"/>
      <c r="I200"/>
    </row>
    <row r="201" spans="6:9" x14ac:dyDescent="0.35">
      <c r="F201"/>
      <c r="I201"/>
    </row>
    <row r="202" spans="6:9" x14ac:dyDescent="0.35">
      <c r="F202"/>
      <c r="I202"/>
    </row>
    <row r="203" spans="6:9" x14ac:dyDescent="0.35">
      <c r="F203"/>
      <c r="I203"/>
    </row>
    <row r="204" spans="6:9" x14ac:dyDescent="0.35">
      <c r="F204"/>
      <c r="I204"/>
    </row>
    <row r="205" spans="6:9" x14ac:dyDescent="0.35">
      <c r="F205"/>
      <c r="I205"/>
    </row>
    <row r="206" spans="6:9" x14ac:dyDescent="0.35">
      <c r="F206"/>
      <c r="I206"/>
    </row>
    <row r="207" spans="6:9" x14ac:dyDescent="0.35">
      <c r="F207"/>
      <c r="I207"/>
    </row>
    <row r="208" spans="6:9" x14ac:dyDescent="0.35">
      <c r="F208"/>
      <c r="I208"/>
    </row>
    <row r="209" spans="6:9" x14ac:dyDescent="0.35">
      <c r="F209"/>
      <c r="I209"/>
    </row>
    <row r="210" spans="6:9" x14ac:dyDescent="0.35">
      <c r="F210"/>
      <c r="I210"/>
    </row>
    <row r="211" spans="6:9" x14ac:dyDescent="0.35">
      <c r="F211"/>
      <c r="I211"/>
    </row>
    <row r="212" spans="6:9" x14ac:dyDescent="0.35">
      <c r="F212"/>
      <c r="I212"/>
    </row>
    <row r="213" spans="6:9" x14ac:dyDescent="0.35">
      <c r="F213"/>
      <c r="I213"/>
    </row>
    <row r="214" spans="6:9" x14ac:dyDescent="0.35">
      <c r="F214"/>
      <c r="I214"/>
    </row>
    <row r="215" spans="6:9" x14ac:dyDescent="0.35">
      <c r="F215"/>
      <c r="I215"/>
    </row>
    <row r="216" spans="6:9" x14ac:dyDescent="0.35">
      <c r="F216"/>
      <c r="I216"/>
    </row>
    <row r="217" spans="6:9" x14ac:dyDescent="0.35">
      <c r="F217"/>
      <c r="I217"/>
    </row>
    <row r="218" spans="6:9" x14ac:dyDescent="0.35">
      <c r="F218"/>
      <c r="I218"/>
    </row>
    <row r="219" spans="6:9" x14ac:dyDescent="0.35">
      <c r="F219"/>
      <c r="I219"/>
    </row>
    <row r="220" spans="6:9" x14ac:dyDescent="0.35">
      <c r="F220"/>
      <c r="I220"/>
    </row>
    <row r="221" spans="6:9" x14ac:dyDescent="0.35">
      <c r="F221"/>
      <c r="I221"/>
    </row>
    <row r="222" spans="6:9" x14ac:dyDescent="0.35">
      <c r="F222"/>
      <c r="I222"/>
    </row>
    <row r="223" spans="6:9" x14ac:dyDescent="0.35">
      <c r="F223"/>
      <c r="I223"/>
    </row>
    <row r="224" spans="6:9" x14ac:dyDescent="0.35">
      <c r="F224"/>
      <c r="I224"/>
    </row>
    <row r="225" spans="6:9" x14ac:dyDescent="0.35">
      <c r="F225"/>
      <c r="I225"/>
    </row>
    <row r="226" spans="6:9" x14ac:dyDescent="0.35">
      <c r="F226"/>
      <c r="I226"/>
    </row>
    <row r="227" spans="6:9" x14ac:dyDescent="0.35">
      <c r="F227"/>
      <c r="I227"/>
    </row>
    <row r="228" spans="6:9" x14ac:dyDescent="0.35">
      <c r="F228"/>
      <c r="I228"/>
    </row>
    <row r="229" spans="6:9" x14ac:dyDescent="0.35">
      <c r="F229"/>
      <c r="I229"/>
    </row>
    <row r="230" spans="6:9" x14ac:dyDescent="0.35">
      <c r="F230"/>
      <c r="I230"/>
    </row>
    <row r="231" spans="6:9" x14ac:dyDescent="0.35">
      <c r="F231"/>
      <c r="I231"/>
    </row>
    <row r="232" spans="6:9" x14ac:dyDescent="0.35">
      <c r="F232"/>
      <c r="I232"/>
    </row>
    <row r="233" spans="6:9" x14ac:dyDescent="0.35">
      <c r="F233"/>
      <c r="I233"/>
    </row>
    <row r="234" spans="6:9" x14ac:dyDescent="0.35">
      <c r="F234"/>
      <c r="I234"/>
    </row>
    <row r="235" spans="6:9" x14ac:dyDescent="0.35">
      <c r="F235"/>
      <c r="I235"/>
    </row>
    <row r="236" spans="6:9" x14ac:dyDescent="0.35">
      <c r="F236"/>
      <c r="I236"/>
    </row>
    <row r="237" spans="6:9" x14ac:dyDescent="0.35">
      <c r="F237"/>
      <c r="I237"/>
    </row>
    <row r="238" spans="6:9" x14ac:dyDescent="0.35">
      <c r="F238"/>
      <c r="I238"/>
    </row>
    <row r="239" spans="6:9" x14ac:dyDescent="0.35">
      <c r="F239"/>
      <c r="I239"/>
    </row>
    <row r="240" spans="6:9" x14ac:dyDescent="0.35">
      <c r="F240"/>
      <c r="I240"/>
    </row>
    <row r="241" spans="6:9" x14ac:dyDescent="0.35">
      <c r="F241"/>
      <c r="I241"/>
    </row>
    <row r="242" spans="6:9" x14ac:dyDescent="0.35">
      <c r="F242"/>
      <c r="I242"/>
    </row>
    <row r="243" spans="6:9" x14ac:dyDescent="0.35">
      <c r="F243"/>
      <c r="I243"/>
    </row>
    <row r="244" spans="6:9" x14ac:dyDescent="0.35">
      <c r="F244"/>
      <c r="I244"/>
    </row>
    <row r="245" spans="6:9" x14ac:dyDescent="0.35">
      <c r="F245"/>
      <c r="I245"/>
    </row>
    <row r="246" spans="6:9" x14ac:dyDescent="0.35">
      <c r="F246"/>
      <c r="I246"/>
    </row>
    <row r="247" spans="6:9" x14ac:dyDescent="0.35">
      <c r="F247"/>
      <c r="I247"/>
    </row>
    <row r="248" spans="6:9" x14ac:dyDescent="0.35">
      <c r="F248"/>
      <c r="I248"/>
    </row>
    <row r="249" spans="6:9" x14ac:dyDescent="0.35">
      <c r="F249"/>
      <c r="I249"/>
    </row>
    <row r="250" spans="6:9" x14ac:dyDescent="0.35">
      <c r="F250"/>
      <c r="I250"/>
    </row>
    <row r="251" spans="6:9" x14ac:dyDescent="0.35">
      <c r="F251"/>
      <c r="I251"/>
    </row>
    <row r="252" spans="6:9" x14ac:dyDescent="0.35">
      <c r="F252"/>
      <c r="I252"/>
    </row>
    <row r="253" spans="6:9" x14ac:dyDescent="0.35">
      <c r="F253"/>
      <c r="I253"/>
    </row>
    <row r="254" spans="6:9" x14ac:dyDescent="0.35">
      <c r="F254"/>
      <c r="I254"/>
    </row>
    <row r="255" spans="6:9" x14ac:dyDescent="0.35">
      <c r="F255"/>
      <c r="I255"/>
    </row>
    <row r="256" spans="6:9" x14ac:dyDescent="0.35">
      <c r="F256"/>
      <c r="I256"/>
    </row>
    <row r="257" spans="6:9" x14ac:dyDescent="0.35">
      <c r="F257"/>
      <c r="I257"/>
    </row>
    <row r="258" spans="6:9" x14ac:dyDescent="0.35">
      <c r="F258"/>
      <c r="I258"/>
    </row>
    <row r="259" spans="6:9" x14ac:dyDescent="0.35">
      <c r="F259"/>
      <c r="I259"/>
    </row>
    <row r="260" spans="6:9" x14ac:dyDescent="0.35">
      <c r="F260"/>
      <c r="I260"/>
    </row>
    <row r="261" spans="6:9" x14ac:dyDescent="0.35">
      <c r="F261"/>
      <c r="I261"/>
    </row>
    <row r="262" spans="6:9" x14ac:dyDescent="0.35">
      <c r="F262"/>
      <c r="I262"/>
    </row>
    <row r="263" spans="6:9" x14ac:dyDescent="0.35">
      <c r="F263"/>
      <c r="I263"/>
    </row>
    <row r="264" spans="6:9" x14ac:dyDescent="0.35">
      <c r="F264"/>
      <c r="I264"/>
    </row>
    <row r="265" spans="6:9" x14ac:dyDescent="0.35">
      <c r="F265"/>
      <c r="I265"/>
    </row>
    <row r="266" spans="6:9" x14ac:dyDescent="0.35">
      <c r="F266"/>
      <c r="I266"/>
    </row>
    <row r="267" spans="6:9" x14ac:dyDescent="0.35">
      <c r="F267"/>
      <c r="I267"/>
    </row>
    <row r="268" spans="6:9" x14ac:dyDescent="0.35">
      <c r="F268"/>
      <c r="I268"/>
    </row>
    <row r="269" spans="6:9" x14ac:dyDescent="0.35">
      <c r="F269"/>
      <c r="I269"/>
    </row>
    <row r="270" spans="6:9" x14ac:dyDescent="0.35">
      <c r="F270"/>
      <c r="I270"/>
    </row>
    <row r="271" spans="6:9" x14ac:dyDescent="0.35">
      <c r="F271"/>
      <c r="I271"/>
    </row>
    <row r="272" spans="6:9" x14ac:dyDescent="0.35">
      <c r="F272"/>
      <c r="I272"/>
    </row>
    <row r="273" spans="6:9" x14ac:dyDescent="0.35">
      <c r="F273"/>
      <c r="I273"/>
    </row>
    <row r="274" spans="6:9" x14ac:dyDescent="0.35">
      <c r="F274"/>
      <c r="I274"/>
    </row>
    <row r="275" spans="6:9" x14ac:dyDescent="0.35">
      <c r="F275"/>
      <c r="I275"/>
    </row>
    <row r="276" spans="6:9" x14ac:dyDescent="0.35">
      <c r="F276"/>
      <c r="I276"/>
    </row>
    <row r="277" spans="6:9" x14ac:dyDescent="0.35">
      <c r="F277"/>
      <c r="I277"/>
    </row>
    <row r="278" spans="6:9" x14ac:dyDescent="0.35">
      <c r="F278"/>
      <c r="I278"/>
    </row>
    <row r="279" spans="6:9" x14ac:dyDescent="0.35">
      <c r="F279"/>
      <c r="I279"/>
    </row>
    <row r="280" spans="6:9" x14ac:dyDescent="0.35">
      <c r="F280"/>
      <c r="I280"/>
    </row>
    <row r="281" spans="6:9" x14ac:dyDescent="0.35">
      <c r="F281"/>
      <c r="I281"/>
    </row>
    <row r="282" spans="6:9" x14ac:dyDescent="0.35">
      <c r="F282"/>
      <c r="I282"/>
    </row>
    <row r="283" spans="6:9" x14ac:dyDescent="0.35">
      <c r="F283"/>
      <c r="I283"/>
    </row>
    <row r="284" spans="6:9" x14ac:dyDescent="0.35">
      <c r="F284"/>
      <c r="I284"/>
    </row>
    <row r="285" spans="6:9" x14ac:dyDescent="0.35">
      <c r="F285"/>
      <c r="I285"/>
    </row>
    <row r="286" spans="6:9" x14ac:dyDescent="0.35">
      <c r="F286"/>
      <c r="I286"/>
    </row>
    <row r="287" spans="6:9" x14ac:dyDescent="0.35">
      <c r="F287"/>
      <c r="I287"/>
    </row>
    <row r="288" spans="6:9" x14ac:dyDescent="0.35">
      <c r="F288"/>
      <c r="I288"/>
    </row>
    <row r="289" spans="6:9" x14ac:dyDescent="0.35">
      <c r="F289"/>
      <c r="I289"/>
    </row>
    <row r="290" spans="6:9" x14ac:dyDescent="0.35">
      <c r="F290"/>
      <c r="I290"/>
    </row>
    <row r="291" spans="6:9" x14ac:dyDescent="0.35">
      <c r="F291"/>
      <c r="I291"/>
    </row>
    <row r="292" spans="6:9" x14ac:dyDescent="0.35">
      <c r="F292"/>
      <c r="I292"/>
    </row>
    <row r="293" spans="6:9" x14ac:dyDescent="0.35">
      <c r="F293"/>
      <c r="I293"/>
    </row>
    <row r="294" spans="6:9" x14ac:dyDescent="0.35">
      <c r="F294"/>
      <c r="I294"/>
    </row>
    <row r="295" spans="6:9" x14ac:dyDescent="0.35">
      <c r="F295"/>
      <c r="I295"/>
    </row>
    <row r="296" spans="6:9" x14ac:dyDescent="0.35">
      <c r="F296"/>
      <c r="I296"/>
    </row>
    <row r="297" spans="6:9" x14ac:dyDescent="0.35">
      <c r="F297"/>
      <c r="I297"/>
    </row>
    <row r="298" spans="6:9" x14ac:dyDescent="0.35">
      <c r="F298"/>
      <c r="I298"/>
    </row>
    <row r="299" spans="6:9" x14ac:dyDescent="0.35">
      <c r="F299"/>
      <c r="I299"/>
    </row>
    <row r="300" spans="6:9" x14ac:dyDescent="0.35">
      <c r="F300"/>
      <c r="I300"/>
    </row>
    <row r="301" spans="6:9" x14ac:dyDescent="0.35">
      <c r="F301"/>
      <c r="I301"/>
    </row>
    <row r="302" spans="6:9" x14ac:dyDescent="0.35">
      <c r="F302"/>
      <c r="I302"/>
    </row>
    <row r="303" spans="6:9" x14ac:dyDescent="0.35">
      <c r="F303"/>
      <c r="I303"/>
    </row>
    <row r="304" spans="6:9" x14ac:dyDescent="0.35">
      <c r="F304"/>
      <c r="I304"/>
    </row>
    <row r="305" spans="6:9" x14ac:dyDescent="0.35">
      <c r="F305"/>
      <c r="I305"/>
    </row>
    <row r="306" spans="6:9" x14ac:dyDescent="0.35">
      <c r="F306"/>
      <c r="I306"/>
    </row>
    <row r="307" spans="6:9" x14ac:dyDescent="0.35">
      <c r="F307"/>
      <c r="I307"/>
    </row>
    <row r="308" spans="6:9" x14ac:dyDescent="0.35">
      <c r="F308"/>
      <c r="I308"/>
    </row>
    <row r="309" spans="6:9" x14ac:dyDescent="0.35">
      <c r="F309"/>
      <c r="I309"/>
    </row>
    <row r="310" spans="6:9" x14ac:dyDescent="0.35">
      <c r="F310"/>
      <c r="I310"/>
    </row>
    <row r="311" spans="6:9" x14ac:dyDescent="0.35">
      <c r="F311"/>
      <c r="I311"/>
    </row>
    <row r="312" spans="6:9" x14ac:dyDescent="0.35">
      <c r="F312"/>
      <c r="I312"/>
    </row>
    <row r="313" spans="6:9" x14ac:dyDescent="0.35">
      <c r="F313"/>
      <c r="I313"/>
    </row>
    <row r="314" spans="6:9" x14ac:dyDescent="0.35">
      <c r="F314"/>
      <c r="I314"/>
    </row>
    <row r="315" spans="6:9" x14ac:dyDescent="0.35">
      <c r="F315"/>
      <c r="I315"/>
    </row>
    <row r="316" spans="6:9" x14ac:dyDescent="0.35">
      <c r="F316"/>
      <c r="I316"/>
    </row>
    <row r="317" spans="6:9" x14ac:dyDescent="0.35">
      <c r="F317"/>
      <c r="I317"/>
    </row>
    <row r="318" spans="6:9" x14ac:dyDescent="0.35">
      <c r="F318"/>
      <c r="I318"/>
    </row>
    <row r="319" spans="6:9" x14ac:dyDescent="0.35">
      <c r="F319"/>
      <c r="I319"/>
    </row>
    <row r="320" spans="6:9" x14ac:dyDescent="0.35">
      <c r="F320"/>
      <c r="I320"/>
    </row>
    <row r="321" spans="6:9" x14ac:dyDescent="0.35">
      <c r="F321"/>
      <c r="I321"/>
    </row>
    <row r="322" spans="6:9" x14ac:dyDescent="0.35">
      <c r="F322"/>
      <c r="I322"/>
    </row>
    <row r="323" spans="6:9" x14ac:dyDescent="0.35">
      <c r="F323"/>
      <c r="I323"/>
    </row>
    <row r="324" spans="6:9" x14ac:dyDescent="0.35">
      <c r="F324"/>
      <c r="I324"/>
    </row>
    <row r="325" spans="6:9" x14ac:dyDescent="0.35">
      <c r="F325"/>
      <c r="I325"/>
    </row>
    <row r="326" spans="6:9" x14ac:dyDescent="0.35">
      <c r="F326"/>
      <c r="I326"/>
    </row>
    <row r="327" spans="6:9" x14ac:dyDescent="0.35">
      <c r="F327"/>
      <c r="I327"/>
    </row>
    <row r="328" spans="6:9" x14ac:dyDescent="0.35">
      <c r="F328"/>
      <c r="I328"/>
    </row>
    <row r="329" spans="6:9" x14ac:dyDescent="0.35">
      <c r="F329"/>
      <c r="I329"/>
    </row>
    <row r="330" spans="6:9" x14ac:dyDescent="0.35">
      <c r="F330"/>
      <c r="I330"/>
    </row>
    <row r="331" spans="6:9" x14ac:dyDescent="0.35">
      <c r="F331"/>
      <c r="I331"/>
    </row>
    <row r="332" spans="6:9" x14ac:dyDescent="0.35">
      <c r="F332"/>
      <c r="I332"/>
    </row>
    <row r="333" spans="6:9" x14ac:dyDescent="0.35">
      <c r="F333"/>
      <c r="I333"/>
    </row>
    <row r="334" spans="6:9" x14ac:dyDescent="0.35">
      <c r="F334"/>
      <c r="I334"/>
    </row>
    <row r="335" spans="6:9" x14ac:dyDescent="0.35">
      <c r="F335"/>
      <c r="I335"/>
    </row>
    <row r="336" spans="6:9" x14ac:dyDescent="0.35">
      <c r="F336"/>
      <c r="I336"/>
    </row>
    <row r="337" spans="6:9" x14ac:dyDescent="0.35">
      <c r="F337"/>
      <c r="I337"/>
    </row>
    <row r="338" spans="6:9" x14ac:dyDescent="0.35">
      <c r="F338"/>
      <c r="I338"/>
    </row>
    <row r="339" spans="6:9" x14ac:dyDescent="0.35">
      <c r="F339"/>
      <c r="I339"/>
    </row>
    <row r="340" spans="6:9" x14ac:dyDescent="0.35">
      <c r="F340"/>
      <c r="I340"/>
    </row>
    <row r="341" spans="6:9" x14ac:dyDescent="0.35">
      <c r="F341"/>
      <c r="I341"/>
    </row>
    <row r="342" spans="6:9" x14ac:dyDescent="0.35">
      <c r="F342"/>
      <c r="I342"/>
    </row>
    <row r="343" spans="6:9" x14ac:dyDescent="0.35">
      <c r="F343"/>
      <c r="I343"/>
    </row>
    <row r="344" spans="6:9" x14ac:dyDescent="0.35">
      <c r="F344"/>
      <c r="I344"/>
    </row>
    <row r="345" spans="6:9" x14ac:dyDescent="0.35">
      <c r="F345"/>
      <c r="I345"/>
    </row>
    <row r="346" spans="6:9" x14ac:dyDescent="0.35">
      <c r="F346"/>
      <c r="I346"/>
    </row>
    <row r="347" spans="6:9" x14ac:dyDescent="0.35">
      <c r="F347"/>
      <c r="I347"/>
    </row>
    <row r="348" spans="6:9" x14ac:dyDescent="0.35">
      <c r="F348"/>
      <c r="I348"/>
    </row>
    <row r="349" spans="6:9" x14ac:dyDescent="0.35">
      <c r="F349"/>
      <c r="I349"/>
    </row>
    <row r="350" spans="6:9" x14ac:dyDescent="0.35">
      <c r="F350"/>
      <c r="I350"/>
    </row>
    <row r="351" spans="6:9" x14ac:dyDescent="0.35">
      <c r="F351"/>
      <c r="I351"/>
    </row>
    <row r="352" spans="6:9" x14ac:dyDescent="0.35">
      <c r="F352"/>
      <c r="I352"/>
    </row>
    <row r="353" spans="6:9" x14ac:dyDescent="0.35">
      <c r="F353"/>
      <c r="I353"/>
    </row>
    <row r="354" spans="6:9" x14ac:dyDescent="0.35">
      <c r="F354"/>
      <c r="I354"/>
    </row>
    <row r="355" spans="6:9" x14ac:dyDescent="0.35">
      <c r="F355"/>
      <c r="I355"/>
    </row>
    <row r="356" spans="6:9" x14ac:dyDescent="0.35">
      <c r="F356"/>
      <c r="I356"/>
    </row>
    <row r="357" spans="6:9" x14ac:dyDescent="0.35">
      <c r="F357"/>
      <c r="I357"/>
    </row>
    <row r="358" spans="6:9" x14ac:dyDescent="0.35">
      <c r="F358"/>
      <c r="I358"/>
    </row>
    <row r="359" spans="6:9" x14ac:dyDescent="0.35">
      <c r="F359"/>
      <c r="I359"/>
    </row>
    <row r="360" spans="6:9" x14ac:dyDescent="0.35">
      <c r="F360"/>
      <c r="I360"/>
    </row>
    <row r="361" spans="6:9" x14ac:dyDescent="0.35">
      <c r="F361"/>
      <c r="I361"/>
    </row>
    <row r="362" spans="6:9" x14ac:dyDescent="0.35">
      <c r="F362"/>
      <c r="I362"/>
    </row>
    <row r="363" spans="6:9" x14ac:dyDescent="0.35">
      <c r="F363"/>
      <c r="I363"/>
    </row>
    <row r="364" spans="6:9" x14ac:dyDescent="0.35">
      <c r="F364"/>
      <c r="I364"/>
    </row>
    <row r="365" spans="6:9" x14ac:dyDescent="0.35">
      <c r="F365"/>
      <c r="I365"/>
    </row>
    <row r="366" spans="6:9" x14ac:dyDescent="0.35">
      <c r="F366"/>
      <c r="I366"/>
    </row>
    <row r="367" spans="6:9" x14ac:dyDescent="0.35">
      <c r="F367"/>
      <c r="I367"/>
    </row>
    <row r="368" spans="6:9" x14ac:dyDescent="0.35">
      <c r="F368"/>
      <c r="I368"/>
    </row>
    <row r="369" spans="6:9" x14ac:dyDescent="0.35">
      <c r="F369"/>
      <c r="I369"/>
    </row>
    <row r="370" spans="6:9" x14ac:dyDescent="0.35">
      <c r="F370"/>
      <c r="I370"/>
    </row>
    <row r="371" spans="6:9" x14ac:dyDescent="0.35">
      <c r="F371"/>
      <c r="I371"/>
    </row>
    <row r="372" spans="6:9" x14ac:dyDescent="0.35">
      <c r="F372"/>
      <c r="I372"/>
    </row>
    <row r="373" spans="6:9" x14ac:dyDescent="0.35">
      <c r="F373"/>
      <c r="I373"/>
    </row>
    <row r="374" spans="6:9" x14ac:dyDescent="0.35">
      <c r="F374"/>
      <c r="I374"/>
    </row>
    <row r="375" spans="6:9" x14ac:dyDescent="0.35">
      <c r="F375"/>
      <c r="I375"/>
    </row>
    <row r="376" spans="6:9" x14ac:dyDescent="0.35">
      <c r="F376"/>
      <c r="I376"/>
    </row>
    <row r="377" spans="6:9" x14ac:dyDescent="0.35">
      <c r="F377"/>
      <c r="I377"/>
    </row>
    <row r="378" spans="6:9" x14ac:dyDescent="0.35">
      <c r="F378"/>
      <c r="I378"/>
    </row>
    <row r="379" spans="6:9" x14ac:dyDescent="0.35">
      <c r="F379"/>
      <c r="I379"/>
    </row>
    <row r="380" spans="6:9" x14ac:dyDescent="0.35">
      <c r="F380"/>
      <c r="I380"/>
    </row>
    <row r="381" spans="6:9" x14ac:dyDescent="0.35">
      <c r="F381"/>
      <c r="I381"/>
    </row>
    <row r="382" spans="6:9" x14ac:dyDescent="0.35">
      <c r="F382"/>
      <c r="I382"/>
    </row>
    <row r="383" spans="6:9" x14ac:dyDescent="0.35">
      <c r="F383"/>
      <c r="I383"/>
    </row>
    <row r="384" spans="6:9" x14ac:dyDescent="0.35">
      <c r="F384"/>
      <c r="I384"/>
    </row>
    <row r="385" spans="6:9" x14ac:dyDescent="0.35">
      <c r="F385"/>
      <c r="I385"/>
    </row>
    <row r="386" spans="6:9" x14ac:dyDescent="0.35">
      <c r="F386"/>
      <c r="I386"/>
    </row>
    <row r="387" spans="6:9" x14ac:dyDescent="0.35">
      <c r="F387"/>
      <c r="I387"/>
    </row>
    <row r="388" spans="6:9" x14ac:dyDescent="0.35">
      <c r="F388"/>
      <c r="I388"/>
    </row>
    <row r="389" spans="6:9" x14ac:dyDescent="0.35">
      <c r="F389"/>
      <c r="I389"/>
    </row>
    <row r="390" spans="6:9" x14ac:dyDescent="0.35">
      <c r="F390"/>
      <c r="I390"/>
    </row>
    <row r="391" spans="6:9" x14ac:dyDescent="0.35">
      <c r="F391"/>
      <c r="I391"/>
    </row>
    <row r="392" spans="6:9" x14ac:dyDescent="0.35">
      <c r="F392"/>
      <c r="I392"/>
    </row>
    <row r="393" spans="6:9" x14ac:dyDescent="0.35">
      <c r="F393"/>
      <c r="I393"/>
    </row>
    <row r="394" spans="6:9" x14ac:dyDescent="0.35">
      <c r="F394"/>
      <c r="I394"/>
    </row>
    <row r="395" spans="6:9" x14ac:dyDescent="0.35">
      <c r="F395"/>
      <c r="I395"/>
    </row>
    <row r="396" spans="6:9" x14ac:dyDescent="0.35">
      <c r="F396"/>
      <c r="I396"/>
    </row>
    <row r="397" spans="6:9" x14ac:dyDescent="0.35">
      <c r="F397"/>
      <c r="I397"/>
    </row>
    <row r="398" spans="6:9" x14ac:dyDescent="0.35">
      <c r="F398"/>
      <c r="I398"/>
    </row>
    <row r="399" spans="6:9" x14ac:dyDescent="0.35">
      <c r="F399"/>
      <c r="I399"/>
    </row>
    <row r="400" spans="6:9" x14ac:dyDescent="0.35">
      <c r="F400"/>
      <c r="I400"/>
    </row>
    <row r="401" spans="6:9" x14ac:dyDescent="0.35">
      <c r="F401"/>
      <c r="I401"/>
    </row>
    <row r="402" spans="6:9" x14ac:dyDescent="0.35">
      <c r="F402"/>
      <c r="I402"/>
    </row>
    <row r="403" spans="6:9" x14ac:dyDescent="0.35">
      <c r="F403"/>
      <c r="I403"/>
    </row>
    <row r="404" spans="6:9" x14ac:dyDescent="0.35">
      <c r="F404"/>
      <c r="I404"/>
    </row>
    <row r="405" spans="6:9" x14ac:dyDescent="0.35">
      <c r="F405"/>
      <c r="I405"/>
    </row>
    <row r="406" spans="6:9" x14ac:dyDescent="0.35">
      <c r="F406"/>
      <c r="I406"/>
    </row>
    <row r="407" spans="6:9" x14ac:dyDescent="0.35">
      <c r="F407"/>
      <c r="I407"/>
    </row>
    <row r="408" spans="6:9" x14ac:dyDescent="0.35">
      <c r="F408"/>
      <c r="I408"/>
    </row>
    <row r="409" spans="6:9" x14ac:dyDescent="0.35">
      <c r="F409"/>
      <c r="I409"/>
    </row>
    <row r="410" spans="6:9" x14ac:dyDescent="0.35">
      <c r="F410"/>
      <c r="I410"/>
    </row>
    <row r="411" spans="6:9" x14ac:dyDescent="0.35">
      <c r="F411"/>
      <c r="I411"/>
    </row>
    <row r="412" spans="6:9" x14ac:dyDescent="0.35">
      <c r="F412"/>
      <c r="I412"/>
    </row>
    <row r="413" spans="6:9" x14ac:dyDescent="0.35">
      <c r="F413"/>
      <c r="I413"/>
    </row>
    <row r="414" spans="6:9" x14ac:dyDescent="0.35">
      <c r="F414"/>
      <c r="I414"/>
    </row>
    <row r="415" spans="6:9" x14ac:dyDescent="0.35">
      <c r="F415"/>
      <c r="I415"/>
    </row>
    <row r="416" spans="6:9" x14ac:dyDescent="0.35">
      <c r="F416"/>
      <c r="I416"/>
    </row>
    <row r="417" spans="6:9" x14ac:dyDescent="0.35">
      <c r="F417"/>
      <c r="I417"/>
    </row>
    <row r="418" spans="6:9" x14ac:dyDescent="0.35">
      <c r="F418"/>
      <c r="I418"/>
    </row>
    <row r="419" spans="6:9" x14ac:dyDescent="0.35">
      <c r="F419"/>
      <c r="I419"/>
    </row>
    <row r="420" spans="6:9" x14ac:dyDescent="0.35">
      <c r="F420"/>
      <c r="I420"/>
    </row>
    <row r="421" spans="6:9" x14ac:dyDescent="0.35">
      <c r="F421"/>
      <c r="I421"/>
    </row>
    <row r="422" spans="6:9" x14ac:dyDescent="0.35">
      <c r="F422"/>
      <c r="I422"/>
    </row>
    <row r="423" spans="6:9" x14ac:dyDescent="0.35">
      <c r="F423"/>
      <c r="I423"/>
    </row>
    <row r="424" spans="6:9" x14ac:dyDescent="0.35">
      <c r="F424"/>
      <c r="I424"/>
    </row>
    <row r="425" spans="6:9" x14ac:dyDescent="0.35">
      <c r="F425"/>
      <c r="I425"/>
    </row>
    <row r="426" spans="6:9" x14ac:dyDescent="0.35">
      <c r="F426"/>
      <c r="I426"/>
    </row>
    <row r="427" spans="6:9" x14ac:dyDescent="0.35">
      <c r="F427"/>
      <c r="I427"/>
    </row>
    <row r="428" spans="6:9" x14ac:dyDescent="0.35">
      <c r="F428"/>
      <c r="I428"/>
    </row>
    <row r="429" spans="6:9" x14ac:dyDescent="0.35">
      <c r="F429"/>
      <c r="I429"/>
    </row>
    <row r="430" spans="6:9" x14ac:dyDescent="0.35">
      <c r="F430"/>
      <c r="I430"/>
    </row>
    <row r="431" spans="6:9" x14ac:dyDescent="0.35">
      <c r="F431"/>
      <c r="I431"/>
    </row>
    <row r="432" spans="6:9" x14ac:dyDescent="0.35">
      <c r="F432"/>
      <c r="I432"/>
    </row>
    <row r="433" spans="6:9" x14ac:dyDescent="0.35">
      <c r="F433"/>
      <c r="I433"/>
    </row>
    <row r="434" spans="6:9" x14ac:dyDescent="0.35">
      <c r="F434"/>
      <c r="I434"/>
    </row>
    <row r="435" spans="6:9" x14ac:dyDescent="0.35">
      <c r="F435"/>
      <c r="I435"/>
    </row>
    <row r="436" spans="6:9" x14ac:dyDescent="0.35">
      <c r="F436"/>
      <c r="I436"/>
    </row>
    <row r="437" spans="6:9" x14ac:dyDescent="0.35">
      <c r="F437"/>
      <c r="I437"/>
    </row>
    <row r="438" spans="6:9" x14ac:dyDescent="0.35">
      <c r="F438"/>
      <c r="I438"/>
    </row>
    <row r="439" spans="6:9" x14ac:dyDescent="0.35">
      <c r="F439"/>
      <c r="I439"/>
    </row>
    <row r="440" spans="6:9" x14ac:dyDescent="0.35">
      <c r="F440"/>
      <c r="I440"/>
    </row>
    <row r="441" spans="6:9" x14ac:dyDescent="0.35">
      <c r="F441"/>
      <c r="I441"/>
    </row>
    <row r="442" spans="6:9" x14ac:dyDescent="0.35">
      <c r="F442"/>
      <c r="I442"/>
    </row>
    <row r="443" spans="6:9" x14ac:dyDescent="0.35">
      <c r="F443"/>
      <c r="I443"/>
    </row>
    <row r="444" spans="6:9" x14ac:dyDescent="0.35">
      <c r="F444"/>
      <c r="I444"/>
    </row>
    <row r="445" spans="6:9" x14ac:dyDescent="0.35">
      <c r="F445"/>
      <c r="I445"/>
    </row>
    <row r="446" spans="6:9" x14ac:dyDescent="0.35">
      <c r="F446"/>
      <c r="I446"/>
    </row>
    <row r="447" spans="6:9" x14ac:dyDescent="0.35">
      <c r="F447"/>
      <c r="I447"/>
    </row>
    <row r="448" spans="6:9" x14ac:dyDescent="0.35">
      <c r="F448"/>
      <c r="I448"/>
    </row>
    <row r="449" spans="6:9" x14ac:dyDescent="0.35">
      <c r="F449"/>
      <c r="I449"/>
    </row>
    <row r="450" spans="6:9" x14ac:dyDescent="0.35">
      <c r="F450"/>
      <c r="I450"/>
    </row>
    <row r="451" spans="6:9" x14ac:dyDescent="0.35">
      <c r="F451"/>
      <c r="I451"/>
    </row>
    <row r="452" spans="6:9" x14ac:dyDescent="0.35">
      <c r="F452"/>
      <c r="I452"/>
    </row>
    <row r="453" spans="6:9" x14ac:dyDescent="0.35">
      <c r="F453"/>
      <c r="I453"/>
    </row>
    <row r="454" spans="6:9" x14ac:dyDescent="0.35">
      <c r="F454"/>
      <c r="I454"/>
    </row>
    <row r="455" spans="6:9" x14ac:dyDescent="0.35">
      <c r="F455"/>
      <c r="I455"/>
    </row>
    <row r="456" spans="6:9" x14ac:dyDescent="0.35">
      <c r="F456"/>
      <c r="I456"/>
    </row>
    <row r="457" spans="6:9" x14ac:dyDescent="0.35">
      <c r="F457"/>
      <c r="I457"/>
    </row>
    <row r="458" spans="6:9" x14ac:dyDescent="0.35">
      <c r="F458"/>
      <c r="I458"/>
    </row>
    <row r="459" spans="6:9" x14ac:dyDescent="0.35">
      <c r="F459"/>
      <c r="I459"/>
    </row>
    <row r="460" spans="6:9" x14ac:dyDescent="0.35">
      <c r="F460"/>
      <c r="I460"/>
    </row>
    <row r="461" spans="6:9" x14ac:dyDescent="0.35">
      <c r="F461"/>
      <c r="I461"/>
    </row>
    <row r="462" spans="6:9" x14ac:dyDescent="0.35">
      <c r="F462"/>
      <c r="I462"/>
    </row>
    <row r="463" spans="6:9" x14ac:dyDescent="0.35">
      <c r="F463"/>
      <c r="I463"/>
    </row>
    <row r="464" spans="6:9" x14ac:dyDescent="0.35">
      <c r="F464"/>
      <c r="I464"/>
    </row>
    <row r="465" spans="6:9" x14ac:dyDescent="0.35">
      <c r="F465"/>
      <c r="I465"/>
    </row>
    <row r="466" spans="6:9" x14ac:dyDescent="0.35">
      <c r="F466"/>
      <c r="I466"/>
    </row>
    <row r="467" spans="6:9" x14ac:dyDescent="0.35">
      <c r="F467"/>
      <c r="I467"/>
    </row>
    <row r="468" spans="6:9" x14ac:dyDescent="0.35">
      <c r="F468"/>
      <c r="I468"/>
    </row>
    <row r="469" spans="6:9" x14ac:dyDescent="0.35">
      <c r="F469"/>
      <c r="I469"/>
    </row>
    <row r="470" spans="6:9" x14ac:dyDescent="0.35">
      <c r="F470"/>
      <c r="I470"/>
    </row>
    <row r="471" spans="6:9" x14ac:dyDescent="0.35">
      <c r="F471"/>
      <c r="I471"/>
    </row>
    <row r="472" spans="6:9" x14ac:dyDescent="0.35">
      <c r="F472"/>
      <c r="I472"/>
    </row>
    <row r="473" spans="6:9" x14ac:dyDescent="0.35">
      <c r="F473"/>
      <c r="I473"/>
    </row>
    <row r="474" spans="6:9" x14ac:dyDescent="0.35">
      <c r="F474"/>
      <c r="I474"/>
    </row>
    <row r="475" spans="6:9" x14ac:dyDescent="0.35">
      <c r="F475"/>
      <c r="I475"/>
    </row>
    <row r="476" spans="6:9" x14ac:dyDescent="0.35">
      <c r="F476"/>
      <c r="I476"/>
    </row>
    <row r="477" spans="6:9" x14ac:dyDescent="0.35">
      <c r="F477"/>
      <c r="I477"/>
    </row>
    <row r="478" spans="6:9" x14ac:dyDescent="0.35">
      <c r="F478"/>
      <c r="I478"/>
    </row>
    <row r="479" spans="6:9" x14ac:dyDescent="0.35">
      <c r="F479"/>
      <c r="I479"/>
    </row>
    <row r="480" spans="6:9" x14ac:dyDescent="0.35">
      <c r="F480"/>
      <c r="I480"/>
    </row>
    <row r="481" spans="6:9" x14ac:dyDescent="0.35">
      <c r="F481"/>
      <c r="I481"/>
    </row>
    <row r="482" spans="6:9" x14ac:dyDescent="0.35">
      <c r="F482"/>
      <c r="I482"/>
    </row>
    <row r="483" spans="6:9" x14ac:dyDescent="0.35">
      <c r="F483"/>
      <c r="I483"/>
    </row>
    <row r="484" spans="6:9" x14ac:dyDescent="0.35">
      <c r="F484"/>
      <c r="I484"/>
    </row>
    <row r="485" spans="6:9" x14ac:dyDescent="0.35">
      <c r="F485"/>
      <c r="I485"/>
    </row>
    <row r="486" spans="6:9" x14ac:dyDescent="0.35">
      <c r="F486"/>
      <c r="I486"/>
    </row>
    <row r="487" spans="6:9" x14ac:dyDescent="0.35">
      <c r="F487"/>
      <c r="I487"/>
    </row>
    <row r="488" spans="6:9" x14ac:dyDescent="0.35">
      <c r="F488"/>
      <c r="I488"/>
    </row>
    <row r="489" spans="6:9" x14ac:dyDescent="0.35">
      <c r="F489"/>
      <c r="I489"/>
    </row>
    <row r="490" spans="6:9" x14ac:dyDescent="0.35">
      <c r="F490"/>
      <c r="I490"/>
    </row>
    <row r="491" spans="6:9" x14ac:dyDescent="0.35">
      <c r="F491"/>
      <c r="I491"/>
    </row>
    <row r="492" spans="6:9" x14ac:dyDescent="0.35">
      <c r="F492"/>
      <c r="I492"/>
    </row>
    <row r="493" spans="6:9" x14ac:dyDescent="0.35">
      <c r="F493"/>
      <c r="I493"/>
    </row>
    <row r="494" spans="6:9" x14ac:dyDescent="0.35">
      <c r="F494"/>
      <c r="I494"/>
    </row>
    <row r="495" spans="6:9" x14ac:dyDescent="0.35">
      <c r="F495"/>
      <c r="I495"/>
    </row>
    <row r="496" spans="6:9" x14ac:dyDescent="0.35">
      <c r="F496"/>
      <c r="I496"/>
    </row>
    <row r="497" spans="6:9" x14ac:dyDescent="0.35">
      <c r="F497"/>
      <c r="I497"/>
    </row>
    <row r="498" spans="6:9" x14ac:dyDescent="0.35">
      <c r="F498"/>
      <c r="I498"/>
    </row>
    <row r="499" spans="6:9" x14ac:dyDescent="0.35">
      <c r="F499"/>
      <c r="I499"/>
    </row>
    <row r="500" spans="6:9" x14ac:dyDescent="0.35">
      <c r="F500"/>
      <c r="I500"/>
    </row>
    <row r="501" spans="6:9" x14ac:dyDescent="0.35">
      <c r="F501"/>
      <c r="I501"/>
    </row>
    <row r="502" spans="6:9" x14ac:dyDescent="0.35">
      <c r="F502"/>
      <c r="I502"/>
    </row>
    <row r="503" spans="6:9" x14ac:dyDescent="0.35">
      <c r="F503"/>
      <c r="I503"/>
    </row>
    <row r="504" spans="6:9" x14ac:dyDescent="0.35">
      <c r="F504"/>
      <c r="I504"/>
    </row>
    <row r="505" spans="6:9" x14ac:dyDescent="0.35">
      <c r="F505"/>
      <c r="I505"/>
    </row>
    <row r="506" spans="6:9" x14ac:dyDescent="0.35">
      <c r="F506"/>
      <c r="I506"/>
    </row>
    <row r="507" spans="6:9" x14ac:dyDescent="0.35">
      <c r="F507"/>
      <c r="I507"/>
    </row>
    <row r="508" spans="6:9" x14ac:dyDescent="0.35">
      <c r="F508"/>
      <c r="I508"/>
    </row>
    <row r="509" spans="6:9" x14ac:dyDescent="0.35">
      <c r="F509"/>
      <c r="I509"/>
    </row>
    <row r="510" spans="6:9" x14ac:dyDescent="0.35">
      <c r="F510"/>
      <c r="I510"/>
    </row>
    <row r="511" spans="6:9" x14ac:dyDescent="0.35">
      <c r="F511"/>
      <c r="I511"/>
    </row>
    <row r="512" spans="6:9" x14ac:dyDescent="0.35">
      <c r="F512"/>
      <c r="I512"/>
    </row>
    <row r="513" spans="6:9" x14ac:dyDescent="0.35">
      <c r="F513"/>
      <c r="I513"/>
    </row>
    <row r="514" spans="6:9" x14ac:dyDescent="0.35">
      <c r="F514"/>
      <c r="I514"/>
    </row>
    <row r="515" spans="6:9" x14ac:dyDescent="0.35">
      <c r="F515"/>
      <c r="I515"/>
    </row>
    <row r="516" spans="6:9" x14ac:dyDescent="0.35">
      <c r="F516"/>
      <c r="I516"/>
    </row>
    <row r="517" spans="6:9" x14ac:dyDescent="0.35">
      <c r="F517"/>
      <c r="I517"/>
    </row>
    <row r="518" spans="6:9" x14ac:dyDescent="0.35">
      <c r="F518"/>
      <c r="I518"/>
    </row>
    <row r="519" spans="6:9" x14ac:dyDescent="0.35">
      <c r="F519"/>
      <c r="I519"/>
    </row>
    <row r="520" spans="6:9" x14ac:dyDescent="0.35">
      <c r="F520"/>
      <c r="I520"/>
    </row>
    <row r="521" spans="6:9" x14ac:dyDescent="0.35">
      <c r="F521"/>
      <c r="I521"/>
    </row>
    <row r="522" spans="6:9" x14ac:dyDescent="0.35">
      <c r="F522"/>
      <c r="I522"/>
    </row>
    <row r="523" spans="6:9" x14ac:dyDescent="0.35">
      <c r="F523"/>
      <c r="I523"/>
    </row>
    <row r="524" spans="6:9" x14ac:dyDescent="0.35">
      <c r="F524"/>
      <c r="I524"/>
    </row>
    <row r="525" spans="6:9" x14ac:dyDescent="0.35">
      <c r="F525"/>
      <c r="I525"/>
    </row>
    <row r="526" spans="6:9" x14ac:dyDescent="0.35">
      <c r="F526"/>
      <c r="I526"/>
    </row>
    <row r="527" spans="6:9" x14ac:dyDescent="0.35">
      <c r="F527"/>
      <c r="I527"/>
    </row>
    <row r="528" spans="6:9" x14ac:dyDescent="0.35">
      <c r="F528"/>
      <c r="I528"/>
    </row>
    <row r="529" spans="6:9" x14ac:dyDescent="0.35">
      <c r="F529"/>
      <c r="I529"/>
    </row>
    <row r="530" spans="6:9" x14ac:dyDescent="0.35">
      <c r="F530"/>
      <c r="I530"/>
    </row>
    <row r="531" spans="6:9" x14ac:dyDescent="0.35">
      <c r="F531"/>
      <c r="I531"/>
    </row>
    <row r="532" spans="6:9" x14ac:dyDescent="0.35">
      <c r="F532"/>
      <c r="I532"/>
    </row>
    <row r="533" spans="6:9" x14ac:dyDescent="0.35">
      <c r="F533"/>
      <c r="I533"/>
    </row>
    <row r="534" spans="6:9" x14ac:dyDescent="0.35">
      <c r="F534"/>
      <c r="I534"/>
    </row>
    <row r="535" spans="6:9" x14ac:dyDescent="0.35">
      <c r="F535"/>
      <c r="I535"/>
    </row>
    <row r="536" spans="6:9" x14ac:dyDescent="0.35">
      <c r="F536"/>
      <c r="I536"/>
    </row>
    <row r="537" spans="6:9" x14ac:dyDescent="0.35">
      <c r="F537"/>
      <c r="I537"/>
    </row>
    <row r="538" spans="6:9" x14ac:dyDescent="0.35">
      <c r="F538"/>
      <c r="I538"/>
    </row>
    <row r="539" spans="6:9" x14ac:dyDescent="0.35">
      <c r="F539"/>
      <c r="I539"/>
    </row>
    <row r="540" spans="6:9" x14ac:dyDescent="0.35">
      <c r="F540"/>
      <c r="I540"/>
    </row>
    <row r="541" spans="6:9" x14ac:dyDescent="0.35">
      <c r="F541"/>
      <c r="I541"/>
    </row>
    <row r="542" spans="6:9" x14ac:dyDescent="0.35">
      <c r="F542"/>
      <c r="I542"/>
    </row>
    <row r="543" spans="6:9" x14ac:dyDescent="0.35">
      <c r="F543"/>
      <c r="I543"/>
    </row>
    <row r="544" spans="6:9" x14ac:dyDescent="0.35">
      <c r="F544"/>
      <c r="I544"/>
    </row>
    <row r="545" spans="6:9" x14ac:dyDescent="0.35">
      <c r="F545"/>
      <c r="I545"/>
    </row>
    <row r="546" spans="6:9" x14ac:dyDescent="0.35">
      <c r="F546"/>
      <c r="I546"/>
    </row>
    <row r="547" spans="6:9" x14ac:dyDescent="0.35">
      <c r="F547"/>
      <c r="I547"/>
    </row>
    <row r="548" spans="6:9" x14ac:dyDescent="0.35">
      <c r="F548"/>
      <c r="I548"/>
    </row>
    <row r="549" spans="6:9" x14ac:dyDescent="0.35">
      <c r="F549"/>
      <c r="I549"/>
    </row>
    <row r="550" spans="6:9" x14ac:dyDescent="0.35">
      <c r="F550"/>
      <c r="I550"/>
    </row>
    <row r="551" spans="6:9" x14ac:dyDescent="0.35">
      <c r="F551"/>
      <c r="I551"/>
    </row>
    <row r="552" spans="6:9" x14ac:dyDescent="0.35">
      <c r="F552"/>
      <c r="I552"/>
    </row>
    <row r="553" spans="6:9" x14ac:dyDescent="0.35">
      <c r="F553"/>
      <c r="I553"/>
    </row>
    <row r="554" spans="6:9" x14ac:dyDescent="0.35">
      <c r="F554"/>
      <c r="I554"/>
    </row>
    <row r="555" spans="6:9" x14ac:dyDescent="0.35">
      <c r="F555"/>
      <c r="I555"/>
    </row>
    <row r="556" spans="6:9" x14ac:dyDescent="0.35">
      <c r="F556"/>
      <c r="I556"/>
    </row>
    <row r="557" spans="6:9" x14ac:dyDescent="0.35">
      <c r="F557"/>
      <c r="I557"/>
    </row>
    <row r="558" spans="6:9" x14ac:dyDescent="0.35">
      <c r="F558"/>
      <c r="I558"/>
    </row>
    <row r="559" spans="6:9" x14ac:dyDescent="0.35">
      <c r="F559"/>
      <c r="I559"/>
    </row>
    <row r="560" spans="6:9" x14ac:dyDescent="0.35">
      <c r="F560"/>
      <c r="I560"/>
    </row>
    <row r="561" spans="6:9" x14ac:dyDescent="0.35">
      <c r="F561"/>
      <c r="I561"/>
    </row>
    <row r="562" spans="6:9" x14ac:dyDescent="0.35">
      <c r="F562"/>
      <c r="I562"/>
    </row>
    <row r="563" spans="6:9" x14ac:dyDescent="0.35">
      <c r="F563"/>
      <c r="I563"/>
    </row>
    <row r="564" spans="6:9" x14ac:dyDescent="0.35">
      <c r="F564"/>
      <c r="I564"/>
    </row>
    <row r="565" spans="6:9" x14ac:dyDescent="0.35">
      <c r="F565"/>
      <c r="I565"/>
    </row>
    <row r="566" spans="6:9" x14ac:dyDescent="0.35">
      <c r="F566"/>
      <c r="I566"/>
    </row>
    <row r="567" spans="6:9" x14ac:dyDescent="0.35">
      <c r="F567"/>
      <c r="I567"/>
    </row>
    <row r="568" spans="6:9" x14ac:dyDescent="0.35">
      <c r="F568"/>
      <c r="I568"/>
    </row>
    <row r="569" spans="6:9" x14ac:dyDescent="0.35">
      <c r="F569"/>
      <c r="I569"/>
    </row>
    <row r="570" spans="6:9" x14ac:dyDescent="0.35">
      <c r="F570"/>
      <c r="I570"/>
    </row>
    <row r="571" spans="6:9" x14ac:dyDescent="0.35">
      <c r="F571"/>
      <c r="I571"/>
    </row>
    <row r="572" spans="6:9" x14ac:dyDescent="0.35">
      <c r="F572"/>
      <c r="I572"/>
    </row>
    <row r="573" spans="6:9" x14ac:dyDescent="0.35">
      <c r="F573"/>
      <c r="I573"/>
    </row>
    <row r="574" spans="6:9" x14ac:dyDescent="0.35">
      <c r="F574"/>
      <c r="I574"/>
    </row>
    <row r="575" spans="6:9" x14ac:dyDescent="0.35">
      <c r="F575"/>
      <c r="I575"/>
    </row>
    <row r="576" spans="6:9" x14ac:dyDescent="0.35">
      <c r="F576"/>
      <c r="I576"/>
    </row>
    <row r="577" spans="6:9" x14ac:dyDescent="0.35">
      <c r="F577"/>
      <c r="I577"/>
    </row>
    <row r="578" spans="6:9" x14ac:dyDescent="0.35">
      <c r="F578"/>
      <c r="I578"/>
    </row>
    <row r="579" spans="6:9" x14ac:dyDescent="0.35">
      <c r="F579"/>
      <c r="I579"/>
    </row>
    <row r="580" spans="6:9" x14ac:dyDescent="0.35">
      <c r="F580"/>
      <c r="I580"/>
    </row>
    <row r="581" spans="6:9" x14ac:dyDescent="0.35">
      <c r="F581"/>
      <c r="I581"/>
    </row>
    <row r="582" spans="6:9" x14ac:dyDescent="0.35">
      <c r="F582"/>
      <c r="I582"/>
    </row>
    <row r="583" spans="6:9" x14ac:dyDescent="0.35">
      <c r="F583"/>
      <c r="I583"/>
    </row>
    <row r="584" spans="6:9" x14ac:dyDescent="0.35">
      <c r="F584"/>
      <c r="I584"/>
    </row>
    <row r="585" spans="6:9" x14ac:dyDescent="0.35">
      <c r="F585"/>
      <c r="I585"/>
    </row>
    <row r="586" spans="6:9" x14ac:dyDescent="0.35">
      <c r="F586"/>
      <c r="I586"/>
    </row>
    <row r="587" spans="6:9" x14ac:dyDescent="0.35">
      <c r="F587"/>
      <c r="I587"/>
    </row>
    <row r="588" spans="6:9" x14ac:dyDescent="0.35">
      <c r="F588"/>
      <c r="I588"/>
    </row>
    <row r="589" spans="6:9" x14ac:dyDescent="0.35">
      <c r="F589"/>
      <c r="I589"/>
    </row>
    <row r="590" spans="6:9" x14ac:dyDescent="0.35">
      <c r="F590"/>
      <c r="I590"/>
    </row>
    <row r="591" spans="6:9" x14ac:dyDescent="0.35">
      <c r="F591"/>
      <c r="I591"/>
    </row>
    <row r="592" spans="6:9" x14ac:dyDescent="0.35">
      <c r="F592"/>
      <c r="I592"/>
    </row>
    <row r="593" spans="6:9" x14ac:dyDescent="0.35">
      <c r="F593"/>
      <c r="I593"/>
    </row>
    <row r="594" spans="6:9" x14ac:dyDescent="0.35">
      <c r="F594"/>
      <c r="I594"/>
    </row>
    <row r="595" spans="6:9" x14ac:dyDescent="0.35">
      <c r="F595"/>
      <c r="I595"/>
    </row>
    <row r="596" spans="6:9" x14ac:dyDescent="0.35">
      <c r="F596"/>
      <c r="I596"/>
    </row>
    <row r="597" spans="6:9" x14ac:dyDescent="0.35">
      <c r="F597"/>
      <c r="I597"/>
    </row>
    <row r="598" spans="6:9" x14ac:dyDescent="0.35">
      <c r="F598"/>
      <c r="I598"/>
    </row>
    <row r="599" spans="6:9" x14ac:dyDescent="0.35">
      <c r="F599"/>
      <c r="I599"/>
    </row>
    <row r="600" spans="6:9" x14ac:dyDescent="0.35">
      <c r="F600"/>
      <c r="I600"/>
    </row>
    <row r="601" spans="6:9" x14ac:dyDescent="0.35">
      <c r="F601"/>
      <c r="I601"/>
    </row>
    <row r="602" spans="6:9" x14ac:dyDescent="0.35">
      <c r="F602"/>
      <c r="I602"/>
    </row>
    <row r="603" spans="6:9" x14ac:dyDescent="0.35">
      <c r="F603"/>
      <c r="I603"/>
    </row>
    <row r="604" spans="6:9" x14ac:dyDescent="0.35">
      <c r="F604"/>
      <c r="I604"/>
    </row>
    <row r="605" spans="6:9" x14ac:dyDescent="0.35">
      <c r="F605"/>
      <c r="I605"/>
    </row>
    <row r="606" spans="6:9" x14ac:dyDescent="0.35">
      <c r="F606"/>
      <c r="I606"/>
    </row>
    <row r="607" spans="6:9" x14ac:dyDescent="0.35">
      <c r="F607"/>
      <c r="I607"/>
    </row>
    <row r="608" spans="6:9" x14ac:dyDescent="0.35">
      <c r="F608"/>
      <c r="I608"/>
    </row>
    <row r="609" spans="6:9" x14ac:dyDescent="0.35">
      <c r="F609"/>
      <c r="I609"/>
    </row>
    <row r="610" spans="6:9" x14ac:dyDescent="0.35">
      <c r="F610"/>
      <c r="I610"/>
    </row>
    <row r="611" spans="6:9" x14ac:dyDescent="0.35">
      <c r="F611"/>
      <c r="I611"/>
    </row>
    <row r="612" spans="6:9" x14ac:dyDescent="0.35">
      <c r="F612"/>
      <c r="I612"/>
    </row>
    <row r="613" spans="6:9" x14ac:dyDescent="0.35">
      <c r="F613"/>
      <c r="I613"/>
    </row>
    <row r="614" spans="6:9" x14ac:dyDescent="0.35">
      <c r="F614"/>
      <c r="I614"/>
    </row>
    <row r="615" spans="6:9" x14ac:dyDescent="0.35">
      <c r="F615"/>
      <c r="I615"/>
    </row>
    <row r="616" spans="6:9" x14ac:dyDescent="0.35">
      <c r="F616"/>
      <c r="I616"/>
    </row>
    <row r="617" spans="6:9" x14ac:dyDescent="0.35">
      <c r="F617"/>
      <c r="I617"/>
    </row>
    <row r="618" spans="6:9" x14ac:dyDescent="0.35">
      <c r="F618"/>
      <c r="I618"/>
    </row>
    <row r="619" spans="6:9" x14ac:dyDescent="0.35">
      <c r="F619"/>
      <c r="I619"/>
    </row>
    <row r="620" spans="6:9" x14ac:dyDescent="0.35">
      <c r="F620"/>
      <c r="I620"/>
    </row>
    <row r="621" spans="6:9" x14ac:dyDescent="0.35">
      <c r="F621"/>
      <c r="I621"/>
    </row>
    <row r="622" spans="6:9" x14ac:dyDescent="0.35">
      <c r="F622"/>
      <c r="I622"/>
    </row>
    <row r="623" spans="6:9" x14ac:dyDescent="0.35">
      <c r="F623"/>
      <c r="I623"/>
    </row>
    <row r="624" spans="6:9" x14ac:dyDescent="0.35">
      <c r="F624"/>
      <c r="I624"/>
    </row>
    <row r="625" spans="6:9" x14ac:dyDescent="0.35">
      <c r="F625"/>
      <c r="I625"/>
    </row>
    <row r="626" spans="6:9" x14ac:dyDescent="0.35">
      <c r="F626"/>
      <c r="I626"/>
    </row>
    <row r="627" spans="6:9" x14ac:dyDescent="0.35">
      <c r="F627"/>
      <c r="I627"/>
    </row>
    <row r="628" spans="6:9" x14ac:dyDescent="0.35">
      <c r="F628"/>
      <c r="I628"/>
    </row>
    <row r="629" spans="6:9" x14ac:dyDescent="0.35">
      <c r="F629"/>
      <c r="I629"/>
    </row>
    <row r="630" spans="6:9" x14ac:dyDescent="0.35">
      <c r="F630"/>
      <c r="I630"/>
    </row>
    <row r="631" spans="6:9" x14ac:dyDescent="0.35">
      <c r="F631"/>
      <c r="I631"/>
    </row>
    <row r="632" spans="6:9" x14ac:dyDescent="0.35">
      <c r="F632"/>
      <c r="I632"/>
    </row>
    <row r="633" spans="6:9" x14ac:dyDescent="0.35">
      <c r="F633"/>
      <c r="I633"/>
    </row>
    <row r="634" spans="6:9" x14ac:dyDescent="0.35">
      <c r="F634"/>
      <c r="I634"/>
    </row>
    <row r="635" spans="6:9" x14ac:dyDescent="0.35">
      <c r="F635"/>
      <c r="I635"/>
    </row>
    <row r="636" spans="6:9" x14ac:dyDescent="0.35">
      <c r="F636"/>
      <c r="I636"/>
    </row>
    <row r="637" spans="6:9" x14ac:dyDescent="0.35">
      <c r="F637"/>
      <c r="I637"/>
    </row>
    <row r="638" spans="6:9" x14ac:dyDescent="0.35">
      <c r="F638"/>
      <c r="I638"/>
    </row>
    <row r="639" spans="6:9" x14ac:dyDescent="0.35">
      <c r="F639"/>
      <c r="I639"/>
    </row>
    <row r="640" spans="6:9" x14ac:dyDescent="0.35">
      <c r="F640"/>
      <c r="I640"/>
    </row>
    <row r="641" spans="6:9" x14ac:dyDescent="0.35">
      <c r="F641"/>
      <c r="I641"/>
    </row>
    <row r="642" spans="6:9" x14ac:dyDescent="0.35">
      <c r="F642"/>
      <c r="I642"/>
    </row>
    <row r="643" spans="6:9" x14ac:dyDescent="0.35">
      <c r="F643"/>
      <c r="I643"/>
    </row>
    <row r="644" spans="6:9" x14ac:dyDescent="0.35">
      <c r="F644"/>
      <c r="I644"/>
    </row>
    <row r="645" spans="6:9" x14ac:dyDescent="0.35">
      <c r="F645"/>
      <c r="I645"/>
    </row>
    <row r="646" spans="6:9" x14ac:dyDescent="0.35">
      <c r="F646"/>
      <c r="I646"/>
    </row>
    <row r="647" spans="6:9" x14ac:dyDescent="0.35">
      <c r="F647"/>
      <c r="I647"/>
    </row>
    <row r="648" spans="6:9" x14ac:dyDescent="0.35">
      <c r="F648"/>
      <c r="I648"/>
    </row>
    <row r="649" spans="6:9" x14ac:dyDescent="0.35">
      <c r="F649"/>
      <c r="I649"/>
    </row>
    <row r="650" spans="6:9" x14ac:dyDescent="0.35">
      <c r="F650"/>
      <c r="I650"/>
    </row>
    <row r="651" spans="6:9" x14ac:dyDescent="0.35">
      <c r="F651"/>
      <c r="I651"/>
    </row>
    <row r="652" spans="6:9" x14ac:dyDescent="0.35">
      <c r="F652"/>
      <c r="I652"/>
    </row>
    <row r="653" spans="6:9" x14ac:dyDescent="0.35">
      <c r="F653"/>
      <c r="I653"/>
    </row>
    <row r="654" spans="6:9" x14ac:dyDescent="0.35">
      <c r="F654"/>
      <c r="I654"/>
    </row>
    <row r="655" spans="6:9" x14ac:dyDescent="0.35">
      <c r="F655"/>
      <c r="I655"/>
    </row>
    <row r="656" spans="6:9" x14ac:dyDescent="0.35">
      <c r="F656"/>
      <c r="I656"/>
    </row>
    <row r="657" spans="6:9" x14ac:dyDescent="0.35">
      <c r="F657"/>
      <c r="I657"/>
    </row>
    <row r="658" spans="6:9" x14ac:dyDescent="0.35">
      <c r="F658"/>
      <c r="I658"/>
    </row>
    <row r="659" spans="6:9" x14ac:dyDescent="0.35">
      <c r="F659"/>
      <c r="I659"/>
    </row>
    <row r="660" spans="6:9" x14ac:dyDescent="0.35">
      <c r="F660"/>
      <c r="I660"/>
    </row>
    <row r="661" spans="6:9" x14ac:dyDescent="0.35">
      <c r="F661"/>
      <c r="I661"/>
    </row>
    <row r="662" spans="6:9" x14ac:dyDescent="0.35">
      <c r="F662"/>
      <c r="I662"/>
    </row>
    <row r="663" spans="6:9" x14ac:dyDescent="0.35">
      <c r="F663"/>
      <c r="I663"/>
    </row>
    <row r="664" spans="6:9" x14ac:dyDescent="0.35">
      <c r="F664"/>
      <c r="I664"/>
    </row>
    <row r="665" spans="6:9" x14ac:dyDescent="0.35">
      <c r="F665"/>
      <c r="I665"/>
    </row>
    <row r="666" spans="6:9" x14ac:dyDescent="0.35">
      <c r="F666"/>
      <c r="I666"/>
    </row>
    <row r="667" spans="6:9" x14ac:dyDescent="0.35">
      <c r="F667"/>
      <c r="I667"/>
    </row>
    <row r="668" spans="6:9" x14ac:dyDescent="0.35">
      <c r="F668"/>
      <c r="I668"/>
    </row>
    <row r="669" spans="6:9" x14ac:dyDescent="0.35">
      <c r="F669"/>
      <c r="I669"/>
    </row>
    <row r="670" spans="6:9" x14ac:dyDescent="0.35">
      <c r="F670"/>
      <c r="I670"/>
    </row>
    <row r="671" spans="6:9" x14ac:dyDescent="0.35">
      <c r="F671"/>
      <c r="I671"/>
    </row>
    <row r="672" spans="6:9" x14ac:dyDescent="0.35">
      <c r="F672"/>
      <c r="I672"/>
    </row>
    <row r="673" spans="6:9" x14ac:dyDescent="0.35">
      <c r="F673"/>
      <c r="I673"/>
    </row>
    <row r="674" spans="6:9" x14ac:dyDescent="0.35">
      <c r="F674"/>
      <c r="I674"/>
    </row>
    <row r="675" spans="6:9" x14ac:dyDescent="0.35">
      <c r="F675"/>
      <c r="I675"/>
    </row>
    <row r="676" spans="6:9" x14ac:dyDescent="0.35">
      <c r="F676"/>
      <c r="I676"/>
    </row>
    <row r="677" spans="6:9" x14ac:dyDescent="0.35">
      <c r="F677"/>
      <c r="I677"/>
    </row>
    <row r="678" spans="6:9" x14ac:dyDescent="0.35">
      <c r="F678"/>
      <c r="I678"/>
    </row>
    <row r="679" spans="6:9" x14ac:dyDescent="0.35">
      <c r="F679"/>
      <c r="I679"/>
    </row>
    <row r="680" spans="6:9" x14ac:dyDescent="0.35">
      <c r="F680"/>
      <c r="I680"/>
    </row>
    <row r="681" spans="6:9" x14ac:dyDescent="0.35">
      <c r="F681"/>
      <c r="I681"/>
    </row>
    <row r="682" spans="6:9" x14ac:dyDescent="0.35">
      <c r="F682"/>
      <c r="I682"/>
    </row>
    <row r="683" spans="6:9" x14ac:dyDescent="0.35">
      <c r="F683"/>
      <c r="I683"/>
    </row>
    <row r="684" spans="6:9" x14ac:dyDescent="0.35">
      <c r="F684"/>
      <c r="I684"/>
    </row>
    <row r="685" spans="6:9" x14ac:dyDescent="0.35">
      <c r="F685"/>
      <c r="I685"/>
    </row>
    <row r="686" spans="6:9" x14ac:dyDescent="0.35">
      <c r="F686"/>
      <c r="I686"/>
    </row>
    <row r="687" spans="6:9" x14ac:dyDescent="0.35">
      <c r="F687"/>
      <c r="I687"/>
    </row>
    <row r="688" spans="6:9" x14ac:dyDescent="0.35">
      <c r="F688"/>
      <c r="I688"/>
    </row>
    <row r="689" spans="6:9" x14ac:dyDescent="0.35">
      <c r="F689"/>
      <c r="I689"/>
    </row>
    <row r="690" spans="6:9" x14ac:dyDescent="0.35">
      <c r="F690"/>
      <c r="I690"/>
    </row>
    <row r="691" spans="6:9" x14ac:dyDescent="0.35">
      <c r="F691"/>
      <c r="I691"/>
    </row>
    <row r="692" spans="6:9" x14ac:dyDescent="0.35">
      <c r="F692"/>
      <c r="I692"/>
    </row>
    <row r="693" spans="6:9" x14ac:dyDescent="0.35">
      <c r="F693"/>
      <c r="I693"/>
    </row>
    <row r="694" spans="6:9" x14ac:dyDescent="0.35">
      <c r="F694"/>
      <c r="I694"/>
    </row>
    <row r="695" spans="6:9" x14ac:dyDescent="0.35">
      <c r="F695"/>
      <c r="I695"/>
    </row>
    <row r="696" spans="6:9" x14ac:dyDescent="0.35">
      <c r="F696"/>
      <c r="I696"/>
    </row>
    <row r="697" spans="6:9" x14ac:dyDescent="0.35">
      <c r="F697"/>
      <c r="I697"/>
    </row>
    <row r="698" spans="6:9" x14ac:dyDescent="0.35">
      <c r="F698"/>
      <c r="I698"/>
    </row>
    <row r="699" spans="6:9" x14ac:dyDescent="0.35">
      <c r="F699"/>
      <c r="I699"/>
    </row>
    <row r="700" spans="6:9" x14ac:dyDescent="0.35">
      <c r="F700"/>
      <c r="I700"/>
    </row>
    <row r="701" spans="6:9" x14ac:dyDescent="0.35">
      <c r="F701"/>
      <c r="I701"/>
    </row>
    <row r="702" spans="6:9" x14ac:dyDescent="0.35">
      <c r="F702"/>
      <c r="I702"/>
    </row>
    <row r="703" spans="6:9" x14ac:dyDescent="0.35">
      <c r="F703"/>
      <c r="I703"/>
    </row>
    <row r="704" spans="6:9" x14ac:dyDescent="0.35">
      <c r="F704"/>
      <c r="I704"/>
    </row>
    <row r="705" spans="6:9" x14ac:dyDescent="0.35">
      <c r="F705"/>
      <c r="I705"/>
    </row>
    <row r="706" spans="6:9" x14ac:dyDescent="0.35">
      <c r="F706"/>
      <c r="I706"/>
    </row>
    <row r="707" spans="6:9" x14ac:dyDescent="0.35">
      <c r="F707"/>
      <c r="I707"/>
    </row>
    <row r="708" spans="6:9" x14ac:dyDescent="0.35">
      <c r="F708"/>
      <c r="I708"/>
    </row>
    <row r="709" spans="6:9" x14ac:dyDescent="0.35">
      <c r="F709"/>
      <c r="I709"/>
    </row>
    <row r="710" spans="6:9" x14ac:dyDescent="0.35">
      <c r="F710"/>
      <c r="I710"/>
    </row>
    <row r="711" spans="6:9" x14ac:dyDescent="0.35">
      <c r="F711"/>
      <c r="I711"/>
    </row>
    <row r="712" spans="6:9" x14ac:dyDescent="0.35">
      <c r="F712"/>
      <c r="I712"/>
    </row>
    <row r="713" spans="6:9" x14ac:dyDescent="0.35">
      <c r="F713"/>
      <c r="I713"/>
    </row>
    <row r="714" spans="6:9" x14ac:dyDescent="0.35">
      <c r="F714"/>
      <c r="I714"/>
    </row>
    <row r="715" spans="6:9" x14ac:dyDescent="0.35">
      <c r="F715"/>
      <c r="I715"/>
    </row>
    <row r="716" spans="6:9" x14ac:dyDescent="0.35">
      <c r="F716"/>
      <c r="I716"/>
    </row>
    <row r="717" spans="6:9" x14ac:dyDescent="0.35">
      <c r="F717"/>
      <c r="I717"/>
    </row>
    <row r="718" spans="6:9" x14ac:dyDescent="0.35">
      <c r="F718"/>
      <c r="I718"/>
    </row>
    <row r="719" spans="6:9" x14ac:dyDescent="0.35">
      <c r="F719"/>
      <c r="I719"/>
    </row>
    <row r="720" spans="6:9" x14ac:dyDescent="0.35">
      <c r="F720"/>
      <c r="I720"/>
    </row>
    <row r="721" spans="6:9" x14ac:dyDescent="0.35">
      <c r="F721"/>
      <c r="I721"/>
    </row>
    <row r="722" spans="6:9" x14ac:dyDescent="0.35">
      <c r="F722"/>
      <c r="I722"/>
    </row>
    <row r="723" spans="6:9" x14ac:dyDescent="0.35">
      <c r="F723"/>
      <c r="I723"/>
    </row>
    <row r="724" spans="6:9" x14ac:dyDescent="0.35">
      <c r="F724"/>
      <c r="I724"/>
    </row>
    <row r="725" spans="6:9" x14ac:dyDescent="0.35">
      <c r="F725"/>
      <c r="I725"/>
    </row>
    <row r="726" spans="6:9" x14ac:dyDescent="0.35">
      <c r="F726"/>
      <c r="I726"/>
    </row>
    <row r="727" spans="6:9" x14ac:dyDescent="0.35">
      <c r="F727"/>
      <c r="I727"/>
    </row>
    <row r="728" spans="6:9" x14ac:dyDescent="0.35">
      <c r="F728"/>
      <c r="I728"/>
    </row>
    <row r="729" spans="6:9" x14ac:dyDescent="0.35">
      <c r="F729"/>
      <c r="I729"/>
    </row>
    <row r="730" spans="6:9" x14ac:dyDescent="0.35">
      <c r="F730"/>
      <c r="I730"/>
    </row>
    <row r="731" spans="6:9" x14ac:dyDescent="0.35">
      <c r="F731"/>
      <c r="I731"/>
    </row>
    <row r="732" spans="6:9" x14ac:dyDescent="0.35">
      <c r="F732"/>
      <c r="I732"/>
    </row>
    <row r="733" spans="6:9" x14ac:dyDescent="0.35">
      <c r="F733"/>
      <c r="I733"/>
    </row>
    <row r="734" spans="6:9" x14ac:dyDescent="0.35">
      <c r="F734"/>
      <c r="I734"/>
    </row>
    <row r="735" spans="6:9" x14ac:dyDescent="0.35">
      <c r="F735"/>
      <c r="I735"/>
    </row>
    <row r="736" spans="6:9" x14ac:dyDescent="0.35">
      <c r="F736"/>
      <c r="I736"/>
    </row>
    <row r="737" spans="6:9" x14ac:dyDescent="0.35">
      <c r="F737"/>
      <c r="I737"/>
    </row>
    <row r="738" spans="6:9" x14ac:dyDescent="0.35">
      <c r="F738"/>
      <c r="I738"/>
    </row>
    <row r="739" spans="6:9" x14ac:dyDescent="0.35">
      <c r="F739"/>
      <c r="I739"/>
    </row>
    <row r="740" spans="6:9" x14ac:dyDescent="0.35">
      <c r="F740"/>
      <c r="I740"/>
    </row>
    <row r="741" spans="6:9" x14ac:dyDescent="0.35">
      <c r="F741"/>
      <c r="I741"/>
    </row>
    <row r="742" spans="6:9" x14ac:dyDescent="0.35">
      <c r="F742"/>
      <c r="I742"/>
    </row>
    <row r="743" spans="6:9" x14ac:dyDescent="0.35">
      <c r="F743"/>
      <c r="I743"/>
    </row>
    <row r="744" spans="6:9" x14ac:dyDescent="0.35">
      <c r="F744"/>
      <c r="I744"/>
    </row>
    <row r="745" spans="6:9" x14ac:dyDescent="0.35">
      <c r="F745"/>
      <c r="I745"/>
    </row>
    <row r="746" spans="6:9" x14ac:dyDescent="0.35">
      <c r="F746"/>
      <c r="I746"/>
    </row>
    <row r="747" spans="6:9" x14ac:dyDescent="0.35">
      <c r="F747"/>
      <c r="I747"/>
    </row>
    <row r="748" spans="6:9" x14ac:dyDescent="0.35">
      <c r="F748"/>
      <c r="I748"/>
    </row>
    <row r="749" spans="6:9" x14ac:dyDescent="0.35">
      <c r="F749"/>
      <c r="I749"/>
    </row>
    <row r="750" spans="6:9" x14ac:dyDescent="0.35">
      <c r="F750"/>
      <c r="I750"/>
    </row>
    <row r="751" spans="6:9" x14ac:dyDescent="0.35">
      <c r="F751"/>
      <c r="I751"/>
    </row>
    <row r="752" spans="6:9" x14ac:dyDescent="0.35">
      <c r="F752"/>
      <c r="I752"/>
    </row>
    <row r="753" spans="6:9" x14ac:dyDescent="0.35">
      <c r="F753"/>
      <c r="I753"/>
    </row>
    <row r="754" spans="6:9" x14ac:dyDescent="0.35">
      <c r="F754"/>
      <c r="I754"/>
    </row>
    <row r="755" spans="6:9" x14ac:dyDescent="0.35">
      <c r="F755"/>
      <c r="I755"/>
    </row>
    <row r="756" spans="6:9" x14ac:dyDescent="0.35">
      <c r="F756"/>
      <c r="I756"/>
    </row>
    <row r="757" spans="6:9" x14ac:dyDescent="0.35">
      <c r="F757"/>
      <c r="I757"/>
    </row>
    <row r="758" spans="6:9" x14ac:dyDescent="0.35">
      <c r="F758"/>
      <c r="I758"/>
    </row>
    <row r="759" spans="6:9" x14ac:dyDescent="0.35">
      <c r="F759"/>
      <c r="I759"/>
    </row>
    <row r="760" spans="6:9" x14ac:dyDescent="0.35">
      <c r="F760"/>
      <c r="I760"/>
    </row>
    <row r="761" spans="6:9" x14ac:dyDescent="0.35">
      <c r="F761"/>
      <c r="I761"/>
    </row>
    <row r="762" spans="6:9" x14ac:dyDescent="0.35">
      <c r="F762"/>
      <c r="I762"/>
    </row>
    <row r="763" spans="6:9" x14ac:dyDescent="0.35">
      <c r="F763"/>
      <c r="I763"/>
    </row>
    <row r="764" spans="6:9" x14ac:dyDescent="0.35">
      <c r="F764"/>
      <c r="I764"/>
    </row>
    <row r="765" spans="6:9" x14ac:dyDescent="0.35">
      <c r="F765"/>
      <c r="I765"/>
    </row>
    <row r="766" spans="6:9" x14ac:dyDescent="0.35">
      <c r="F766"/>
      <c r="I766"/>
    </row>
    <row r="767" spans="6:9" x14ac:dyDescent="0.35">
      <c r="F767"/>
      <c r="I767"/>
    </row>
    <row r="768" spans="6:9" x14ac:dyDescent="0.35">
      <c r="F768"/>
      <c r="I768"/>
    </row>
    <row r="769" spans="6:9" x14ac:dyDescent="0.35">
      <c r="F769"/>
      <c r="I769"/>
    </row>
    <row r="770" spans="6:9" x14ac:dyDescent="0.35">
      <c r="F770"/>
      <c r="I770"/>
    </row>
    <row r="771" spans="6:9" x14ac:dyDescent="0.35">
      <c r="F771"/>
      <c r="I771"/>
    </row>
    <row r="772" spans="6:9" x14ac:dyDescent="0.35">
      <c r="F772"/>
      <c r="I772"/>
    </row>
    <row r="773" spans="6:9" x14ac:dyDescent="0.35">
      <c r="F773"/>
      <c r="I773"/>
    </row>
    <row r="774" spans="6:9" x14ac:dyDescent="0.35">
      <c r="F774"/>
      <c r="I774"/>
    </row>
    <row r="775" spans="6:9" x14ac:dyDescent="0.35">
      <c r="F775"/>
      <c r="I775"/>
    </row>
    <row r="776" spans="6:9" x14ac:dyDescent="0.35">
      <c r="F776"/>
      <c r="I776"/>
    </row>
    <row r="777" spans="6:9" x14ac:dyDescent="0.35">
      <c r="F777"/>
      <c r="I777"/>
    </row>
    <row r="778" spans="6:9" x14ac:dyDescent="0.35">
      <c r="F778"/>
      <c r="I778"/>
    </row>
    <row r="779" spans="6:9" x14ac:dyDescent="0.35">
      <c r="F779"/>
      <c r="I779"/>
    </row>
    <row r="780" spans="6:9" x14ac:dyDescent="0.35">
      <c r="F780"/>
      <c r="I780"/>
    </row>
    <row r="781" spans="6:9" x14ac:dyDescent="0.35">
      <c r="F781"/>
      <c r="I781"/>
    </row>
    <row r="782" spans="6:9" x14ac:dyDescent="0.35">
      <c r="F782"/>
      <c r="I782"/>
    </row>
    <row r="783" spans="6:9" x14ac:dyDescent="0.35">
      <c r="F783"/>
      <c r="I783"/>
    </row>
    <row r="784" spans="6:9" x14ac:dyDescent="0.35">
      <c r="F784"/>
      <c r="I784"/>
    </row>
    <row r="785" spans="6:9" x14ac:dyDescent="0.35">
      <c r="F785"/>
      <c r="I785"/>
    </row>
    <row r="786" spans="6:9" x14ac:dyDescent="0.35">
      <c r="F786"/>
      <c r="I786"/>
    </row>
    <row r="787" spans="6:9" x14ac:dyDescent="0.35">
      <c r="F787"/>
      <c r="I787"/>
    </row>
    <row r="788" spans="6:9" x14ac:dyDescent="0.35">
      <c r="F788"/>
      <c r="I788"/>
    </row>
    <row r="789" spans="6:9" x14ac:dyDescent="0.35">
      <c r="F789"/>
      <c r="I789"/>
    </row>
    <row r="790" spans="6:9" x14ac:dyDescent="0.35">
      <c r="F790"/>
      <c r="I790"/>
    </row>
    <row r="791" spans="6:9" x14ac:dyDescent="0.35">
      <c r="F791"/>
      <c r="I791"/>
    </row>
    <row r="792" spans="6:9" x14ac:dyDescent="0.35">
      <c r="F792"/>
      <c r="I792"/>
    </row>
    <row r="793" spans="6:9" x14ac:dyDescent="0.35">
      <c r="F793"/>
      <c r="I793"/>
    </row>
    <row r="794" spans="6:9" x14ac:dyDescent="0.35">
      <c r="F794"/>
      <c r="I794"/>
    </row>
    <row r="795" spans="6:9" x14ac:dyDescent="0.35">
      <c r="F795"/>
      <c r="I795"/>
    </row>
    <row r="796" spans="6:9" x14ac:dyDescent="0.35">
      <c r="F796"/>
      <c r="I796"/>
    </row>
    <row r="797" spans="6:9" x14ac:dyDescent="0.35">
      <c r="F797"/>
      <c r="I797"/>
    </row>
    <row r="798" spans="6:9" x14ac:dyDescent="0.35">
      <c r="F798"/>
      <c r="I798"/>
    </row>
    <row r="799" spans="6:9" x14ac:dyDescent="0.35">
      <c r="F799"/>
      <c r="I799"/>
    </row>
    <row r="800" spans="6:9" x14ac:dyDescent="0.35">
      <c r="F800"/>
      <c r="I800"/>
    </row>
    <row r="801" spans="6:9" x14ac:dyDescent="0.35">
      <c r="F801"/>
      <c r="I801"/>
    </row>
    <row r="802" spans="6:9" x14ac:dyDescent="0.35">
      <c r="F802"/>
      <c r="I802"/>
    </row>
    <row r="803" spans="6:9" x14ac:dyDescent="0.35">
      <c r="F803"/>
      <c r="I803"/>
    </row>
    <row r="804" spans="6:9" x14ac:dyDescent="0.35">
      <c r="F804"/>
      <c r="I804"/>
    </row>
    <row r="805" spans="6:9" x14ac:dyDescent="0.35">
      <c r="F805"/>
      <c r="I805"/>
    </row>
    <row r="806" spans="6:9" x14ac:dyDescent="0.35">
      <c r="F806"/>
      <c r="I806"/>
    </row>
    <row r="807" spans="6:9" x14ac:dyDescent="0.35">
      <c r="F807"/>
      <c r="I807"/>
    </row>
    <row r="808" spans="6:9" x14ac:dyDescent="0.35">
      <c r="F808"/>
      <c r="I808"/>
    </row>
    <row r="809" spans="6:9" x14ac:dyDescent="0.35">
      <c r="F809"/>
      <c r="I809"/>
    </row>
    <row r="810" spans="6:9" x14ac:dyDescent="0.35">
      <c r="F810"/>
      <c r="I810"/>
    </row>
    <row r="811" spans="6:9" x14ac:dyDescent="0.35">
      <c r="F811"/>
      <c r="I811"/>
    </row>
    <row r="812" spans="6:9" x14ac:dyDescent="0.35">
      <c r="F812"/>
      <c r="I812"/>
    </row>
    <row r="813" spans="6:9" x14ac:dyDescent="0.35">
      <c r="F813"/>
      <c r="I813"/>
    </row>
    <row r="814" spans="6:9" x14ac:dyDescent="0.35">
      <c r="F814"/>
      <c r="I814"/>
    </row>
    <row r="815" spans="6:9" x14ac:dyDescent="0.35">
      <c r="F815"/>
      <c r="I815"/>
    </row>
    <row r="816" spans="6:9" x14ac:dyDescent="0.35">
      <c r="F816"/>
      <c r="I816"/>
    </row>
    <row r="817" spans="6:9" x14ac:dyDescent="0.35">
      <c r="F817"/>
      <c r="I817"/>
    </row>
    <row r="818" spans="6:9" x14ac:dyDescent="0.35">
      <c r="F818"/>
      <c r="I818"/>
    </row>
    <row r="819" spans="6:9" x14ac:dyDescent="0.35">
      <c r="F819"/>
      <c r="I819"/>
    </row>
    <row r="820" spans="6:9" x14ac:dyDescent="0.35">
      <c r="F820"/>
      <c r="I820"/>
    </row>
    <row r="821" spans="6:9" x14ac:dyDescent="0.35">
      <c r="F821"/>
      <c r="I821"/>
    </row>
    <row r="822" spans="6:9" x14ac:dyDescent="0.35">
      <c r="F822"/>
      <c r="I822"/>
    </row>
    <row r="823" spans="6:9" x14ac:dyDescent="0.35">
      <c r="F823"/>
      <c r="I823"/>
    </row>
    <row r="824" spans="6:9" x14ac:dyDescent="0.35">
      <c r="F824"/>
      <c r="I824"/>
    </row>
    <row r="825" spans="6:9" x14ac:dyDescent="0.35">
      <c r="F825"/>
      <c r="I825"/>
    </row>
    <row r="826" spans="6:9" x14ac:dyDescent="0.35">
      <c r="F826"/>
      <c r="I826"/>
    </row>
    <row r="827" spans="6:9" x14ac:dyDescent="0.35">
      <c r="F827"/>
      <c r="I827"/>
    </row>
    <row r="828" spans="6:9" x14ac:dyDescent="0.35">
      <c r="F828"/>
      <c r="I828"/>
    </row>
    <row r="829" spans="6:9" x14ac:dyDescent="0.35">
      <c r="F829"/>
      <c r="I829"/>
    </row>
    <row r="830" spans="6:9" x14ac:dyDescent="0.35">
      <c r="F830"/>
      <c r="I830"/>
    </row>
    <row r="831" spans="6:9" x14ac:dyDescent="0.35">
      <c r="F831"/>
      <c r="I831"/>
    </row>
    <row r="832" spans="6:9" x14ac:dyDescent="0.35">
      <c r="F832"/>
      <c r="I832"/>
    </row>
    <row r="833" spans="6:9" x14ac:dyDescent="0.35">
      <c r="F833"/>
      <c r="I833"/>
    </row>
    <row r="834" spans="6:9" x14ac:dyDescent="0.35">
      <c r="F834"/>
      <c r="I834"/>
    </row>
    <row r="835" spans="6:9" x14ac:dyDescent="0.35">
      <c r="F835"/>
      <c r="I835"/>
    </row>
    <row r="836" spans="6:9" x14ac:dyDescent="0.35">
      <c r="F836"/>
      <c r="I836"/>
    </row>
    <row r="837" spans="6:9" x14ac:dyDescent="0.35">
      <c r="F837"/>
      <c r="I837"/>
    </row>
    <row r="838" spans="6:9" x14ac:dyDescent="0.35">
      <c r="F838"/>
      <c r="I838"/>
    </row>
    <row r="839" spans="6:9" x14ac:dyDescent="0.35">
      <c r="F839"/>
      <c r="I839"/>
    </row>
    <row r="840" spans="6:9" x14ac:dyDescent="0.35">
      <c r="F840"/>
      <c r="I840"/>
    </row>
    <row r="841" spans="6:9" x14ac:dyDescent="0.35">
      <c r="F841"/>
      <c r="I841"/>
    </row>
    <row r="842" spans="6:9" x14ac:dyDescent="0.35">
      <c r="F842"/>
      <c r="I842"/>
    </row>
    <row r="843" spans="6:9" x14ac:dyDescent="0.35">
      <c r="F843"/>
      <c r="I843"/>
    </row>
    <row r="844" spans="6:9" x14ac:dyDescent="0.35">
      <c r="F844"/>
      <c r="I844"/>
    </row>
    <row r="845" spans="6:9" x14ac:dyDescent="0.35">
      <c r="F845"/>
      <c r="I845"/>
    </row>
    <row r="846" spans="6:9" x14ac:dyDescent="0.35">
      <c r="F846"/>
      <c r="I846"/>
    </row>
    <row r="847" spans="6:9" x14ac:dyDescent="0.35">
      <c r="F847"/>
      <c r="I847"/>
    </row>
    <row r="848" spans="6:9" x14ac:dyDescent="0.35">
      <c r="F848"/>
      <c r="I848"/>
    </row>
    <row r="849" spans="6:9" x14ac:dyDescent="0.35">
      <c r="F849"/>
      <c r="I849"/>
    </row>
    <row r="850" spans="6:9" x14ac:dyDescent="0.35">
      <c r="F850"/>
      <c r="I850"/>
    </row>
    <row r="851" spans="6:9" x14ac:dyDescent="0.35">
      <c r="F851"/>
      <c r="I851"/>
    </row>
    <row r="852" spans="6:9" x14ac:dyDescent="0.35">
      <c r="F852"/>
      <c r="I852"/>
    </row>
    <row r="853" spans="6:9" x14ac:dyDescent="0.35">
      <c r="F853"/>
      <c r="I853"/>
    </row>
    <row r="854" spans="6:9" x14ac:dyDescent="0.35">
      <c r="F854"/>
      <c r="I854"/>
    </row>
    <row r="855" spans="6:9" x14ac:dyDescent="0.35">
      <c r="F855"/>
      <c r="I855"/>
    </row>
    <row r="856" spans="6:9" x14ac:dyDescent="0.35">
      <c r="F856"/>
      <c r="I856"/>
    </row>
    <row r="857" spans="6:9" x14ac:dyDescent="0.35">
      <c r="F857"/>
      <c r="I857"/>
    </row>
    <row r="858" spans="6:9" x14ac:dyDescent="0.35">
      <c r="F858"/>
      <c r="I858"/>
    </row>
    <row r="859" spans="6:9" x14ac:dyDescent="0.35">
      <c r="F859"/>
      <c r="I859"/>
    </row>
    <row r="860" spans="6:9" x14ac:dyDescent="0.35">
      <c r="F860"/>
      <c r="I860"/>
    </row>
    <row r="861" spans="6:9" x14ac:dyDescent="0.35">
      <c r="F861"/>
      <c r="I861"/>
    </row>
    <row r="862" spans="6:9" x14ac:dyDescent="0.35">
      <c r="F862"/>
      <c r="I862"/>
    </row>
    <row r="863" spans="6:9" x14ac:dyDescent="0.35">
      <c r="F863"/>
      <c r="I863"/>
    </row>
    <row r="864" spans="6:9" x14ac:dyDescent="0.35">
      <c r="F864"/>
      <c r="I864"/>
    </row>
    <row r="865" spans="6:9" x14ac:dyDescent="0.35">
      <c r="F865"/>
      <c r="I865"/>
    </row>
    <row r="866" spans="6:9" x14ac:dyDescent="0.35">
      <c r="F866"/>
      <c r="I866"/>
    </row>
    <row r="867" spans="6:9" x14ac:dyDescent="0.35">
      <c r="F867"/>
      <c r="I867"/>
    </row>
    <row r="868" spans="6:9" x14ac:dyDescent="0.35">
      <c r="F868"/>
      <c r="I868"/>
    </row>
    <row r="869" spans="6:9" x14ac:dyDescent="0.35">
      <c r="F869"/>
      <c r="I869"/>
    </row>
    <row r="870" spans="6:9" x14ac:dyDescent="0.35">
      <c r="F870"/>
      <c r="I870"/>
    </row>
    <row r="871" spans="6:9" x14ac:dyDescent="0.35">
      <c r="F871"/>
      <c r="I871"/>
    </row>
    <row r="872" spans="6:9" x14ac:dyDescent="0.35">
      <c r="F872"/>
      <c r="I872"/>
    </row>
    <row r="873" spans="6:9" x14ac:dyDescent="0.35">
      <c r="F873"/>
      <c r="I873"/>
    </row>
    <row r="874" spans="6:9" x14ac:dyDescent="0.35">
      <c r="F874"/>
      <c r="I874"/>
    </row>
    <row r="875" spans="6:9" x14ac:dyDescent="0.35">
      <c r="F875"/>
      <c r="I875"/>
    </row>
    <row r="876" spans="6:9" x14ac:dyDescent="0.35">
      <c r="F876"/>
      <c r="I876"/>
    </row>
    <row r="877" spans="6:9" x14ac:dyDescent="0.35">
      <c r="F877"/>
      <c r="I877"/>
    </row>
    <row r="878" spans="6:9" x14ac:dyDescent="0.35">
      <c r="F878"/>
      <c r="I878"/>
    </row>
    <row r="879" spans="6:9" x14ac:dyDescent="0.35">
      <c r="F879"/>
      <c r="I879"/>
    </row>
    <row r="880" spans="6:9" x14ac:dyDescent="0.35">
      <c r="F880"/>
      <c r="I880"/>
    </row>
    <row r="881" spans="6:9" x14ac:dyDescent="0.35">
      <c r="F881"/>
      <c r="I881"/>
    </row>
    <row r="882" spans="6:9" x14ac:dyDescent="0.35">
      <c r="F882"/>
      <c r="I882"/>
    </row>
    <row r="883" spans="6:9" x14ac:dyDescent="0.35">
      <c r="F883"/>
      <c r="I883"/>
    </row>
    <row r="884" spans="6:9" x14ac:dyDescent="0.35">
      <c r="F884"/>
      <c r="I884"/>
    </row>
    <row r="885" spans="6:9" x14ac:dyDescent="0.35">
      <c r="F885"/>
      <c r="I885"/>
    </row>
    <row r="886" spans="6:9" x14ac:dyDescent="0.35">
      <c r="F886"/>
      <c r="I886"/>
    </row>
    <row r="887" spans="6:9" x14ac:dyDescent="0.35">
      <c r="F887"/>
      <c r="I887"/>
    </row>
    <row r="888" spans="6:9" x14ac:dyDescent="0.35">
      <c r="F888"/>
      <c r="I888"/>
    </row>
    <row r="889" spans="6:9" x14ac:dyDescent="0.35">
      <c r="F889"/>
      <c r="I889"/>
    </row>
    <row r="890" spans="6:9" x14ac:dyDescent="0.35">
      <c r="F890"/>
      <c r="I890"/>
    </row>
    <row r="891" spans="6:9" x14ac:dyDescent="0.35">
      <c r="F891"/>
      <c r="I891"/>
    </row>
    <row r="892" spans="6:9" x14ac:dyDescent="0.35">
      <c r="F892"/>
      <c r="I892"/>
    </row>
    <row r="893" spans="6:9" x14ac:dyDescent="0.35">
      <c r="F893"/>
      <c r="I893"/>
    </row>
    <row r="894" spans="6:9" x14ac:dyDescent="0.35">
      <c r="F894"/>
      <c r="I894"/>
    </row>
    <row r="895" spans="6:9" x14ac:dyDescent="0.35">
      <c r="F895"/>
      <c r="I895"/>
    </row>
    <row r="896" spans="6:9" x14ac:dyDescent="0.35">
      <c r="F896"/>
      <c r="I896"/>
    </row>
    <row r="897" spans="6:9" x14ac:dyDescent="0.35">
      <c r="F897"/>
      <c r="I897"/>
    </row>
    <row r="898" spans="6:9" x14ac:dyDescent="0.35">
      <c r="F898"/>
      <c r="I898"/>
    </row>
    <row r="899" spans="6:9" x14ac:dyDescent="0.35">
      <c r="F899"/>
      <c r="I899"/>
    </row>
    <row r="900" spans="6:9" x14ac:dyDescent="0.35">
      <c r="F900"/>
      <c r="I900"/>
    </row>
    <row r="901" spans="6:9" x14ac:dyDescent="0.35">
      <c r="F901"/>
      <c r="I901"/>
    </row>
    <row r="902" spans="6:9" x14ac:dyDescent="0.35">
      <c r="F902"/>
      <c r="I902"/>
    </row>
    <row r="903" spans="6:9" x14ac:dyDescent="0.35">
      <c r="F903"/>
      <c r="I903"/>
    </row>
    <row r="904" spans="6:9" x14ac:dyDescent="0.35">
      <c r="F904"/>
      <c r="I904"/>
    </row>
    <row r="905" spans="6:9" x14ac:dyDescent="0.35">
      <c r="F905"/>
      <c r="I905"/>
    </row>
    <row r="906" spans="6:9" x14ac:dyDescent="0.35">
      <c r="F906"/>
      <c r="I906"/>
    </row>
    <row r="907" spans="6:9" x14ac:dyDescent="0.35">
      <c r="F907"/>
      <c r="I907"/>
    </row>
    <row r="908" spans="6:9" x14ac:dyDescent="0.35">
      <c r="F908"/>
      <c r="I908"/>
    </row>
    <row r="909" spans="6:9" x14ac:dyDescent="0.35">
      <c r="F909"/>
      <c r="I909"/>
    </row>
    <row r="910" spans="6:9" x14ac:dyDescent="0.35">
      <c r="F910"/>
      <c r="I910"/>
    </row>
    <row r="911" spans="6:9" x14ac:dyDescent="0.35">
      <c r="F911"/>
      <c r="I911"/>
    </row>
    <row r="912" spans="6:9" x14ac:dyDescent="0.35">
      <c r="F912"/>
      <c r="I912"/>
    </row>
    <row r="913" spans="6:9" x14ac:dyDescent="0.35">
      <c r="F913"/>
      <c r="I913"/>
    </row>
    <row r="914" spans="6:9" x14ac:dyDescent="0.35">
      <c r="F914"/>
      <c r="I914"/>
    </row>
    <row r="915" spans="6:9" x14ac:dyDescent="0.35">
      <c r="F915"/>
      <c r="I915"/>
    </row>
    <row r="916" spans="6:9" x14ac:dyDescent="0.35">
      <c r="F916"/>
      <c r="I916"/>
    </row>
    <row r="917" spans="6:9" x14ac:dyDescent="0.35">
      <c r="F917"/>
      <c r="I917"/>
    </row>
    <row r="918" spans="6:9" x14ac:dyDescent="0.35">
      <c r="F918"/>
      <c r="I918"/>
    </row>
    <row r="919" spans="6:9" x14ac:dyDescent="0.35">
      <c r="F919"/>
      <c r="I919"/>
    </row>
    <row r="920" spans="6:9" x14ac:dyDescent="0.35">
      <c r="F920"/>
      <c r="I920"/>
    </row>
    <row r="921" spans="6:9" x14ac:dyDescent="0.35">
      <c r="F921"/>
      <c r="I921"/>
    </row>
    <row r="922" spans="6:9" x14ac:dyDescent="0.35">
      <c r="F922"/>
      <c r="I922"/>
    </row>
    <row r="923" spans="6:9" x14ac:dyDescent="0.35">
      <c r="F923"/>
      <c r="I923"/>
    </row>
    <row r="924" spans="6:9" x14ac:dyDescent="0.35">
      <c r="F924"/>
      <c r="I924"/>
    </row>
    <row r="925" spans="6:9" x14ac:dyDescent="0.35">
      <c r="F925"/>
      <c r="I925"/>
    </row>
    <row r="926" spans="6:9" x14ac:dyDescent="0.35">
      <c r="F926"/>
      <c r="I926"/>
    </row>
    <row r="927" spans="6:9" x14ac:dyDescent="0.35">
      <c r="F927"/>
      <c r="I927"/>
    </row>
    <row r="928" spans="6:9" x14ac:dyDescent="0.35">
      <c r="F928"/>
      <c r="I928"/>
    </row>
    <row r="929" spans="6:9" x14ac:dyDescent="0.35">
      <c r="F929"/>
      <c r="I929"/>
    </row>
    <row r="930" spans="6:9" x14ac:dyDescent="0.35">
      <c r="F930"/>
      <c r="I930"/>
    </row>
    <row r="931" spans="6:9" x14ac:dyDescent="0.35">
      <c r="F931"/>
      <c r="I931"/>
    </row>
    <row r="932" spans="6:9" x14ac:dyDescent="0.35">
      <c r="F932"/>
      <c r="I932"/>
    </row>
    <row r="933" spans="6:9" x14ac:dyDescent="0.35">
      <c r="F933"/>
      <c r="I933"/>
    </row>
    <row r="934" spans="6:9" x14ac:dyDescent="0.35">
      <c r="F934"/>
      <c r="I934"/>
    </row>
    <row r="935" spans="6:9" x14ac:dyDescent="0.35">
      <c r="F935"/>
      <c r="I935"/>
    </row>
    <row r="936" spans="6:9" x14ac:dyDescent="0.35">
      <c r="F936"/>
      <c r="I936"/>
    </row>
    <row r="937" spans="6:9" x14ac:dyDescent="0.35">
      <c r="F937"/>
      <c r="I937"/>
    </row>
    <row r="938" spans="6:9" x14ac:dyDescent="0.35">
      <c r="F938"/>
      <c r="I938"/>
    </row>
    <row r="939" spans="6:9" x14ac:dyDescent="0.35">
      <c r="F939"/>
      <c r="I939"/>
    </row>
    <row r="940" spans="6:9" x14ac:dyDescent="0.35">
      <c r="F940"/>
      <c r="I940"/>
    </row>
    <row r="941" spans="6:9" x14ac:dyDescent="0.35">
      <c r="F941"/>
      <c r="I941"/>
    </row>
    <row r="942" spans="6:9" x14ac:dyDescent="0.35">
      <c r="F942"/>
      <c r="I942"/>
    </row>
    <row r="943" spans="6:9" x14ac:dyDescent="0.35">
      <c r="F943"/>
      <c r="I943"/>
    </row>
    <row r="944" spans="6:9" x14ac:dyDescent="0.35">
      <c r="F944"/>
      <c r="I944"/>
    </row>
    <row r="945" spans="6:9" x14ac:dyDescent="0.35">
      <c r="F945"/>
      <c r="I945"/>
    </row>
    <row r="946" spans="6:9" x14ac:dyDescent="0.35">
      <c r="F946"/>
      <c r="I946"/>
    </row>
    <row r="947" spans="6:9" x14ac:dyDescent="0.35">
      <c r="F947"/>
      <c r="I947"/>
    </row>
    <row r="948" spans="6:9" x14ac:dyDescent="0.35">
      <c r="F948"/>
      <c r="I948"/>
    </row>
    <row r="949" spans="6:9" x14ac:dyDescent="0.35">
      <c r="F949"/>
      <c r="I949"/>
    </row>
    <row r="950" spans="6:9" x14ac:dyDescent="0.35">
      <c r="F950"/>
      <c r="I950"/>
    </row>
    <row r="951" spans="6:9" x14ac:dyDescent="0.35">
      <c r="F951"/>
      <c r="I951"/>
    </row>
    <row r="952" spans="6:9" x14ac:dyDescent="0.35">
      <c r="F952"/>
      <c r="I952"/>
    </row>
    <row r="953" spans="6:9" x14ac:dyDescent="0.35">
      <c r="F953"/>
      <c r="I953"/>
    </row>
    <row r="954" spans="6:9" x14ac:dyDescent="0.35">
      <c r="F954"/>
      <c r="I954"/>
    </row>
    <row r="955" spans="6:9" x14ac:dyDescent="0.35">
      <c r="F955"/>
      <c r="I955"/>
    </row>
    <row r="956" spans="6:9" x14ac:dyDescent="0.35">
      <c r="F956"/>
      <c r="I956"/>
    </row>
    <row r="957" spans="6:9" x14ac:dyDescent="0.35">
      <c r="F957"/>
      <c r="I957"/>
    </row>
    <row r="958" spans="6:9" x14ac:dyDescent="0.35">
      <c r="F958"/>
      <c r="I958"/>
    </row>
    <row r="959" spans="6:9" x14ac:dyDescent="0.35">
      <c r="F959"/>
      <c r="I959"/>
    </row>
    <row r="960" spans="6:9" x14ac:dyDescent="0.35">
      <c r="F960"/>
      <c r="I960"/>
    </row>
    <row r="961" spans="6:9" x14ac:dyDescent="0.35">
      <c r="F961"/>
      <c r="I961"/>
    </row>
    <row r="962" spans="6:9" x14ac:dyDescent="0.35">
      <c r="F962"/>
      <c r="I962"/>
    </row>
    <row r="963" spans="6:9" x14ac:dyDescent="0.35">
      <c r="F963"/>
      <c r="I963"/>
    </row>
    <row r="964" spans="6:9" x14ac:dyDescent="0.35">
      <c r="F964"/>
      <c r="I964"/>
    </row>
    <row r="965" spans="6:9" x14ac:dyDescent="0.35">
      <c r="F965"/>
      <c r="I965"/>
    </row>
    <row r="966" spans="6:9" x14ac:dyDescent="0.35">
      <c r="F966"/>
      <c r="I966"/>
    </row>
    <row r="967" spans="6:9" x14ac:dyDescent="0.35">
      <c r="F967"/>
      <c r="I967"/>
    </row>
    <row r="968" spans="6:9" x14ac:dyDescent="0.35">
      <c r="F968"/>
      <c r="I968"/>
    </row>
    <row r="969" spans="6:9" x14ac:dyDescent="0.35">
      <c r="F969"/>
      <c r="I969"/>
    </row>
    <row r="970" spans="6:9" x14ac:dyDescent="0.35">
      <c r="F970"/>
      <c r="I970"/>
    </row>
    <row r="971" spans="6:9" x14ac:dyDescent="0.35">
      <c r="F971"/>
      <c r="I971"/>
    </row>
    <row r="972" spans="6:9" x14ac:dyDescent="0.35">
      <c r="F972"/>
      <c r="I972"/>
    </row>
    <row r="973" spans="6:9" x14ac:dyDescent="0.35">
      <c r="F973"/>
      <c r="I973"/>
    </row>
    <row r="974" spans="6:9" x14ac:dyDescent="0.35">
      <c r="F974"/>
      <c r="I974"/>
    </row>
    <row r="975" spans="6:9" x14ac:dyDescent="0.35">
      <c r="F975"/>
      <c r="I975"/>
    </row>
    <row r="976" spans="6:9" x14ac:dyDescent="0.35">
      <c r="F976"/>
      <c r="I976"/>
    </row>
    <row r="977" spans="6:9" x14ac:dyDescent="0.35">
      <c r="F977"/>
      <c r="I977"/>
    </row>
    <row r="978" spans="6:9" x14ac:dyDescent="0.35">
      <c r="F978"/>
      <c r="I978"/>
    </row>
    <row r="979" spans="6:9" x14ac:dyDescent="0.35">
      <c r="F979"/>
      <c r="I979"/>
    </row>
    <row r="980" spans="6:9" x14ac:dyDescent="0.35">
      <c r="F980"/>
      <c r="I980"/>
    </row>
    <row r="981" spans="6:9" x14ac:dyDescent="0.35">
      <c r="F981"/>
      <c r="I981"/>
    </row>
    <row r="982" spans="6:9" x14ac:dyDescent="0.35">
      <c r="F982"/>
      <c r="I982"/>
    </row>
    <row r="983" spans="6:9" x14ac:dyDescent="0.35">
      <c r="F983"/>
      <c r="I983"/>
    </row>
    <row r="984" spans="6:9" x14ac:dyDescent="0.35">
      <c r="F984"/>
      <c r="I984"/>
    </row>
    <row r="985" spans="6:9" x14ac:dyDescent="0.35">
      <c r="F985"/>
      <c r="I985"/>
    </row>
    <row r="986" spans="6:9" x14ac:dyDescent="0.35">
      <c r="F986"/>
      <c r="I986"/>
    </row>
    <row r="987" spans="6:9" x14ac:dyDescent="0.35">
      <c r="F987"/>
      <c r="I987"/>
    </row>
    <row r="988" spans="6:9" x14ac:dyDescent="0.35">
      <c r="F988"/>
      <c r="I988"/>
    </row>
    <row r="989" spans="6:9" x14ac:dyDescent="0.35">
      <c r="F989"/>
      <c r="I989"/>
    </row>
    <row r="990" spans="6:9" x14ac:dyDescent="0.35">
      <c r="F990"/>
      <c r="I990"/>
    </row>
    <row r="991" spans="6:9" x14ac:dyDescent="0.35">
      <c r="F991"/>
      <c r="I991"/>
    </row>
    <row r="992" spans="6:9" x14ac:dyDescent="0.35">
      <c r="F992"/>
      <c r="I992"/>
    </row>
    <row r="993" spans="6:9" x14ac:dyDescent="0.35">
      <c r="F993"/>
      <c r="I993"/>
    </row>
    <row r="994" spans="6:9" x14ac:dyDescent="0.35">
      <c r="F994"/>
      <c r="I994"/>
    </row>
    <row r="995" spans="6:9" x14ac:dyDescent="0.35">
      <c r="F995"/>
      <c r="I995"/>
    </row>
    <row r="996" spans="6:9" x14ac:dyDescent="0.35">
      <c r="F996"/>
      <c r="I996"/>
    </row>
    <row r="997" spans="6:9" x14ac:dyDescent="0.35">
      <c r="F997"/>
      <c r="I997"/>
    </row>
    <row r="998" spans="6:9" x14ac:dyDescent="0.35">
      <c r="F998"/>
      <c r="I998"/>
    </row>
    <row r="999" spans="6:9" x14ac:dyDescent="0.35">
      <c r="F999"/>
      <c r="I999"/>
    </row>
    <row r="1000" spans="6:9" x14ac:dyDescent="0.35">
      <c r="F1000"/>
      <c r="I1000"/>
    </row>
    <row r="1001" spans="6:9" x14ac:dyDescent="0.35">
      <c r="F1001"/>
      <c r="I1001"/>
    </row>
    <row r="1002" spans="6:9" x14ac:dyDescent="0.35">
      <c r="F1002"/>
      <c r="I1002"/>
    </row>
    <row r="1003" spans="6:9" x14ac:dyDescent="0.35">
      <c r="F1003"/>
      <c r="I1003"/>
    </row>
    <row r="1004" spans="6:9" x14ac:dyDescent="0.35">
      <c r="F1004"/>
      <c r="I1004"/>
    </row>
    <row r="1005" spans="6:9" x14ac:dyDescent="0.35">
      <c r="F1005"/>
      <c r="I1005"/>
    </row>
    <row r="1006" spans="6:9" x14ac:dyDescent="0.35">
      <c r="F1006"/>
      <c r="I1006"/>
    </row>
    <row r="1007" spans="6:9" x14ac:dyDescent="0.35">
      <c r="F1007"/>
      <c r="I1007"/>
    </row>
    <row r="1008" spans="6:9" x14ac:dyDescent="0.35">
      <c r="F1008"/>
      <c r="I1008"/>
    </row>
    <row r="1009" spans="6:9" x14ac:dyDescent="0.35">
      <c r="F1009"/>
      <c r="I1009"/>
    </row>
    <row r="1010" spans="6:9" x14ac:dyDescent="0.35">
      <c r="F1010"/>
      <c r="I1010"/>
    </row>
    <row r="1011" spans="6:9" x14ac:dyDescent="0.35">
      <c r="F1011"/>
      <c r="I1011"/>
    </row>
    <row r="1012" spans="6:9" x14ac:dyDescent="0.35">
      <c r="F1012"/>
      <c r="I1012"/>
    </row>
    <row r="1013" spans="6:9" x14ac:dyDescent="0.35">
      <c r="F1013"/>
      <c r="I1013"/>
    </row>
    <row r="1014" spans="6:9" x14ac:dyDescent="0.35">
      <c r="F1014"/>
      <c r="I1014"/>
    </row>
    <row r="1015" spans="6:9" x14ac:dyDescent="0.35">
      <c r="F1015"/>
      <c r="I1015"/>
    </row>
    <row r="1016" spans="6:9" x14ac:dyDescent="0.35">
      <c r="F1016"/>
      <c r="I1016"/>
    </row>
    <row r="1017" spans="6:9" x14ac:dyDescent="0.35">
      <c r="F1017"/>
      <c r="I1017"/>
    </row>
    <row r="1018" spans="6:9" x14ac:dyDescent="0.35">
      <c r="F1018"/>
      <c r="I1018"/>
    </row>
    <row r="1019" spans="6:9" x14ac:dyDescent="0.35">
      <c r="F1019"/>
      <c r="I1019"/>
    </row>
    <row r="1020" spans="6:9" x14ac:dyDescent="0.35">
      <c r="F1020"/>
      <c r="I1020"/>
    </row>
    <row r="1021" spans="6:9" x14ac:dyDescent="0.35">
      <c r="F1021"/>
      <c r="I1021"/>
    </row>
    <row r="1022" spans="6:9" x14ac:dyDescent="0.35">
      <c r="F1022"/>
      <c r="I1022"/>
    </row>
    <row r="1023" spans="6:9" x14ac:dyDescent="0.35">
      <c r="F1023"/>
      <c r="I1023"/>
    </row>
    <row r="1024" spans="6:9" x14ac:dyDescent="0.35">
      <c r="F1024"/>
      <c r="I1024"/>
    </row>
    <row r="1025" spans="6:9" x14ac:dyDescent="0.35">
      <c r="F1025"/>
      <c r="I1025"/>
    </row>
    <row r="1026" spans="6:9" x14ac:dyDescent="0.35">
      <c r="F1026"/>
      <c r="I1026"/>
    </row>
    <row r="1027" spans="6:9" x14ac:dyDescent="0.35">
      <c r="F1027"/>
      <c r="I1027"/>
    </row>
    <row r="1028" spans="6:9" x14ac:dyDescent="0.35">
      <c r="F1028"/>
      <c r="I1028"/>
    </row>
    <row r="1029" spans="6:9" x14ac:dyDescent="0.35">
      <c r="F1029"/>
      <c r="I1029"/>
    </row>
    <row r="1030" spans="6:9" x14ac:dyDescent="0.35">
      <c r="F1030"/>
      <c r="I1030"/>
    </row>
    <row r="1031" spans="6:9" x14ac:dyDescent="0.35">
      <c r="F1031"/>
      <c r="I1031"/>
    </row>
    <row r="1032" spans="6:9" x14ac:dyDescent="0.35">
      <c r="F1032"/>
      <c r="I1032"/>
    </row>
    <row r="1033" spans="6:9" x14ac:dyDescent="0.35">
      <c r="F1033"/>
      <c r="I1033"/>
    </row>
    <row r="1034" spans="6:9" x14ac:dyDescent="0.35">
      <c r="F1034"/>
      <c r="I1034"/>
    </row>
    <row r="1035" spans="6:9" x14ac:dyDescent="0.35">
      <c r="F1035"/>
      <c r="I1035"/>
    </row>
    <row r="1036" spans="6:9" x14ac:dyDescent="0.35">
      <c r="F1036"/>
      <c r="I1036"/>
    </row>
    <row r="1037" spans="6:9" x14ac:dyDescent="0.35">
      <c r="F1037"/>
      <c r="I1037"/>
    </row>
    <row r="1038" spans="6:9" x14ac:dyDescent="0.35">
      <c r="F1038"/>
      <c r="I1038"/>
    </row>
    <row r="1039" spans="6:9" x14ac:dyDescent="0.35">
      <c r="F1039"/>
      <c r="I1039"/>
    </row>
    <row r="1040" spans="6:9" x14ac:dyDescent="0.35">
      <c r="F1040"/>
      <c r="I1040"/>
    </row>
    <row r="1041" spans="6:9" x14ac:dyDescent="0.35">
      <c r="F1041"/>
      <c r="I1041"/>
    </row>
    <row r="1042" spans="6:9" x14ac:dyDescent="0.35">
      <c r="F1042"/>
      <c r="I1042"/>
    </row>
    <row r="1043" spans="6:9" x14ac:dyDescent="0.35">
      <c r="F1043"/>
      <c r="I1043"/>
    </row>
    <row r="1044" spans="6:9" x14ac:dyDescent="0.35">
      <c r="F1044"/>
      <c r="I1044"/>
    </row>
    <row r="1045" spans="6:9" x14ac:dyDescent="0.35">
      <c r="F1045"/>
      <c r="I1045"/>
    </row>
    <row r="1046" spans="6:9" x14ac:dyDescent="0.35">
      <c r="F1046"/>
      <c r="I1046"/>
    </row>
    <row r="1047" spans="6:9" x14ac:dyDescent="0.35">
      <c r="F1047"/>
      <c r="I1047"/>
    </row>
    <row r="1048" spans="6:9" x14ac:dyDescent="0.35">
      <c r="F1048"/>
      <c r="I1048"/>
    </row>
    <row r="1049" spans="6:9" x14ac:dyDescent="0.35">
      <c r="F1049"/>
      <c r="I1049"/>
    </row>
    <row r="1050" spans="6:9" x14ac:dyDescent="0.35">
      <c r="F1050"/>
      <c r="I1050"/>
    </row>
    <row r="1051" spans="6:9" x14ac:dyDescent="0.35">
      <c r="F1051"/>
      <c r="I1051"/>
    </row>
    <row r="1052" spans="6:9" x14ac:dyDescent="0.35">
      <c r="F1052"/>
      <c r="I1052"/>
    </row>
    <row r="1053" spans="6:9" x14ac:dyDescent="0.35">
      <c r="F1053"/>
      <c r="I1053"/>
    </row>
    <row r="1054" spans="6:9" x14ac:dyDescent="0.35">
      <c r="F1054"/>
      <c r="I1054"/>
    </row>
    <row r="1055" spans="6:9" x14ac:dyDescent="0.35">
      <c r="F1055"/>
      <c r="I1055"/>
    </row>
    <row r="1056" spans="6:9" x14ac:dyDescent="0.35">
      <c r="F1056"/>
      <c r="I1056"/>
    </row>
    <row r="1057" spans="6:9" x14ac:dyDescent="0.35">
      <c r="F1057"/>
      <c r="I1057"/>
    </row>
    <row r="1058" spans="6:9" x14ac:dyDescent="0.35">
      <c r="F1058"/>
      <c r="I1058"/>
    </row>
    <row r="1059" spans="6:9" x14ac:dyDescent="0.35">
      <c r="F1059"/>
      <c r="I1059"/>
    </row>
    <row r="1060" spans="6:9" x14ac:dyDescent="0.35">
      <c r="F1060"/>
      <c r="I1060"/>
    </row>
    <row r="1061" spans="6:9" x14ac:dyDescent="0.35">
      <c r="F1061"/>
      <c r="I1061"/>
    </row>
    <row r="1062" spans="6:9" x14ac:dyDescent="0.35">
      <c r="F1062"/>
      <c r="I1062"/>
    </row>
    <row r="1063" spans="6:9" x14ac:dyDescent="0.35">
      <c r="F1063"/>
      <c r="I1063"/>
    </row>
    <row r="1064" spans="6:9" x14ac:dyDescent="0.35">
      <c r="F1064"/>
      <c r="I1064"/>
    </row>
    <row r="1065" spans="6:9" x14ac:dyDescent="0.35">
      <c r="F1065"/>
      <c r="I1065"/>
    </row>
    <row r="1066" spans="6:9" x14ac:dyDescent="0.35">
      <c r="F1066"/>
      <c r="I1066"/>
    </row>
    <row r="1067" spans="6:9" x14ac:dyDescent="0.35">
      <c r="F1067"/>
      <c r="I1067"/>
    </row>
    <row r="1068" spans="6:9" x14ac:dyDescent="0.35">
      <c r="F1068"/>
      <c r="I1068"/>
    </row>
    <row r="1069" spans="6:9" x14ac:dyDescent="0.35">
      <c r="F1069"/>
      <c r="I1069"/>
    </row>
    <row r="1070" spans="6:9" x14ac:dyDescent="0.35">
      <c r="F1070"/>
      <c r="I1070"/>
    </row>
    <row r="1071" spans="6:9" x14ac:dyDescent="0.35">
      <c r="F1071"/>
      <c r="I1071"/>
    </row>
    <row r="1072" spans="6:9" x14ac:dyDescent="0.35">
      <c r="F1072"/>
      <c r="I1072"/>
    </row>
    <row r="1073" spans="6:9" x14ac:dyDescent="0.35">
      <c r="F1073"/>
      <c r="I1073"/>
    </row>
    <row r="1074" spans="6:9" x14ac:dyDescent="0.35">
      <c r="F1074"/>
      <c r="I1074"/>
    </row>
    <row r="1075" spans="6:9" x14ac:dyDescent="0.35">
      <c r="F1075"/>
      <c r="I1075"/>
    </row>
    <row r="1076" spans="6:9" x14ac:dyDescent="0.35">
      <c r="F1076"/>
      <c r="I1076"/>
    </row>
    <row r="1077" spans="6:9" x14ac:dyDescent="0.35">
      <c r="F1077"/>
      <c r="I1077"/>
    </row>
    <row r="1078" spans="6:9" x14ac:dyDescent="0.35">
      <c r="F1078"/>
      <c r="I1078"/>
    </row>
    <row r="1079" spans="6:9" x14ac:dyDescent="0.35">
      <c r="F1079"/>
      <c r="I1079"/>
    </row>
    <row r="1080" spans="6:9" x14ac:dyDescent="0.35">
      <c r="F1080"/>
      <c r="I1080"/>
    </row>
    <row r="1081" spans="6:9" x14ac:dyDescent="0.35">
      <c r="F1081"/>
      <c r="I1081"/>
    </row>
    <row r="1082" spans="6:9" x14ac:dyDescent="0.35">
      <c r="F1082"/>
      <c r="I1082"/>
    </row>
    <row r="1083" spans="6:9" x14ac:dyDescent="0.35">
      <c r="F1083"/>
      <c r="I1083"/>
    </row>
    <row r="1084" spans="6:9" x14ac:dyDescent="0.35">
      <c r="F1084"/>
      <c r="I1084"/>
    </row>
    <row r="1085" spans="6:9" x14ac:dyDescent="0.35">
      <c r="F1085"/>
      <c r="I1085"/>
    </row>
    <row r="1086" spans="6:9" x14ac:dyDescent="0.35">
      <c r="F1086"/>
      <c r="I1086"/>
    </row>
    <row r="1087" spans="6:9" x14ac:dyDescent="0.35">
      <c r="F1087"/>
      <c r="I1087"/>
    </row>
    <row r="1088" spans="6:9" x14ac:dyDescent="0.35">
      <c r="F1088"/>
      <c r="I1088"/>
    </row>
    <row r="1089" spans="6:9" x14ac:dyDescent="0.35">
      <c r="F1089"/>
      <c r="I1089"/>
    </row>
    <row r="1090" spans="6:9" x14ac:dyDescent="0.35">
      <c r="F1090"/>
      <c r="I1090"/>
    </row>
    <row r="1091" spans="6:9" x14ac:dyDescent="0.35">
      <c r="F1091"/>
      <c r="I1091"/>
    </row>
    <row r="1092" spans="6:9" x14ac:dyDescent="0.35">
      <c r="F1092"/>
      <c r="I1092"/>
    </row>
    <row r="1093" spans="6:9" x14ac:dyDescent="0.35">
      <c r="F1093"/>
      <c r="I1093"/>
    </row>
    <row r="1094" spans="6:9" x14ac:dyDescent="0.35">
      <c r="F1094"/>
      <c r="I1094"/>
    </row>
    <row r="1095" spans="6:9" x14ac:dyDescent="0.35">
      <c r="F1095"/>
      <c r="I1095"/>
    </row>
    <row r="1096" spans="6:9" x14ac:dyDescent="0.35">
      <c r="F1096"/>
      <c r="I1096"/>
    </row>
    <row r="1097" spans="6:9" x14ac:dyDescent="0.35">
      <c r="F1097"/>
      <c r="I1097"/>
    </row>
    <row r="1098" spans="6:9" x14ac:dyDescent="0.35">
      <c r="F1098"/>
      <c r="I1098"/>
    </row>
    <row r="1099" spans="6:9" x14ac:dyDescent="0.35">
      <c r="F1099"/>
      <c r="I1099"/>
    </row>
    <row r="1100" spans="6:9" x14ac:dyDescent="0.35">
      <c r="F1100"/>
      <c r="I1100"/>
    </row>
    <row r="1101" spans="6:9" x14ac:dyDescent="0.35">
      <c r="F1101"/>
      <c r="I1101"/>
    </row>
    <row r="1102" spans="6:9" x14ac:dyDescent="0.35">
      <c r="F1102"/>
      <c r="I1102"/>
    </row>
    <row r="1103" spans="6:9" x14ac:dyDescent="0.35">
      <c r="F1103"/>
      <c r="I1103"/>
    </row>
    <row r="1104" spans="6:9" x14ac:dyDescent="0.35">
      <c r="F1104"/>
      <c r="I1104"/>
    </row>
    <row r="1105" spans="6:9" x14ac:dyDescent="0.35">
      <c r="F1105"/>
      <c r="I1105"/>
    </row>
    <row r="1106" spans="6:9" x14ac:dyDescent="0.35">
      <c r="F1106"/>
      <c r="I1106"/>
    </row>
    <row r="1107" spans="6:9" x14ac:dyDescent="0.35">
      <c r="F1107"/>
      <c r="I1107"/>
    </row>
    <row r="1108" spans="6:9" x14ac:dyDescent="0.35">
      <c r="F1108"/>
      <c r="I1108"/>
    </row>
    <row r="1109" spans="6:9" x14ac:dyDescent="0.35">
      <c r="F1109"/>
      <c r="I1109"/>
    </row>
    <row r="1110" spans="6:9" x14ac:dyDescent="0.35">
      <c r="F1110"/>
      <c r="I1110"/>
    </row>
    <row r="1111" spans="6:9" x14ac:dyDescent="0.35">
      <c r="F1111"/>
      <c r="I1111"/>
    </row>
    <row r="1112" spans="6:9" x14ac:dyDescent="0.35">
      <c r="F1112"/>
      <c r="I1112"/>
    </row>
    <row r="1113" spans="6:9" x14ac:dyDescent="0.35">
      <c r="F1113"/>
      <c r="I1113"/>
    </row>
    <row r="1114" spans="6:9" x14ac:dyDescent="0.35">
      <c r="F1114"/>
      <c r="I1114"/>
    </row>
    <row r="1115" spans="6:9" x14ac:dyDescent="0.35">
      <c r="F1115"/>
      <c r="I1115"/>
    </row>
    <row r="1116" spans="6:9" x14ac:dyDescent="0.35">
      <c r="F1116"/>
      <c r="I1116"/>
    </row>
    <row r="1117" spans="6:9" x14ac:dyDescent="0.35">
      <c r="F1117"/>
      <c r="I1117"/>
    </row>
    <row r="1118" spans="6:9" x14ac:dyDescent="0.35">
      <c r="F1118"/>
      <c r="I1118"/>
    </row>
    <row r="1119" spans="6:9" x14ac:dyDescent="0.35">
      <c r="F1119"/>
      <c r="I1119"/>
    </row>
    <row r="1120" spans="6:9" x14ac:dyDescent="0.35">
      <c r="F1120"/>
      <c r="I1120"/>
    </row>
    <row r="1121" spans="6:9" x14ac:dyDescent="0.35">
      <c r="F1121"/>
      <c r="I1121"/>
    </row>
    <row r="1122" spans="6:9" x14ac:dyDescent="0.35">
      <c r="F1122"/>
      <c r="I1122"/>
    </row>
    <row r="1123" spans="6:9" x14ac:dyDescent="0.35">
      <c r="F1123"/>
      <c r="I1123"/>
    </row>
    <row r="1124" spans="6:9" x14ac:dyDescent="0.35">
      <c r="F1124"/>
      <c r="I1124"/>
    </row>
    <row r="1125" spans="6:9" x14ac:dyDescent="0.35">
      <c r="F1125"/>
      <c r="I1125"/>
    </row>
    <row r="1126" spans="6:9" x14ac:dyDescent="0.35">
      <c r="F1126"/>
      <c r="I1126"/>
    </row>
    <row r="1127" spans="6:9" x14ac:dyDescent="0.35">
      <c r="F1127"/>
      <c r="I1127"/>
    </row>
    <row r="1128" spans="6:9" x14ac:dyDescent="0.35">
      <c r="F1128"/>
      <c r="I1128"/>
    </row>
    <row r="1129" spans="6:9" x14ac:dyDescent="0.35">
      <c r="F1129"/>
      <c r="I1129"/>
    </row>
    <row r="1130" spans="6:9" x14ac:dyDescent="0.35">
      <c r="F1130"/>
      <c r="I1130"/>
    </row>
    <row r="1131" spans="6:9" x14ac:dyDescent="0.35">
      <c r="F1131"/>
      <c r="I1131"/>
    </row>
    <row r="1132" spans="6:9" x14ac:dyDescent="0.35">
      <c r="F1132"/>
      <c r="I1132"/>
    </row>
    <row r="1133" spans="6:9" x14ac:dyDescent="0.35">
      <c r="F1133"/>
      <c r="I1133"/>
    </row>
    <row r="1134" spans="6:9" x14ac:dyDescent="0.35">
      <c r="F1134"/>
      <c r="I1134"/>
    </row>
    <row r="1135" spans="6:9" x14ac:dyDescent="0.35">
      <c r="F1135"/>
      <c r="I1135"/>
    </row>
    <row r="1136" spans="6:9" x14ac:dyDescent="0.35">
      <c r="F1136"/>
      <c r="I1136"/>
    </row>
    <row r="1137" spans="6:9" x14ac:dyDescent="0.35">
      <c r="F1137"/>
      <c r="I1137"/>
    </row>
    <row r="1138" spans="6:9" x14ac:dyDescent="0.35">
      <c r="F1138"/>
      <c r="I1138"/>
    </row>
    <row r="1139" spans="6:9" x14ac:dyDescent="0.35">
      <c r="F1139"/>
      <c r="I1139"/>
    </row>
    <row r="1140" spans="6:9" x14ac:dyDescent="0.35">
      <c r="F1140"/>
      <c r="I1140"/>
    </row>
    <row r="1141" spans="6:9" x14ac:dyDescent="0.35">
      <c r="F1141"/>
      <c r="I1141"/>
    </row>
    <row r="1142" spans="6:9" x14ac:dyDescent="0.35">
      <c r="F1142"/>
      <c r="I1142"/>
    </row>
    <row r="1143" spans="6:9" x14ac:dyDescent="0.35">
      <c r="F1143"/>
      <c r="I1143"/>
    </row>
    <row r="1144" spans="6:9" x14ac:dyDescent="0.35">
      <c r="F1144"/>
      <c r="I1144"/>
    </row>
    <row r="1145" spans="6:9" x14ac:dyDescent="0.35">
      <c r="F1145"/>
      <c r="I1145"/>
    </row>
    <row r="1146" spans="6:9" x14ac:dyDescent="0.35">
      <c r="F1146"/>
      <c r="I1146"/>
    </row>
    <row r="1147" spans="6:9" x14ac:dyDescent="0.35">
      <c r="F1147"/>
      <c r="I1147"/>
    </row>
    <row r="1148" spans="6:9" x14ac:dyDescent="0.35">
      <c r="F1148"/>
      <c r="I1148"/>
    </row>
    <row r="1149" spans="6:9" x14ac:dyDescent="0.35">
      <c r="F1149"/>
      <c r="I1149"/>
    </row>
    <row r="1150" spans="6:9" x14ac:dyDescent="0.35">
      <c r="F1150"/>
      <c r="I1150"/>
    </row>
    <row r="1151" spans="6:9" x14ac:dyDescent="0.35">
      <c r="F1151"/>
      <c r="I1151"/>
    </row>
    <row r="1152" spans="6:9" x14ac:dyDescent="0.35">
      <c r="F1152"/>
      <c r="I1152"/>
    </row>
    <row r="1153" spans="6:9" x14ac:dyDescent="0.35">
      <c r="F1153"/>
      <c r="I1153"/>
    </row>
    <row r="1154" spans="6:9" x14ac:dyDescent="0.35">
      <c r="F1154"/>
      <c r="I1154"/>
    </row>
    <row r="1155" spans="6:9" x14ac:dyDescent="0.35">
      <c r="F1155"/>
      <c r="I1155"/>
    </row>
    <row r="1156" spans="6:9" x14ac:dyDescent="0.35">
      <c r="F1156"/>
      <c r="I1156"/>
    </row>
    <row r="1157" spans="6:9" x14ac:dyDescent="0.35">
      <c r="F1157"/>
      <c r="I1157"/>
    </row>
    <row r="1158" spans="6:9" x14ac:dyDescent="0.35">
      <c r="F1158"/>
      <c r="I1158"/>
    </row>
    <row r="1159" spans="6:9" x14ac:dyDescent="0.35">
      <c r="F1159"/>
      <c r="I1159"/>
    </row>
    <row r="1160" spans="6:9" x14ac:dyDescent="0.35">
      <c r="F1160"/>
      <c r="I1160"/>
    </row>
    <row r="1161" spans="6:9" x14ac:dyDescent="0.35">
      <c r="F1161"/>
      <c r="I1161"/>
    </row>
    <row r="1162" spans="6:9" x14ac:dyDescent="0.35">
      <c r="F1162"/>
      <c r="I1162"/>
    </row>
    <row r="1163" spans="6:9" x14ac:dyDescent="0.35">
      <c r="F1163"/>
      <c r="I1163"/>
    </row>
    <row r="1164" spans="6:9" x14ac:dyDescent="0.35">
      <c r="F1164"/>
      <c r="I1164"/>
    </row>
    <row r="1165" spans="6:9" x14ac:dyDescent="0.35">
      <c r="F1165"/>
      <c r="I1165"/>
    </row>
    <row r="1166" spans="6:9" x14ac:dyDescent="0.35">
      <c r="F1166"/>
      <c r="I1166"/>
    </row>
    <row r="1167" spans="6:9" x14ac:dyDescent="0.35">
      <c r="F1167"/>
      <c r="I1167"/>
    </row>
    <row r="1168" spans="6:9" x14ac:dyDescent="0.35">
      <c r="F1168"/>
      <c r="I1168"/>
    </row>
    <row r="1169" spans="6:32" x14ac:dyDescent="0.35">
      <c r="F1169"/>
      <c r="I1169"/>
    </row>
    <row r="1170" spans="6:32" x14ac:dyDescent="0.35">
      <c r="F1170"/>
      <c r="I1170"/>
    </row>
    <row r="1171" spans="6:32" x14ac:dyDescent="0.35">
      <c r="F1171"/>
      <c r="I1171"/>
    </row>
    <row r="1172" spans="6:32" x14ac:dyDescent="0.35">
      <c r="F1172"/>
      <c r="I1172"/>
    </row>
    <row r="1173" spans="6:32" x14ac:dyDescent="0.35">
      <c r="F1173"/>
      <c r="I1173"/>
    </row>
    <row r="1174" spans="6:32" x14ac:dyDescent="0.35">
      <c r="F1174"/>
      <c r="I1174"/>
    </row>
    <row r="1175" spans="6:32" x14ac:dyDescent="0.35">
      <c r="F1175"/>
      <c r="I1175"/>
    </row>
    <row r="1176" spans="6:32" x14ac:dyDescent="0.35">
      <c r="F1176"/>
      <c r="I1176"/>
    </row>
    <row r="1177" spans="6:32" x14ac:dyDescent="0.35">
      <c r="F1177"/>
      <c r="I1177"/>
    </row>
    <row r="1178" spans="6:32" x14ac:dyDescent="0.35">
      <c r="F1178"/>
      <c r="I1178"/>
    </row>
    <row r="1179" spans="6:32" x14ac:dyDescent="0.35">
      <c r="F1179"/>
      <c r="I1179"/>
      <c r="P1179" s="79"/>
      <c r="R1179" s="78"/>
      <c r="S1179" s="78"/>
      <c r="T1179" s="81"/>
      <c r="U1179" s="81"/>
      <c r="V1179" s="80"/>
      <c r="W1179" s="81"/>
      <c r="X1179" s="81"/>
      <c r="Y1179" s="81"/>
      <c r="Z1179" s="81"/>
      <c r="AA1179" s="81"/>
      <c r="AB1179" s="81"/>
      <c r="AC1179" s="81"/>
      <c r="AD1179" s="81"/>
      <c r="AE1179" s="81"/>
      <c r="AF1179" s="81"/>
    </row>
    <row r="1180" spans="6:32" x14ac:dyDescent="0.35">
      <c r="F1180"/>
      <c r="I1180"/>
    </row>
    <row r="1181" spans="6:32" x14ac:dyDescent="0.35">
      <c r="F1181"/>
      <c r="I1181"/>
    </row>
    <row r="1182" spans="6:32" x14ac:dyDescent="0.35">
      <c r="F1182"/>
      <c r="I1182"/>
    </row>
    <row r="1183" spans="6:32" x14ac:dyDescent="0.35">
      <c r="F1183"/>
      <c r="I1183"/>
    </row>
    <row r="1184" spans="6:32" x14ac:dyDescent="0.35">
      <c r="F1184"/>
      <c r="I1184"/>
    </row>
    <row r="1185" spans="6:9" x14ac:dyDescent="0.35">
      <c r="F1185"/>
      <c r="I1185"/>
    </row>
    <row r="1186" spans="6:9" x14ac:dyDescent="0.35">
      <c r="F1186"/>
      <c r="I1186"/>
    </row>
    <row r="1187" spans="6:9" x14ac:dyDescent="0.35">
      <c r="F1187"/>
      <c r="I1187"/>
    </row>
    <row r="1188" spans="6:9" x14ac:dyDescent="0.35">
      <c r="F1188"/>
      <c r="I1188"/>
    </row>
    <row r="1189" spans="6:9" x14ac:dyDescent="0.35">
      <c r="F1189"/>
      <c r="I1189"/>
    </row>
    <row r="1190" spans="6:9" x14ac:dyDescent="0.35">
      <c r="F1190"/>
      <c r="I1190"/>
    </row>
    <row r="1191" spans="6:9" x14ac:dyDescent="0.35">
      <c r="F1191"/>
      <c r="I1191"/>
    </row>
    <row r="1192" spans="6:9" x14ac:dyDescent="0.35">
      <c r="F1192"/>
      <c r="I1192"/>
    </row>
    <row r="1193" spans="6:9" x14ac:dyDescent="0.35">
      <c r="F1193"/>
      <c r="I1193"/>
    </row>
    <row r="1194" spans="6:9" x14ac:dyDescent="0.35">
      <c r="F1194"/>
      <c r="I1194"/>
    </row>
    <row r="1195" spans="6:9" x14ac:dyDescent="0.35">
      <c r="F1195"/>
      <c r="I1195"/>
    </row>
    <row r="1196" spans="6:9" x14ac:dyDescent="0.35">
      <c r="F1196"/>
      <c r="I1196"/>
    </row>
    <row r="1197" spans="6:9" x14ac:dyDescent="0.35">
      <c r="F1197"/>
      <c r="I1197"/>
    </row>
    <row r="1198" spans="6:9" x14ac:dyDescent="0.35">
      <c r="F1198"/>
      <c r="I1198"/>
    </row>
    <row r="1199" spans="6:9" x14ac:dyDescent="0.35">
      <c r="F1199"/>
      <c r="I1199"/>
    </row>
    <row r="1200" spans="6:9" x14ac:dyDescent="0.35">
      <c r="F1200"/>
      <c r="I1200"/>
    </row>
    <row r="1201" spans="6:9" x14ac:dyDescent="0.35">
      <c r="F1201"/>
      <c r="I1201"/>
    </row>
    <row r="1202" spans="6:9" x14ac:dyDescent="0.35">
      <c r="F1202"/>
      <c r="I1202"/>
    </row>
    <row r="1203" spans="6:9" x14ac:dyDescent="0.35">
      <c r="F1203"/>
      <c r="I1203"/>
    </row>
    <row r="1204" spans="6:9" x14ac:dyDescent="0.35">
      <c r="F1204"/>
      <c r="I1204"/>
    </row>
    <row r="1205" spans="6:9" x14ac:dyDescent="0.35">
      <c r="F1205"/>
      <c r="I1205"/>
    </row>
    <row r="1206" spans="6:9" x14ac:dyDescent="0.35">
      <c r="F1206"/>
      <c r="I1206"/>
    </row>
    <row r="1207" spans="6:9" x14ac:dyDescent="0.35">
      <c r="F1207"/>
      <c r="I1207"/>
    </row>
    <row r="1208" spans="6:9" x14ac:dyDescent="0.35">
      <c r="F1208"/>
      <c r="I1208"/>
    </row>
    <row r="1209" spans="6:9" x14ac:dyDescent="0.35">
      <c r="F1209"/>
      <c r="I1209"/>
    </row>
    <row r="1210" spans="6:9" x14ac:dyDescent="0.35">
      <c r="F1210"/>
      <c r="I1210"/>
    </row>
    <row r="1211" spans="6:9" x14ac:dyDescent="0.35">
      <c r="F1211"/>
      <c r="I1211"/>
    </row>
    <row r="1212" spans="6:9" x14ac:dyDescent="0.35">
      <c r="F1212"/>
      <c r="I1212"/>
    </row>
    <row r="1213" spans="6:9" x14ac:dyDescent="0.35">
      <c r="F1213"/>
      <c r="I1213"/>
    </row>
    <row r="1214" spans="6:9" x14ac:dyDescent="0.35">
      <c r="F1214"/>
      <c r="I1214"/>
    </row>
    <row r="1215" spans="6:9" x14ac:dyDescent="0.35">
      <c r="F1215"/>
      <c r="I1215"/>
    </row>
    <row r="1216" spans="6:9" x14ac:dyDescent="0.35">
      <c r="F1216"/>
      <c r="I1216"/>
    </row>
    <row r="1217" spans="6:9" x14ac:dyDescent="0.35">
      <c r="F1217"/>
      <c r="I1217"/>
    </row>
    <row r="1218" spans="6:9" x14ac:dyDescent="0.35">
      <c r="F1218"/>
      <c r="I1218"/>
    </row>
    <row r="1219" spans="6:9" x14ac:dyDescent="0.35">
      <c r="F1219"/>
      <c r="I1219"/>
    </row>
    <row r="1220" spans="6:9" x14ac:dyDescent="0.35">
      <c r="F1220"/>
      <c r="I1220"/>
    </row>
    <row r="1221" spans="6:9" x14ac:dyDescent="0.35">
      <c r="F1221"/>
      <c r="I1221"/>
    </row>
    <row r="1222" spans="6:9" x14ac:dyDescent="0.35">
      <c r="F1222"/>
      <c r="I1222"/>
    </row>
    <row r="1223" spans="6:9" x14ac:dyDescent="0.35">
      <c r="F1223"/>
      <c r="I1223"/>
    </row>
    <row r="1224" spans="6:9" x14ac:dyDescent="0.35">
      <c r="F1224"/>
      <c r="I1224"/>
    </row>
    <row r="1225" spans="6:9" x14ac:dyDescent="0.35">
      <c r="F1225"/>
      <c r="I1225"/>
    </row>
    <row r="1226" spans="6:9" x14ac:dyDescent="0.35">
      <c r="F1226"/>
      <c r="I1226"/>
    </row>
    <row r="1227" spans="6:9" x14ac:dyDescent="0.35">
      <c r="F1227"/>
      <c r="I1227"/>
    </row>
    <row r="1228" spans="6:9" x14ac:dyDescent="0.35">
      <c r="F1228"/>
      <c r="I1228"/>
    </row>
    <row r="1229" spans="6:9" x14ac:dyDescent="0.35">
      <c r="F1229"/>
      <c r="I1229"/>
    </row>
    <row r="1230" spans="6:9" x14ac:dyDescent="0.35">
      <c r="F1230"/>
      <c r="I1230"/>
    </row>
    <row r="1231" spans="6:9" x14ac:dyDescent="0.35">
      <c r="F1231"/>
      <c r="I1231"/>
    </row>
    <row r="1232" spans="6:9" x14ac:dyDescent="0.35">
      <c r="F1232"/>
      <c r="I1232"/>
    </row>
    <row r="1233" spans="6:9" x14ac:dyDescent="0.35">
      <c r="F1233"/>
      <c r="I1233"/>
    </row>
    <row r="1234" spans="6:9" x14ac:dyDescent="0.35">
      <c r="F1234"/>
      <c r="I1234"/>
    </row>
    <row r="1235" spans="6:9" x14ac:dyDescent="0.35">
      <c r="F1235"/>
      <c r="I1235"/>
    </row>
    <row r="1236" spans="6:9" x14ac:dyDescent="0.35">
      <c r="F1236"/>
      <c r="I1236"/>
    </row>
  </sheetData>
  <autoFilter ref="A7:AF1236" xr:uid="{926DC647-633B-4CE4-9B03-90E0B59A94C4}">
    <sortState xmlns:xlrd2="http://schemas.microsoft.com/office/spreadsheetml/2017/richdata2" ref="A8:AF1236">
      <sortCondition descending="1" ref="Q7:Q1236"/>
    </sortState>
  </autoFilter>
  <sortState xmlns:xlrd2="http://schemas.microsoft.com/office/spreadsheetml/2017/richdata2" ref="A7:Q169">
    <sortCondition descending="1" ref="Q7:Q169"/>
  </sortState>
  <mergeCells count="2">
    <mergeCell ref="AD6:AE6"/>
    <mergeCell ref="G3:K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1D7E8-707C-4EF1-8B1F-5BBB88F0942E}">
  <sheetPr>
    <tabColor rgb="FF92D050"/>
  </sheetPr>
  <dimension ref="A1:AE30"/>
  <sheetViews>
    <sheetView workbookViewId="0">
      <selection activeCell="C3" sqref="C3"/>
    </sheetView>
  </sheetViews>
  <sheetFormatPr defaultRowHeight="14.5" x14ac:dyDescent="0.35"/>
  <cols>
    <col min="3" max="3" width="10.7265625" customWidth="1"/>
    <col min="6" max="6" width="4.81640625" style="19" customWidth="1"/>
    <col min="7" max="7" width="10.453125" style="19" bestFit="1" customWidth="1"/>
    <col min="8" max="8" width="24.453125" customWidth="1"/>
    <col min="9" max="9" width="26.26953125" style="48" customWidth="1"/>
    <col min="10" max="15" width="3.81640625" customWidth="1"/>
    <col min="16" max="16" width="6.26953125" style="5" customWidth="1"/>
    <col min="17" max="17" width="12.54296875" style="3" bestFit="1" customWidth="1"/>
    <col min="18" max="18" width="17.453125" bestFit="1" customWidth="1"/>
    <col min="19" max="19" width="20.54296875" bestFit="1" customWidth="1"/>
  </cols>
  <sheetData>
    <row r="1" spans="1:31" x14ac:dyDescent="0.35">
      <c r="A1" t="s">
        <v>59</v>
      </c>
      <c r="C1" s="64">
        <f>Summary!A24</f>
        <v>5900050000</v>
      </c>
      <c r="D1" s="3"/>
    </row>
    <row r="2" spans="1:31" x14ac:dyDescent="0.35">
      <c r="A2" t="s">
        <v>60</v>
      </c>
      <c r="C2" s="64" t="str">
        <f>Summary!B24</f>
        <v>Other non banking expenses</v>
      </c>
      <c r="D2" s="3"/>
      <c r="G2" s="171" t="s">
        <v>98</v>
      </c>
    </row>
    <row r="3" spans="1:31" x14ac:dyDescent="0.35">
      <c r="A3" t="s">
        <v>61</v>
      </c>
      <c r="C3" s="22">
        <v>10292.089999999998</v>
      </c>
      <c r="D3" s="3"/>
      <c r="G3" s="171" t="s">
        <v>192</v>
      </c>
      <c r="AC3" s="3"/>
      <c r="AD3" s="3"/>
    </row>
    <row r="4" spans="1:31" x14ac:dyDescent="0.35">
      <c r="A4" t="s">
        <v>36</v>
      </c>
      <c r="C4" s="23">
        <f>SUM(E:E)</f>
        <v>10292.089999999887</v>
      </c>
      <c r="D4" s="3"/>
      <c r="T4" s="24" t="s">
        <v>0</v>
      </c>
      <c r="U4" s="3">
        <f>SUMIF($A$10:$A$23773,"AU001",U9:U23772)</f>
        <v>0</v>
      </c>
      <c r="AC4" s="3"/>
      <c r="AD4" s="3"/>
    </row>
    <row r="5" spans="1:31" ht="15" thickBot="1" x14ac:dyDescent="0.4">
      <c r="A5" t="s">
        <v>62</v>
      </c>
      <c r="C5" s="3">
        <f>C3-C4</f>
        <v>1.1095835361629725E-10</v>
      </c>
      <c r="D5" s="3"/>
      <c r="Q5" s="28"/>
      <c r="R5" s="24"/>
      <c r="T5" s="24" t="s">
        <v>27</v>
      </c>
      <c r="U5" s="3">
        <f>SUMIF($A$10:$A$23774,"AU052",U9:U23773)</f>
        <v>0</v>
      </c>
    </row>
    <row r="6" spans="1:31" ht="15" thickBot="1" x14ac:dyDescent="0.4">
      <c r="D6" s="3"/>
      <c r="AC6" s="207" t="s">
        <v>35</v>
      </c>
      <c r="AD6" s="208"/>
    </row>
    <row r="7" spans="1:31" s="46" customFormat="1" ht="116.5" thickBot="1" x14ac:dyDescent="0.4">
      <c r="A7" s="202" t="s">
        <v>63</v>
      </c>
      <c r="B7" s="176" t="s">
        <v>313</v>
      </c>
      <c r="C7" s="176" t="s">
        <v>64</v>
      </c>
      <c r="D7" s="176" t="s">
        <v>65</v>
      </c>
      <c r="E7" s="176" t="s">
        <v>66</v>
      </c>
      <c r="F7" s="176" t="s">
        <v>67</v>
      </c>
      <c r="G7" s="203" t="s">
        <v>68</v>
      </c>
      <c r="H7" s="176" t="s">
        <v>69</v>
      </c>
      <c r="I7" s="176" t="s">
        <v>70</v>
      </c>
      <c r="J7" s="176" t="s">
        <v>71</v>
      </c>
      <c r="K7" s="176" t="s">
        <v>72</v>
      </c>
      <c r="L7" s="176" t="s">
        <v>73</v>
      </c>
      <c r="M7" s="176" t="s">
        <v>74</v>
      </c>
      <c r="N7" s="176" t="s">
        <v>75</v>
      </c>
      <c r="O7" s="177" t="s">
        <v>304</v>
      </c>
      <c r="P7" s="36"/>
      <c r="Q7" s="47" t="s">
        <v>95</v>
      </c>
      <c r="R7" s="37" t="s">
        <v>76</v>
      </c>
      <c r="S7" s="38" t="s">
        <v>37</v>
      </c>
      <c r="T7" s="38" t="s">
        <v>38</v>
      </c>
      <c r="U7" s="38" t="s">
        <v>39</v>
      </c>
      <c r="V7" s="39" t="s">
        <v>40</v>
      </c>
      <c r="W7" s="40" t="s">
        <v>41</v>
      </c>
      <c r="X7" s="41" t="s">
        <v>42</v>
      </c>
      <c r="Y7" s="42" t="s">
        <v>43</v>
      </c>
      <c r="Z7" s="43" t="s">
        <v>44</v>
      </c>
      <c r="AA7" s="43" t="s">
        <v>45</v>
      </c>
      <c r="AB7" s="43" t="s">
        <v>46</v>
      </c>
      <c r="AC7" s="44" t="s">
        <v>47</v>
      </c>
      <c r="AD7" s="44" t="s">
        <v>48</v>
      </c>
      <c r="AE7" s="45" t="s">
        <v>49</v>
      </c>
    </row>
    <row r="8" spans="1:31" x14ac:dyDescent="0.35">
      <c r="A8" s="135" t="s">
        <v>0</v>
      </c>
      <c r="B8" s="135" t="s">
        <v>650</v>
      </c>
      <c r="C8" s="135" t="s">
        <v>25</v>
      </c>
      <c r="D8" s="135" t="s">
        <v>26</v>
      </c>
      <c r="E8" s="135">
        <v>0.2</v>
      </c>
      <c r="F8" s="135" t="s">
        <v>77</v>
      </c>
      <c r="G8" s="102">
        <v>45667</v>
      </c>
      <c r="H8" s="135" t="s">
        <v>166</v>
      </c>
      <c r="I8" s="170" t="s">
        <v>2011</v>
      </c>
      <c r="J8" s="135"/>
      <c r="K8" s="135"/>
      <c r="L8" s="135"/>
      <c r="M8" s="135"/>
      <c r="N8" s="135"/>
      <c r="O8" s="135"/>
      <c r="Q8" s="3">
        <f>E8</f>
        <v>0.2</v>
      </c>
      <c r="R8" t="s">
        <v>191</v>
      </c>
      <c r="S8" t="s">
        <v>96</v>
      </c>
      <c r="T8" t="s">
        <v>55</v>
      </c>
    </row>
    <row r="9" spans="1:31" x14ac:dyDescent="0.35">
      <c r="A9" s="135" t="s">
        <v>0</v>
      </c>
      <c r="B9" s="135" t="s">
        <v>650</v>
      </c>
      <c r="C9" s="135" t="s">
        <v>25</v>
      </c>
      <c r="D9" s="135" t="s">
        <v>26</v>
      </c>
      <c r="E9" s="135">
        <v>30</v>
      </c>
      <c r="F9" s="135" t="s">
        <v>77</v>
      </c>
      <c r="G9" s="102">
        <v>45667</v>
      </c>
      <c r="H9" s="135" t="s">
        <v>166</v>
      </c>
      <c r="I9" s="170" t="s">
        <v>2012</v>
      </c>
      <c r="J9" s="135"/>
      <c r="K9" s="135"/>
      <c r="L9" s="135"/>
      <c r="M9" s="135"/>
      <c r="N9" s="135"/>
      <c r="O9" s="135"/>
      <c r="Q9" s="3">
        <f t="shared" ref="Q9:Q30" si="0">E9</f>
        <v>30</v>
      </c>
      <c r="R9" t="s">
        <v>191</v>
      </c>
      <c r="S9" t="s">
        <v>96</v>
      </c>
      <c r="T9" t="s">
        <v>55</v>
      </c>
    </row>
    <row r="10" spans="1:31" x14ac:dyDescent="0.35">
      <c r="A10" s="135" t="s">
        <v>0</v>
      </c>
      <c r="B10" s="135" t="s">
        <v>650</v>
      </c>
      <c r="C10" s="135" t="s">
        <v>25</v>
      </c>
      <c r="D10" s="135" t="s">
        <v>26</v>
      </c>
      <c r="E10" s="135">
        <v>150.63</v>
      </c>
      <c r="F10" s="135" t="s">
        <v>77</v>
      </c>
      <c r="G10" s="102">
        <v>45691</v>
      </c>
      <c r="H10" s="135" t="s">
        <v>166</v>
      </c>
      <c r="I10" s="170" t="s">
        <v>2013</v>
      </c>
      <c r="J10" s="135"/>
      <c r="K10" s="135"/>
      <c r="L10" s="135"/>
      <c r="M10" s="135"/>
      <c r="N10" s="135"/>
      <c r="O10" s="135"/>
      <c r="Q10" s="3">
        <f t="shared" si="0"/>
        <v>150.63</v>
      </c>
      <c r="R10" t="s">
        <v>191</v>
      </c>
      <c r="S10" t="s">
        <v>96</v>
      </c>
      <c r="T10" t="s">
        <v>55</v>
      </c>
    </row>
    <row r="11" spans="1:31" x14ac:dyDescent="0.35">
      <c r="A11" s="135" t="s">
        <v>0</v>
      </c>
      <c r="B11" s="135" t="s">
        <v>650</v>
      </c>
      <c r="C11" s="135" t="s">
        <v>25</v>
      </c>
      <c r="D11" s="135" t="s">
        <v>26</v>
      </c>
      <c r="E11" s="135">
        <v>44.36</v>
      </c>
      <c r="F11" s="135" t="s">
        <v>77</v>
      </c>
      <c r="G11" s="102">
        <v>45694</v>
      </c>
      <c r="H11" s="135" t="s">
        <v>166</v>
      </c>
      <c r="I11" s="170" t="s">
        <v>2014</v>
      </c>
      <c r="J11" s="135"/>
      <c r="K11" s="135"/>
      <c r="L11" s="135"/>
      <c r="M11" s="135"/>
      <c r="N11" s="135"/>
      <c r="O11" s="135"/>
      <c r="Q11" s="3">
        <f t="shared" si="0"/>
        <v>44.36</v>
      </c>
      <c r="R11" t="s">
        <v>191</v>
      </c>
      <c r="S11" t="s">
        <v>96</v>
      </c>
      <c r="T11" t="s">
        <v>55</v>
      </c>
    </row>
    <row r="12" spans="1:31" x14ac:dyDescent="0.35">
      <c r="A12" s="135" t="s">
        <v>0</v>
      </c>
      <c r="B12" s="135" t="s">
        <v>650</v>
      </c>
      <c r="C12" s="135" t="s">
        <v>25</v>
      </c>
      <c r="D12" s="135" t="s">
        <v>26</v>
      </c>
      <c r="E12" s="135">
        <v>46.45</v>
      </c>
      <c r="F12" s="135" t="s">
        <v>77</v>
      </c>
      <c r="G12" s="102">
        <v>45702</v>
      </c>
      <c r="H12" s="135" t="s">
        <v>166</v>
      </c>
      <c r="I12" s="170" t="s">
        <v>2015</v>
      </c>
      <c r="J12" s="135"/>
      <c r="K12" s="135"/>
      <c r="L12" s="135"/>
      <c r="M12" s="135"/>
      <c r="N12" s="135"/>
      <c r="O12" s="135"/>
      <c r="Q12" s="3">
        <f t="shared" si="0"/>
        <v>46.45</v>
      </c>
      <c r="R12" t="s">
        <v>191</v>
      </c>
      <c r="S12" t="s">
        <v>96</v>
      </c>
      <c r="T12" t="s">
        <v>55</v>
      </c>
    </row>
    <row r="13" spans="1:31" x14ac:dyDescent="0.35">
      <c r="A13" s="135" t="s">
        <v>0</v>
      </c>
      <c r="B13" s="135" t="s">
        <v>650</v>
      </c>
      <c r="C13" s="135" t="s">
        <v>25</v>
      </c>
      <c r="D13" s="135" t="s">
        <v>26</v>
      </c>
      <c r="E13" s="135">
        <v>42.04</v>
      </c>
      <c r="F13" s="135" t="s">
        <v>77</v>
      </c>
      <c r="G13" s="102">
        <v>45707</v>
      </c>
      <c r="H13" s="135" t="s">
        <v>166</v>
      </c>
      <c r="I13" s="170" t="s">
        <v>2016</v>
      </c>
      <c r="J13" s="135"/>
      <c r="K13" s="135"/>
      <c r="L13" s="135"/>
      <c r="M13" s="135"/>
      <c r="N13" s="135"/>
      <c r="O13" s="135"/>
      <c r="Q13" s="3">
        <f t="shared" si="0"/>
        <v>42.04</v>
      </c>
      <c r="R13" t="s">
        <v>191</v>
      </c>
      <c r="S13" t="s">
        <v>96</v>
      </c>
      <c r="T13" t="s">
        <v>55</v>
      </c>
    </row>
    <row r="14" spans="1:31" x14ac:dyDescent="0.35">
      <c r="A14" s="135" t="s">
        <v>0</v>
      </c>
      <c r="B14" s="135" t="s">
        <v>650</v>
      </c>
      <c r="C14" s="135" t="s">
        <v>25</v>
      </c>
      <c r="D14" s="135" t="s">
        <v>26</v>
      </c>
      <c r="E14" s="135">
        <v>10.45</v>
      </c>
      <c r="F14" s="135" t="s">
        <v>77</v>
      </c>
      <c r="G14" s="102">
        <v>45721</v>
      </c>
      <c r="H14" s="135" t="s">
        <v>166</v>
      </c>
      <c r="I14" s="170" t="s">
        <v>2017</v>
      </c>
      <c r="J14" s="135"/>
      <c r="K14" s="135"/>
      <c r="L14" s="135"/>
      <c r="M14" s="135"/>
      <c r="N14" s="135"/>
      <c r="O14" s="135"/>
      <c r="Q14" s="3">
        <f t="shared" si="0"/>
        <v>10.45</v>
      </c>
      <c r="R14" t="s">
        <v>191</v>
      </c>
      <c r="S14" t="s">
        <v>96</v>
      </c>
      <c r="T14" t="s">
        <v>55</v>
      </c>
    </row>
    <row r="15" spans="1:31" x14ac:dyDescent="0.35">
      <c r="A15" s="135" t="s">
        <v>0</v>
      </c>
      <c r="B15" s="135" t="s">
        <v>650</v>
      </c>
      <c r="C15" s="135" t="s">
        <v>25</v>
      </c>
      <c r="D15" s="135" t="s">
        <v>26</v>
      </c>
      <c r="E15" s="135">
        <v>578</v>
      </c>
      <c r="F15" s="135" t="s">
        <v>77</v>
      </c>
      <c r="G15" s="102">
        <v>45722</v>
      </c>
      <c r="H15" s="135" t="s">
        <v>166</v>
      </c>
      <c r="I15" s="170" t="s">
        <v>2018</v>
      </c>
      <c r="J15" s="135"/>
      <c r="K15" s="135"/>
      <c r="L15" s="135"/>
      <c r="M15" s="135"/>
      <c r="N15" s="135"/>
      <c r="O15" s="135"/>
      <c r="Q15" s="3">
        <f t="shared" si="0"/>
        <v>578</v>
      </c>
      <c r="R15" t="s">
        <v>191</v>
      </c>
      <c r="S15" t="s">
        <v>96</v>
      </c>
      <c r="T15" t="s">
        <v>55</v>
      </c>
    </row>
    <row r="16" spans="1:31" x14ac:dyDescent="0.35">
      <c r="A16" s="135" t="s">
        <v>0</v>
      </c>
      <c r="B16" s="135" t="s">
        <v>650</v>
      </c>
      <c r="C16" s="135" t="s">
        <v>25</v>
      </c>
      <c r="D16" s="135" t="s">
        <v>26</v>
      </c>
      <c r="E16" s="135">
        <v>50</v>
      </c>
      <c r="F16" s="135" t="s">
        <v>77</v>
      </c>
      <c r="G16" s="102">
        <v>45723</v>
      </c>
      <c r="H16" s="135" t="s">
        <v>166</v>
      </c>
      <c r="I16" s="170" t="s">
        <v>2019</v>
      </c>
      <c r="J16" s="135"/>
      <c r="K16" s="135"/>
      <c r="L16" s="135"/>
      <c r="M16" s="135"/>
      <c r="N16" s="135"/>
      <c r="O16" s="135"/>
      <c r="Q16" s="3">
        <f t="shared" si="0"/>
        <v>50</v>
      </c>
      <c r="R16" t="s">
        <v>191</v>
      </c>
      <c r="S16" t="s">
        <v>96</v>
      </c>
      <c r="T16" t="s">
        <v>55</v>
      </c>
    </row>
    <row r="17" spans="1:20" x14ac:dyDescent="0.35">
      <c r="A17" s="135" t="s">
        <v>0</v>
      </c>
      <c r="B17" s="135" t="s">
        <v>650</v>
      </c>
      <c r="C17" s="135" t="s">
        <v>25</v>
      </c>
      <c r="D17" s="135" t="s">
        <v>26</v>
      </c>
      <c r="E17" s="135">
        <v>1</v>
      </c>
      <c r="F17" s="135" t="s">
        <v>77</v>
      </c>
      <c r="G17" s="102">
        <v>45743</v>
      </c>
      <c r="H17" s="135" t="s">
        <v>166</v>
      </c>
      <c r="I17" s="170" t="s">
        <v>2020</v>
      </c>
      <c r="J17" s="135"/>
      <c r="K17" s="135"/>
      <c r="L17" s="135"/>
      <c r="M17" s="135"/>
      <c r="N17" s="135"/>
      <c r="O17" s="135"/>
      <c r="Q17" s="3">
        <f t="shared" si="0"/>
        <v>1</v>
      </c>
      <c r="R17" t="s">
        <v>191</v>
      </c>
      <c r="S17" t="s">
        <v>96</v>
      </c>
      <c r="T17" t="s">
        <v>55</v>
      </c>
    </row>
    <row r="18" spans="1:20" s="201" customFormat="1" x14ac:dyDescent="0.35">
      <c r="A18" s="196" t="s">
        <v>27</v>
      </c>
      <c r="B18" s="196" t="s">
        <v>328</v>
      </c>
      <c r="C18" s="196" t="s">
        <v>25</v>
      </c>
      <c r="D18" s="196" t="s">
        <v>26</v>
      </c>
      <c r="E18" s="196">
        <v>-399533</v>
      </c>
      <c r="F18" s="196" t="s">
        <v>77</v>
      </c>
      <c r="G18" s="197">
        <v>45658</v>
      </c>
      <c r="H18" s="196" t="s">
        <v>653</v>
      </c>
      <c r="I18" s="198" t="s">
        <v>653</v>
      </c>
      <c r="J18" s="196"/>
      <c r="K18" s="196"/>
      <c r="L18" s="196"/>
      <c r="M18" s="196"/>
      <c r="N18" s="196"/>
      <c r="O18" s="196"/>
      <c r="P18" s="199"/>
      <c r="Q18" s="200">
        <f t="shared" si="0"/>
        <v>-399533</v>
      </c>
      <c r="R18" s="201" t="s">
        <v>191</v>
      </c>
      <c r="S18" s="201" t="s">
        <v>96</v>
      </c>
      <c r="T18" s="201" t="s">
        <v>55</v>
      </c>
    </row>
    <row r="19" spans="1:20" s="201" customFormat="1" x14ac:dyDescent="0.35">
      <c r="A19" s="196" t="s">
        <v>27</v>
      </c>
      <c r="B19" s="196" t="s">
        <v>652</v>
      </c>
      <c r="C19" s="196" t="s">
        <v>25</v>
      </c>
      <c r="D19" s="196" t="s">
        <v>26</v>
      </c>
      <c r="E19" s="196">
        <v>-1801332.75</v>
      </c>
      <c r="F19" s="196" t="s">
        <v>77</v>
      </c>
      <c r="G19" s="197">
        <v>45658</v>
      </c>
      <c r="H19" s="196" t="s">
        <v>653</v>
      </c>
      <c r="I19" s="198" t="s">
        <v>653</v>
      </c>
      <c r="J19" s="196"/>
      <c r="K19" s="196"/>
      <c r="L19" s="196"/>
      <c r="M19" s="196"/>
      <c r="N19" s="196"/>
      <c r="O19" s="196"/>
      <c r="P19" s="199"/>
      <c r="Q19" s="200">
        <f t="shared" si="0"/>
        <v>-1801332.75</v>
      </c>
      <c r="R19" s="201" t="s">
        <v>191</v>
      </c>
      <c r="S19" s="201" t="s">
        <v>96</v>
      </c>
      <c r="T19" s="201" t="s">
        <v>55</v>
      </c>
    </row>
    <row r="20" spans="1:20" s="201" customFormat="1" x14ac:dyDescent="0.35">
      <c r="A20" s="196" t="s">
        <v>27</v>
      </c>
      <c r="B20" s="196" t="s">
        <v>619</v>
      </c>
      <c r="C20" s="196" t="s">
        <v>25</v>
      </c>
      <c r="D20" s="196" t="s">
        <v>26</v>
      </c>
      <c r="E20" s="196">
        <v>-4000000</v>
      </c>
      <c r="F20" s="196" t="s">
        <v>77</v>
      </c>
      <c r="G20" s="197">
        <v>45658</v>
      </c>
      <c r="H20" s="196" t="s">
        <v>653</v>
      </c>
      <c r="I20" s="198" t="s">
        <v>653</v>
      </c>
      <c r="J20" s="196"/>
      <c r="K20" s="196"/>
      <c r="L20" s="196"/>
      <c r="M20" s="196"/>
      <c r="N20" s="196"/>
      <c r="O20" s="196"/>
      <c r="P20" s="199"/>
      <c r="Q20" s="200">
        <f t="shared" si="0"/>
        <v>-4000000</v>
      </c>
      <c r="R20" s="201" t="s">
        <v>191</v>
      </c>
      <c r="S20" s="201" t="s">
        <v>96</v>
      </c>
      <c r="T20" s="201" t="s">
        <v>55</v>
      </c>
    </row>
    <row r="21" spans="1:20" s="201" customFormat="1" x14ac:dyDescent="0.35">
      <c r="A21" s="196" t="s">
        <v>27</v>
      </c>
      <c r="B21" s="196" t="s">
        <v>328</v>
      </c>
      <c r="C21" s="196" t="s">
        <v>25</v>
      </c>
      <c r="D21" s="196" t="s">
        <v>26</v>
      </c>
      <c r="E21" s="196">
        <v>399533</v>
      </c>
      <c r="F21" s="196" t="s">
        <v>77</v>
      </c>
      <c r="G21" s="197">
        <v>45685</v>
      </c>
      <c r="H21" s="196" t="s">
        <v>649</v>
      </c>
      <c r="I21" s="198" t="s">
        <v>653</v>
      </c>
      <c r="J21" s="196"/>
      <c r="K21" s="196"/>
      <c r="L21" s="196"/>
      <c r="M21" s="196"/>
      <c r="N21" s="196"/>
      <c r="O21" s="196"/>
      <c r="P21" s="199"/>
      <c r="Q21" s="200">
        <f t="shared" si="0"/>
        <v>399533</v>
      </c>
      <c r="R21" s="201" t="s">
        <v>191</v>
      </c>
      <c r="S21" s="201" t="s">
        <v>96</v>
      </c>
      <c r="T21" s="201" t="s">
        <v>55</v>
      </c>
    </row>
    <row r="22" spans="1:20" s="201" customFormat="1" x14ac:dyDescent="0.35">
      <c r="A22" s="196" t="s">
        <v>27</v>
      </c>
      <c r="B22" s="196" t="s">
        <v>652</v>
      </c>
      <c r="C22" s="196" t="s">
        <v>25</v>
      </c>
      <c r="D22" s="196" t="s">
        <v>26</v>
      </c>
      <c r="E22" s="196">
        <v>1801332.75</v>
      </c>
      <c r="F22" s="196" t="s">
        <v>77</v>
      </c>
      <c r="G22" s="197">
        <v>45685</v>
      </c>
      <c r="H22" s="196" t="s">
        <v>649</v>
      </c>
      <c r="I22" s="198" t="s">
        <v>653</v>
      </c>
      <c r="J22" s="196"/>
      <c r="K22" s="196"/>
      <c r="L22" s="196"/>
      <c r="M22" s="196"/>
      <c r="N22" s="196"/>
      <c r="O22" s="196"/>
      <c r="P22" s="199"/>
      <c r="Q22" s="200">
        <f t="shared" si="0"/>
        <v>1801332.75</v>
      </c>
      <c r="R22" s="201" t="s">
        <v>191</v>
      </c>
      <c r="S22" s="201" t="s">
        <v>96</v>
      </c>
      <c r="T22" s="201" t="s">
        <v>55</v>
      </c>
    </row>
    <row r="23" spans="1:20" s="201" customFormat="1" x14ac:dyDescent="0.35">
      <c r="A23" s="196" t="s">
        <v>27</v>
      </c>
      <c r="B23" s="196" t="s">
        <v>619</v>
      </c>
      <c r="C23" s="196" t="s">
        <v>25</v>
      </c>
      <c r="D23" s="196" t="s">
        <v>26</v>
      </c>
      <c r="E23" s="196">
        <v>4000000</v>
      </c>
      <c r="F23" s="196" t="s">
        <v>77</v>
      </c>
      <c r="G23" s="197">
        <v>45685</v>
      </c>
      <c r="H23" s="196" t="s">
        <v>649</v>
      </c>
      <c r="I23" s="198" t="s">
        <v>653</v>
      </c>
      <c r="J23" s="196"/>
      <c r="K23" s="196"/>
      <c r="L23" s="196"/>
      <c r="M23" s="196"/>
      <c r="N23" s="196"/>
      <c r="O23" s="196"/>
      <c r="P23" s="199"/>
      <c r="Q23" s="200">
        <f t="shared" si="0"/>
        <v>4000000</v>
      </c>
      <c r="R23" s="201" t="s">
        <v>191</v>
      </c>
      <c r="S23" s="201" t="s">
        <v>96</v>
      </c>
      <c r="T23" s="201" t="s">
        <v>55</v>
      </c>
    </row>
    <row r="24" spans="1:20" x14ac:dyDescent="0.35">
      <c r="A24" s="135" t="s">
        <v>27</v>
      </c>
      <c r="B24" s="135" t="s">
        <v>612</v>
      </c>
      <c r="C24" s="135" t="s">
        <v>25</v>
      </c>
      <c r="D24" s="135" t="s">
        <v>26</v>
      </c>
      <c r="E24" s="135">
        <v>311.3</v>
      </c>
      <c r="F24" s="135" t="s">
        <v>77</v>
      </c>
      <c r="G24" s="102">
        <v>45685</v>
      </c>
      <c r="H24" s="135" t="s">
        <v>2021</v>
      </c>
      <c r="I24" s="170" t="s">
        <v>2021</v>
      </c>
      <c r="J24" s="135"/>
      <c r="K24" s="135"/>
      <c r="L24" s="135"/>
      <c r="M24" s="135"/>
      <c r="N24" s="135"/>
      <c r="O24" s="135"/>
      <c r="Q24" s="3">
        <f t="shared" si="0"/>
        <v>311.3</v>
      </c>
      <c r="R24" t="s">
        <v>191</v>
      </c>
      <c r="S24" t="s">
        <v>96</v>
      </c>
      <c r="T24" t="s">
        <v>55</v>
      </c>
    </row>
    <row r="25" spans="1:20" x14ac:dyDescent="0.35">
      <c r="A25" s="135" t="s">
        <v>27</v>
      </c>
      <c r="B25" s="135" t="s">
        <v>332</v>
      </c>
      <c r="C25" s="135" t="s">
        <v>25</v>
      </c>
      <c r="D25" s="135" t="s">
        <v>26</v>
      </c>
      <c r="E25" s="135">
        <v>2801.68</v>
      </c>
      <c r="F25" s="135" t="s">
        <v>77</v>
      </c>
      <c r="G25" s="102">
        <v>45685</v>
      </c>
      <c r="H25" s="135" t="s">
        <v>2021</v>
      </c>
      <c r="I25" s="170" t="s">
        <v>2021</v>
      </c>
      <c r="J25" s="135"/>
      <c r="K25" s="135"/>
      <c r="L25" s="135"/>
      <c r="M25" s="135"/>
      <c r="N25" s="135"/>
      <c r="O25" s="135"/>
      <c r="Q25" s="3">
        <f t="shared" si="0"/>
        <v>2801.68</v>
      </c>
      <c r="R25" t="s">
        <v>191</v>
      </c>
      <c r="S25" t="s">
        <v>96</v>
      </c>
      <c r="T25" t="s">
        <v>55</v>
      </c>
    </row>
    <row r="26" spans="1:20" x14ac:dyDescent="0.35">
      <c r="A26" s="135" t="s">
        <v>27</v>
      </c>
      <c r="B26" s="135" t="s">
        <v>612</v>
      </c>
      <c r="C26" s="135" t="s">
        <v>25</v>
      </c>
      <c r="D26" s="135" t="s">
        <v>26</v>
      </c>
      <c r="E26" s="135">
        <v>311.3</v>
      </c>
      <c r="F26" s="135" t="s">
        <v>77</v>
      </c>
      <c r="G26" s="102">
        <v>45713</v>
      </c>
      <c r="H26" s="135" t="s">
        <v>2022</v>
      </c>
      <c r="I26" s="170" t="s">
        <v>2022</v>
      </c>
      <c r="J26" s="135"/>
      <c r="K26" s="135"/>
      <c r="L26" s="135"/>
      <c r="M26" s="135"/>
      <c r="N26" s="135"/>
      <c r="O26" s="135"/>
      <c r="Q26" s="3">
        <f t="shared" si="0"/>
        <v>311.3</v>
      </c>
      <c r="R26" t="s">
        <v>191</v>
      </c>
      <c r="S26" t="s">
        <v>96</v>
      </c>
      <c r="T26" t="s">
        <v>55</v>
      </c>
    </row>
    <row r="27" spans="1:20" x14ac:dyDescent="0.35">
      <c r="A27" s="135" t="s">
        <v>27</v>
      </c>
      <c r="B27" s="135" t="s">
        <v>332</v>
      </c>
      <c r="C27" s="135" t="s">
        <v>25</v>
      </c>
      <c r="D27" s="135" t="s">
        <v>26</v>
      </c>
      <c r="E27" s="135">
        <v>2801.69</v>
      </c>
      <c r="F27" s="135" t="s">
        <v>77</v>
      </c>
      <c r="G27" s="102">
        <v>45713</v>
      </c>
      <c r="H27" s="135" t="s">
        <v>2022</v>
      </c>
      <c r="I27" s="170" t="s">
        <v>2022</v>
      </c>
      <c r="J27" s="135"/>
      <c r="K27" s="135"/>
      <c r="L27" s="135"/>
      <c r="M27" s="135"/>
      <c r="N27" s="135"/>
      <c r="O27" s="135"/>
      <c r="Q27" s="3">
        <f t="shared" si="0"/>
        <v>2801.69</v>
      </c>
      <c r="R27" t="s">
        <v>191</v>
      </c>
      <c r="S27" t="s">
        <v>96</v>
      </c>
      <c r="T27" t="s">
        <v>55</v>
      </c>
    </row>
    <row r="28" spans="1:20" x14ac:dyDescent="0.35">
      <c r="A28" s="135" t="s">
        <v>27</v>
      </c>
      <c r="B28" s="135" t="s">
        <v>651</v>
      </c>
      <c r="C28" s="135" t="s">
        <v>25</v>
      </c>
      <c r="D28" s="135" t="s">
        <v>26</v>
      </c>
      <c r="E28" s="135">
        <v>0</v>
      </c>
      <c r="F28" s="135" t="s">
        <v>77</v>
      </c>
      <c r="G28" s="102">
        <v>45719</v>
      </c>
      <c r="H28" s="135" t="s">
        <v>654</v>
      </c>
      <c r="I28" s="170" t="s">
        <v>654</v>
      </c>
      <c r="J28" s="135"/>
      <c r="K28" s="135"/>
      <c r="L28" s="135"/>
      <c r="M28" s="135"/>
      <c r="N28" s="135"/>
      <c r="O28" s="135"/>
      <c r="Q28" s="3">
        <f t="shared" si="0"/>
        <v>0</v>
      </c>
      <c r="R28" t="s">
        <v>191</v>
      </c>
      <c r="S28" t="s">
        <v>96</v>
      </c>
      <c r="T28" t="s">
        <v>55</v>
      </c>
    </row>
    <row r="29" spans="1:20" x14ac:dyDescent="0.35">
      <c r="A29" s="135" t="s">
        <v>27</v>
      </c>
      <c r="B29" s="135" t="s">
        <v>612</v>
      </c>
      <c r="C29" s="135" t="s">
        <v>25</v>
      </c>
      <c r="D29" s="135" t="s">
        <v>26</v>
      </c>
      <c r="E29" s="135">
        <v>311.3</v>
      </c>
      <c r="F29" s="135" t="s">
        <v>77</v>
      </c>
      <c r="G29" s="102">
        <v>45746</v>
      </c>
      <c r="H29" s="135" t="s">
        <v>2023</v>
      </c>
      <c r="I29" s="170" t="s">
        <v>2023</v>
      </c>
      <c r="J29" s="135"/>
      <c r="K29" s="135"/>
      <c r="L29" s="135"/>
      <c r="M29" s="135"/>
      <c r="N29" s="135"/>
      <c r="O29" s="135"/>
      <c r="Q29" s="3">
        <f t="shared" si="0"/>
        <v>311.3</v>
      </c>
      <c r="R29" t="s">
        <v>191</v>
      </c>
      <c r="S29" t="s">
        <v>96</v>
      </c>
      <c r="T29" t="s">
        <v>55</v>
      </c>
    </row>
    <row r="30" spans="1:20" x14ac:dyDescent="0.35">
      <c r="A30" s="135" t="s">
        <v>27</v>
      </c>
      <c r="B30" s="135" t="s">
        <v>332</v>
      </c>
      <c r="C30" s="135" t="s">
        <v>25</v>
      </c>
      <c r="D30" s="135" t="s">
        <v>26</v>
      </c>
      <c r="E30" s="135">
        <v>2801.69</v>
      </c>
      <c r="F30" s="135" t="s">
        <v>77</v>
      </c>
      <c r="G30" s="102">
        <v>45746</v>
      </c>
      <c r="H30" s="135" t="s">
        <v>2023</v>
      </c>
      <c r="I30" s="170" t="s">
        <v>2023</v>
      </c>
      <c r="J30" s="135"/>
      <c r="K30" s="135"/>
      <c r="L30" s="135"/>
      <c r="M30" s="135"/>
      <c r="N30" s="135"/>
      <c r="O30" s="135"/>
      <c r="Q30" s="3">
        <f t="shared" si="0"/>
        <v>2801.69</v>
      </c>
      <c r="R30" t="s">
        <v>191</v>
      </c>
      <c r="S30" t="s">
        <v>96</v>
      </c>
      <c r="T30" t="s">
        <v>55</v>
      </c>
    </row>
  </sheetData>
  <autoFilter ref="A7:AE7" xr:uid="{7811D7E8-707C-4EF1-8B1F-5BBB88F0942E}">
    <sortState xmlns:xlrd2="http://schemas.microsoft.com/office/spreadsheetml/2017/richdata2" ref="A8:AE33">
      <sortCondition descending="1" ref="Q7"/>
    </sortState>
  </autoFilter>
  <sortState xmlns:xlrd2="http://schemas.microsoft.com/office/spreadsheetml/2017/richdata2" ref="A7:Q30">
    <sortCondition descending="1" ref="Q7:Q30"/>
  </sortState>
  <mergeCells count="1">
    <mergeCell ref="AC6:AD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73452-DFDE-4253-BABE-9313CDFBA6FE}">
  <sheetPr>
    <tabColor rgb="FF92D050"/>
  </sheetPr>
  <dimension ref="A1:AG1824"/>
  <sheetViews>
    <sheetView workbookViewId="0">
      <pane ySplit="7" topLeftCell="A8" activePane="bottomLeft" state="frozen"/>
      <selection pane="bottomLeft" activeCell="C3" sqref="C3"/>
    </sheetView>
  </sheetViews>
  <sheetFormatPr defaultRowHeight="14.5" x14ac:dyDescent="0.35"/>
  <cols>
    <col min="1" max="2" width="3.453125" customWidth="1"/>
    <col min="3" max="3" width="10.7265625" customWidth="1"/>
    <col min="4" max="4" width="4.81640625" style="3" customWidth="1"/>
    <col min="5" max="5" width="4.81640625" style="19" customWidth="1"/>
    <col min="6" max="6" width="4.81640625" customWidth="1"/>
    <col min="7" max="7" width="4.81640625" style="131" customWidth="1"/>
    <col min="8" max="8" width="4.81640625" style="48" customWidth="1"/>
    <col min="9" max="9" width="31.1796875" style="48" bestFit="1" customWidth="1"/>
    <col min="10" max="10" width="12.81640625" customWidth="1"/>
    <col min="11" max="11" width="33.81640625" customWidth="1"/>
    <col min="12" max="12" width="9.7265625" customWidth="1"/>
    <col min="13" max="13" width="27.54296875" customWidth="1"/>
    <col min="14" max="14" width="14.81640625" customWidth="1"/>
    <col min="15" max="15" width="2.26953125" customWidth="1"/>
    <col min="16" max="16" width="3.54296875" style="5" customWidth="1"/>
    <col min="17" max="17" width="10.1796875" style="3" bestFit="1" customWidth="1"/>
    <col min="18" max="18" width="2.7265625" style="48" customWidth="1"/>
    <col min="19" max="19" width="8.7265625" style="48" customWidth="1"/>
    <col min="20" max="20" width="6.54296875" customWidth="1"/>
    <col min="21" max="21" width="3.453125" customWidth="1"/>
    <col min="22" max="22" width="9.1796875" style="3" bestFit="1" customWidth="1"/>
    <col min="23" max="28" width="1.54296875" customWidth="1"/>
    <col min="30" max="30" width="9.1796875" bestFit="1" customWidth="1"/>
  </cols>
  <sheetData>
    <row r="1" spans="1:32" x14ac:dyDescent="0.35">
      <c r="A1" t="s">
        <v>59</v>
      </c>
      <c r="C1">
        <f>Summary!A25</f>
        <v>5100999000</v>
      </c>
    </row>
    <row r="2" spans="1:32" x14ac:dyDescent="0.35">
      <c r="A2" t="s">
        <v>60</v>
      </c>
      <c r="C2" s="24" t="str">
        <f>Summary!B25</f>
        <v>Other office expenses</v>
      </c>
      <c r="F2" s="24" t="s">
        <v>98</v>
      </c>
    </row>
    <row r="3" spans="1:32" x14ac:dyDescent="0.35">
      <c r="A3" t="s">
        <v>61</v>
      </c>
      <c r="C3" s="22">
        <v>91319.73</v>
      </c>
      <c r="F3" s="152" t="s">
        <v>305</v>
      </c>
      <c r="T3" s="24" t="s">
        <v>0</v>
      </c>
      <c r="U3" s="24"/>
      <c r="V3" s="3">
        <f>SUMIF($A$10:$A$23974,"AU001",V8:V23972)</f>
        <v>1063.33</v>
      </c>
      <c r="AC3" t="s">
        <v>0</v>
      </c>
      <c r="AD3" s="3">
        <f>SUMIF($A$8:$A$100000,"AU001",$AD$8:$AD$100000)</f>
        <v>0</v>
      </c>
      <c r="AE3" s="3">
        <f>SUMIF($A$8:$A$100000,"AU001",$AE$8:$AE$100000)</f>
        <v>0</v>
      </c>
    </row>
    <row r="4" spans="1:32" x14ac:dyDescent="0.35">
      <c r="A4" t="s">
        <v>36</v>
      </c>
      <c r="C4" s="115">
        <f>SUM(E:E)</f>
        <v>91319.730000000258</v>
      </c>
      <c r="F4" t="s">
        <v>306</v>
      </c>
      <c r="T4" s="24" t="s">
        <v>27</v>
      </c>
      <c r="U4" s="24"/>
      <c r="V4" s="3">
        <f>SUMIF($A$10:$A$23975,"AU052",V8:V23973)</f>
        <v>71.11</v>
      </c>
      <c r="AC4" t="s">
        <v>27</v>
      </c>
      <c r="AD4" s="3">
        <f>SUMIF($A$8:$A$100000,"AU052",$AD$8:$AD$100000)</f>
        <v>3139.9799999999996</v>
      </c>
      <c r="AE4" s="3">
        <f>SUMIF($A$8:$A$100000,"AU052",$AE$8:$AE$100000)</f>
        <v>0</v>
      </c>
    </row>
    <row r="5" spans="1:32" ht="15" thickBot="1" x14ac:dyDescent="0.4">
      <c r="A5" t="s">
        <v>62</v>
      </c>
      <c r="C5" s="3">
        <f>C3-C4</f>
        <v>-2.6193447411060333E-10</v>
      </c>
      <c r="Q5" s="28"/>
      <c r="R5" s="50"/>
      <c r="V5" s="187">
        <f>SUM(V3:V4)</f>
        <v>1134.4399999999998</v>
      </c>
      <c r="AD5" s="28">
        <f>SUM(AD3:AD4)</f>
        <v>3139.9799999999996</v>
      </c>
    </row>
    <row r="6" spans="1:32" ht="15.5" thickTop="1" thickBot="1" x14ac:dyDescent="0.4">
      <c r="F6" s="19"/>
      <c r="AD6" s="207" t="s">
        <v>35</v>
      </c>
      <c r="AE6" s="208"/>
    </row>
    <row r="7" spans="1:32" ht="177.5" customHeight="1" thickBot="1" x14ac:dyDescent="0.4">
      <c r="A7" s="202" t="s">
        <v>63</v>
      </c>
      <c r="B7" s="176" t="s">
        <v>313</v>
      </c>
      <c r="C7" s="176" t="s">
        <v>64</v>
      </c>
      <c r="D7" s="176" t="s">
        <v>65</v>
      </c>
      <c r="E7" s="176" t="s">
        <v>66</v>
      </c>
      <c r="F7" s="176" t="s">
        <v>67</v>
      </c>
      <c r="G7" s="204" t="s">
        <v>68</v>
      </c>
      <c r="H7" s="176" t="s">
        <v>69</v>
      </c>
      <c r="I7" s="176" t="s">
        <v>70</v>
      </c>
      <c r="J7" s="176" t="s">
        <v>71</v>
      </c>
      <c r="K7" s="176" t="s">
        <v>72</v>
      </c>
      <c r="L7" s="176" t="s">
        <v>73</v>
      </c>
      <c r="M7" s="176" t="s">
        <v>74</v>
      </c>
      <c r="N7" s="176" t="s">
        <v>75</v>
      </c>
      <c r="O7" s="177" t="s">
        <v>304</v>
      </c>
      <c r="Q7" s="29" t="s">
        <v>95</v>
      </c>
      <c r="R7" s="25" t="s">
        <v>76</v>
      </c>
      <c r="S7" s="8" t="s">
        <v>37</v>
      </c>
      <c r="T7" s="7" t="s">
        <v>38</v>
      </c>
      <c r="U7" s="7" t="s">
        <v>417</v>
      </c>
      <c r="V7" s="57" t="s">
        <v>39</v>
      </c>
      <c r="W7" s="9" t="s">
        <v>40</v>
      </c>
      <c r="X7" s="10" t="s">
        <v>41</v>
      </c>
      <c r="Y7" s="11" t="s">
        <v>42</v>
      </c>
      <c r="Z7" s="12" t="s">
        <v>43</v>
      </c>
      <c r="AA7" s="13" t="s">
        <v>44</v>
      </c>
      <c r="AB7" s="13" t="s">
        <v>45</v>
      </c>
      <c r="AC7" s="13" t="s">
        <v>46</v>
      </c>
      <c r="AD7" s="14" t="s">
        <v>47</v>
      </c>
      <c r="AE7" s="14" t="s">
        <v>48</v>
      </c>
      <c r="AF7" s="15" t="s">
        <v>49</v>
      </c>
    </row>
    <row r="8" spans="1:32" x14ac:dyDescent="0.35">
      <c r="A8" s="137" t="s">
        <v>27</v>
      </c>
      <c r="B8" s="137" t="s">
        <v>347</v>
      </c>
      <c r="C8" s="137" t="s">
        <v>1</v>
      </c>
      <c r="D8" s="137" t="s">
        <v>2</v>
      </c>
      <c r="E8" s="137">
        <v>3536</v>
      </c>
      <c r="F8" s="137" t="s">
        <v>77</v>
      </c>
      <c r="G8" s="136">
        <v>45706</v>
      </c>
      <c r="H8" s="137" t="s">
        <v>78</v>
      </c>
      <c r="I8" s="137" t="s">
        <v>2243</v>
      </c>
      <c r="J8" s="137"/>
      <c r="K8" s="137" t="s">
        <v>694</v>
      </c>
      <c r="L8" s="137" t="s">
        <v>2440</v>
      </c>
      <c r="M8" s="137" t="s">
        <v>206</v>
      </c>
      <c r="N8" s="137"/>
      <c r="O8" s="137"/>
      <c r="Q8" s="3">
        <f t="shared" ref="Q8:Q71" si="0">ABS(E8)</f>
        <v>3536</v>
      </c>
    </row>
    <row r="9" spans="1:32" x14ac:dyDescent="0.35">
      <c r="A9" s="137" t="s">
        <v>27</v>
      </c>
      <c r="B9" s="137" t="s">
        <v>378</v>
      </c>
      <c r="C9" s="137" t="s">
        <v>1</v>
      </c>
      <c r="D9" s="137" t="s">
        <v>2</v>
      </c>
      <c r="E9" s="137">
        <v>3272</v>
      </c>
      <c r="F9" s="137" t="s">
        <v>77</v>
      </c>
      <c r="G9" s="136">
        <v>45677</v>
      </c>
      <c r="H9" s="137" t="s">
        <v>78</v>
      </c>
      <c r="I9" s="137" t="s">
        <v>2134</v>
      </c>
      <c r="J9" s="137"/>
      <c r="K9" s="137" t="s">
        <v>701</v>
      </c>
      <c r="L9" s="137" t="s">
        <v>2426</v>
      </c>
      <c r="M9" s="137" t="s">
        <v>206</v>
      </c>
      <c r="N9" s="137"/>
      <c r="O9" s="137"/>
      <c r="Q9" s="3">
        <f t="shared" si="0"/>
        <v>3272</v>
      </c>
    </row>
    <row r="10" spans="1:32" x14ac:dyDescent="0.35">
      <c r="A10" s="137" t="s">
        <v>27</v>
      </c>
      <c r="B10" s="137" t="s">
        <v>347</v>
      </c>
      <c r="C10" s="137" t="s">
        <v>1</v>
      </c>
      <c r="D10" s="137" t="s">
        <v>2</v>
      </c>
      <c r="E10" s="137">
        <v>3128</v>
      </c>
      <c r="F10" s="137" t="s">
        <v>77</v>
      </c>
      <c r="G10" s="136">
        <v>45733</v>
      </c>
      <c r="H10" s="137" t="s">
        <v>78</v>
      </c>
      <c r="I10" s="137" t="s">
        <v>2315</v>
      </c>
      <c r="J10" s="137"/>
      <c r="K10" s="137" t="s">
        <v>701</v>
      </c>
      <c r="L10" s="137" t="s">
        <v>2449</v>
      </c>
      <c r="M10" s="137" t="s">
        <v>206</v>
      </c>
      <c r="N10" s="137"/>
      <c r="O10" s="137"/>
      <c r="Q10" s="3">
        <f t="shared" si="0"/>
        <v>3128</v>
      </c>
    </row>
    <row r="11" spans="1:32" x14ac:dyDescent="0.35">
      <c r="A11" s="137" t="s">
        <v>0</v>
      </c>
      <c r="B11" s="137" t="s">
        <v>438</v>
      </c>
      <c r="C11" s="137" t="s">
        <v>1</v>
      </c>
      <c r="D11" s="137" t="s">
        <v>2</v>
      </c>
      <c r="E11" s="137">
        <v>3073.15</v>
      </c>
      <c r="F11" s="137" t="s">
        <v>77</v>
      </c>
      <c r="G11" s="136">
        <v>45733</v>
      </c>
      <c r="H11" s="137" t="s">
        <v>78</v>
      </c>
      <c r="I11" s="137" t="s">
        <v>2098</v>
      </c>
      <c r="J11" s="137"/>
      <c r="K11" s="137" t="s">
        <v>2076</v>
      </c>
      <c r="L11" s="137" t="s">
        <v>2099</v>
      </c>
      <c r="M11" s="137" t="s">
        <v>185</v>
      </c>
      <c r="N11" s="137"/>
      <c r="O11" s="137"/>
      <c r="Q11" s="3">
        <f t="shared" si="0"/>
        <v>3073.15</v>
      </c>
    </row>
    <row r="12" spans="1:32" x14ac:dyDescent="0.35">
      <c r="A12" s="137" t="s">
        <v>0</v>
      </c>
      <c r="B12" s="137" t="s">
        <v>438</v>
      </c>
      <c r="C12" s="137" t="s">
        <v>1</v>
      </c>
      <c r="D12" s="137" t="s">
        <v>2</v>
      </c>
      <c r="E12" s="137">
        <v>3024.47</v>
      </c>
      <c r="F12" s="137" t="s">
        <v>77</v>
      </c>
      <c r="G12" s="136">
        <v>45681</v>
      </c>
      <c r="H12" s="137" t="s">
        <v>78</v>
      </c>
      <c r="I12" s="137" t="s">
        <v>2056</v>
      </c>
      <c r="J12" s="137"/>
      <c r="K12" s="137" t="s">
        <v>2057</v>
      </c>
      <c r="L12" s="137" t="s">
        <v>2058</v>
      </c>
      <c r="M12" s="137" t="s">
        <v>185</v>
      </c>
      <c r="Q12" s="3">
        <f t="shared" si="0"/>
        <v>3024.47</v>
      </c>
    </row>
    <row r="13" spans="1:32" x14ac:dyDescent="0.35">
      <c r="A13" s="137" t="s">
        <v>27</v>
      </c>
      <c r="B13" s="137" t="s">
        <v>378</v>
      </c>
      <c r="C13" s="137" t="s">
        <v>1</v>
      </c>
      <c r="D13" s="137" t="s">
        <v>2</v>
      </c>
      <c r="E13" s="137">
        <v>2292.44</v>
      </c>
      <c r="F13" s="137" t="s">
        <v>77</v>
      </c>
      <c r="G13" s="136">
        <v>45719</v>
      </c>
      <c r="H13" s="137" t="s">
        <v>78</v>
      </c>
      <c r="I13" s="137" t="s">
        <v>2268</v>
      </c>
      <c r="J13" s="137"/>
      <c r="K13" s="137" t="s">
        <v>2269</v>
      </c>
      <c r="L13" s="137" t="s">
        <v>2441</v>
      </c>
      <c r="M13" s="137" t="s">
        <v>204</v>
      </c>
      <c r="N13" s="137"/>
      <c r="O13" s="137"/>
      <c r="Q13" s="3">
        <f t="shared" si="0"/>
        <v>2292.44</v>
      </c>
    </row>
    <row r="14" spans="1:32" x14ac:dyDescent="0.35">
      <c r="A14" s="137" t="s">
        <v>0</v>
      </c>
      <c r="B14" s="137" t="s">
        <v>585</v>
      </c>
      <c r="C14" s="137" t="s">
        <v>1</v>
      </c>
      <c r="D14" s="137" t="s">
        <v>2</v>
      </c>
      <c r="E14" s="137">
        <v>2062.63</v>
      </c>
      <c r="F14" s="137" t="s">
        <v>77</v>
      </c>
      <c r="G14" s="136">
        <v>45726</v>
      </c>
      <c r="H14" s="137" t="s">
        <v>78</v>
      </c>
      <c r="I14" s="137" t="s">
        <v>2089</v>
      </c>
      <c r="J14" s="137"/>
      <c r="K14" s="137" t="s">
        <v>2090</v>
      </c>
      <c r="L14" s="137" t="s">
        <v>2091</v>
      </c>
      <c r="M14" s="137" t="s">
        <v>195</v>
      </c>
      <c r="Q14" s="3">
        <f t="shared" si="0"/>
        <v>2062.63</v>
      </c>
    </row>
    <row r="15" spans="1:32" x14ac:dyDescent="0.35">
      <c r="A15" s="137" t="s">
        <v>0</v>
      </c>
      <c r="B15" s="137" t="s">
        <v>438</v>
      </c>
      <c r="C15" s="137" t="s">
        <v>1</v>
      </c>
      <c r="D15" s="137" t="s">
        <v>2</v>
      </c>
      <c r="E15" s="137">
        <v>1886.48</v>
      </c>
      <c r="F15" s="137" t="s">
        <v>77</v>
      </c>
      <c r="G15" s="136">
        <v>45664</v>
      </c>
      <c r="H15" s="137" t="s">
        <v>78</v>
      </c>
      <c r="I15" s="137" t="s">
        <v>2031</v>
      </c>
      <c r="J15" s="137"/>
      <c r="K15" s="137" t="s">
        <v>2032</v>
      </c>
      <c r="L15" s="137" t="s">
        <v>2033</v>
      </c>
      <c r="M15" s="137" t="s">
        <v>185</v>
      </c>
      <c r="N15" s="137"/>
      <c r="O15" s="137"/>
      <c r="Q15" s="3">
        <f t="shared" si="0"/>
        <v>1886.48</v>
      </c>
    </row>
    <row r="16" spans="1:32" x14ac:dyDescent="0.35">
      <c r="A16" s="137" t="s">
        <v>27</v>
      </c>
      <c r="B16" s="137" t="s">
        <v>347</v>
      </c>
      <c r="C16" s="137" t="s">
        <v>1</v>
      </c>
      <c r="D16" s="137" t="s">
        <v>2</v>
      </c>
      <c r="E16" s="137">
        <v>1860.85</v>
      </c>
      <c r="F16" s="137" t="s">
        <v>77</v>
      </c>
      <c r="G16" s="136">
        <v>45680</v>
      </c>
      <c r="H16" s="137" t="s">
        <v>78</v>
      </c>
      <c r="I16" s="137" t="s">
        <v>2152</v>
      </c>
      <c r="J16" s="137"/>
      <c r="K16" s="137" t="s">
        <v>2151</v>
      </c>
      <c r="L16" s="137" t="s">
        <v>2430</v>
      </c>
      <c r="M16" s="137" t="s">
        <v>206</v>
      </c>
      <c r="N16" s="137"/>
      <c r="O16" s="137"/>
      <c r="Q16" s="3">
        <f t="shared" si="0"/>
        <v>1860.85</v>
      </c>
    </row>
    <row r="17" spans="1:30" x14ac:dyDescent="0.35">
      <c r="A17" s="137" t="s">
        <v>0</v>
      </c>
      <c r="B17" s="137" t="s">
        <v>585</v>
      </c>
      <c r="C17" s="137" t="s">
        <v>1</v>
      </c>
      <c r="D17" s="137" t="s">
        <v>2</v>
      </c>
      <c r="E17" s="137">
        <v>1811.69</v>
      </c>
      <c r="F17" s="137" t="s">
        <v>77</v>
      </c>
      <c r="G17" s="136">
        <v>45712</v>
      </c>
      <c r="H17" s="137" t="s">
        <v>78</v>
      </c>
      <c r="I17" s="137" t="s">
        <v>2079</v>
      </c>
      <c r="J17" s="137"/>
      <c r="K17" s="137" t="s">
        <v>2080</v>
      </c>
      <c r="L17" s="137" t="s">
        <v>2081</v>
      </c>
      <c r="M17" s="137" t="s">
        <v>195</v>
      </c>
      <c r="N17" s="137"/>
      <c r="O17" s="137"/>
      <c r="Q17" s="3">
        <f t="shared" si="0"/>
        <v>1811.69</v>
      </c>
    </row>
    <row r="18" spans="1:30" x14ac:dyDescent="0.35">
      <c r="A18" s="137" t="s">
        <v>0</v>
      </c>
      <c r="B18" s="137" t="s">
        <v>585</v>
      </c>
      <c r="C18" s="137" t="s">
        <v>1</v>
      </c>
      <c r="D18" s="137" t="s">
        <v>2</v>
      </c>
      <c r="E18" s="137">
        <v>1733.77</v>
      </c>
      <c r="F18" s="137" t="s">
        <v>77</v>
      </c>
      <c r="G18" s="136">
        <v>45677</v>
      </c>
      <c r="H18" s="137" t="s">
        <v>78</v>
      </c>
      <c r="I18" s="137" t="s">
        <v>2051</v>
      </c>
      <c r="J18" s="137"/>
      <c r="K18" s="137" t="s">
        <v>735</v>
      </c>
      <c r="L18" s="137" t="s">
        <v>2052</v>
      </c>
      <c r="M18" s="137" t="s">
        <v>195</v>
      </c>
      <c r="N18" s="137"/>
      <c r="O18" s="137"/>
      <c r="Q18" s="3">
        <f t="shared" si="0"/>
        <v>1733.77</v>
      </c>
    </row>
    <row r="19" spans="1:30" x14ac:dyDescent="0.35">
      <c r="A19" s="137" t="s">
        <v>27</v>
      </c>
      <c r="B19" s="137" t="s">
        <v>378</v>
      </c>
      <c r="C19" s="137" t="s">
        <v>1</v>
      </c>
      <c r="D19" s="137" t="s">
        <v>2</v>
      </c>
      <c r="E19" s="137">
        <v>1679.35</v>
      </c>
      <c r="F19" s="137" t="s">
        <v>77</v>
      </c>
      <c r="G19" s="136">
        <v>45691</v>
      </c>
      <c r="H19" s="137" t="s">
        <v>78</v>
      </c>
      <c r="I19" s="137" t="s">
        <v>2182</v>
      </c>
      <c r="J19" s="137"/>
      <c r="K19" s="137" t="s">
        <v>2183</v>
      </c>
      <c r="L19" s="137" t="s">
        <v>2432</v>
      </c>
      <c r="M19" s="137" t="s">
        <v>204</v>
      </c>
      <c r="N19" s="137"/>
      <c r="O19" s="137"/>
      <c r="Q19" s="3">
        <f t="shared" si="0"/>
        <v>1679.35</v>
      </c>
    </row>
    <row r="20" spans="1:30" x14ac:dyDescent="0.35">
      <c r="A20" s="137" t="s">
        <v>0</v>
      </c>
      <c r="B20" s="137" t="s">
        <v>361</v>
      </c>
      <c r="C20" s="137" t="s">
        <v>1</v>
      </c>
      <c r="D20" s="137" t="s">
        <v>2</v>
      </c>
      <c r="E20" s="137">
        <v>1504.68</v>
      </c>
      <c r="F20" s="137" t="s">
        <v>77</v>
      </c>
      <c r="G20" s="136">
        <v>45712</v>
      </c>
      <c r="H20" s="137" t="s">
        <v>78</v>
      </c>
      <c r="I20" s="137" t="s">
        <v>2082</v>
      </c>
      <c r="J20" s="137"/>
      <c r="K20" s="137" t="s">
        <v>2080</v>
      </c>
      <c r="L20" s="137" t="s">
        <v>2083</v>
      </c>
      <c r="M20" s="137" t="s">
        <v>195</v>
      </c>
      <c r="N20" s="137"/>
      <c r="O20" s="137"/>
      <c r="Q20" s="3">
        <f t="shared" si="0"/>
        <v>1504.68</v>
      </c>
    </row>
    <row r="21" spans="1:30" x14ac:dyDescent="0.35">
      <c r="A21" s="137" t="s">
        <v>0</v>
      </c>
      <c r="B21" s="137" t="s">
        <v>438</v>
      </c>
      <c r="C21" s="137" t="s">
        <v>1</v>
      </c>
      <c r="D21" s="137" t="s">
        <v>2</v>
      </c>
      <c r="E21" s="137">
        <v>1416.16</v>
      </c>
      <c r="F21" s="137" t="s">
        <v>77</v>
      </c>
      <c r="G21" s="136">
        <v>45707</v>
      </c>
      <c r="H21" s="137" t="s">
        <v>78</v>
      </c>
      <c r="I21" s="137" t="s">
        <v>2075</v>
      </c>
      <c r="J21" s="137"/>
      <c r="K21" s="137" t="s">
        <v>2076</v>
      </c>
      <c r="L21" s="137" t="s">
        <v>2077</v>
      </c>
      <c r="M21" s="137" t="s">
        <v>185</v>
      </c>
      <c r="Q21" s="3">
        <f t="shared" si="0"/>
        <v>1416.16</v>
      </c>
    </row>
    <row r="22" spans="1:30" x14ac:dyDescent="0.35">
      <c r="A22" s="137" t="s">
        <v>27</v>
      </c>
      <c r="B22" s="137" t="s">
        <v>378</v>
      </c>
      <c r="C22" s="137" t="s">
        <v>1</v>
      </c>
      <c r="D22" s="137" t="s">
        <v>2</v>
      </c>
      <c r="E22" s="137">
        <v>1375.65</v>
      </c>
      <c r="F22" s="137" t="s">
        <v>77</v>
      </c>
      <c r="G22" s="136">
        <v>45712</v>
      </c>
      <c r="H22" s="137" t="s">
        <v>78</v>
      </c>
      <c r="I22" s="137" t="s">
        <v>2250</v>
      </c>
      <c r="J22" s="137"/>
      <c r="K22" s="137" t="s">
        <v>2251</v>
      </c>
      <c r="L22" s="137" t="s">
        <v>2252</v>
      </c>
      <c r="M22" s="137" t="s">
        <v>657</v>
      </c>
      <c r="N22" s="137"/>
      <c r="O22" s="137"/>
      <c r="Q22" s="3">
        <f t="shared" si="0"/>
        <v>1375.65</v>
      </c>
    </row>
    <row r="23" spans="1:30" x14ac:dyDescent="0.35">
      <c r="A23" s="137" t="s">
        <v>0</v>
      </c>
      <c r="B23" s="137" t="s">
        <v>366</v>
      </c>
      <c r="C23" s="137" t="s">
        <v>1</v>
      </c>
      <c r="D23" s="137" t="s">
        <v>2</v>
      </c>
      <c r="E23" s="137">
        <v>1350.4</v>
      </c>
      <c r="F23" s="137" t="s">
        <v>77</v>
      </c>
      <c r="G23" s="136">
        <v>45726</v>
      </c>
      <c r="H23" s="137" t="s">
        <v>78</v>
      </c>
      <c r="I23" s="137" t="s">
        <v>2092</v>
      </c>
      <c r="J23" s="137"/>
      <c r="K23" s="137" t="s">
        <v>2090</v>
      </c>
      <c r="L23" s="137" t="s">
        <v>2093</v>
      </c>
      <c r="M23" s="137" t="s">
        <v>195</v>
      </c>
      <c r="N23" s="135"/>
      <c r="O23" s="135"/>
      <c r="Q23" s="3">
        <f t="shared" si="0"/>
        <v>1350.4</v>
      </c>
    </row>
    <row r="24" spans="1:30" x14ac:dyDescent="0.35">
      <c r="A24" s="137" t="s">
        <v>0</v>
      </c>
      <c r="B24" s="137" t="s">
        <v>499</v>
      </c>
      <c r="C24" s="137" t="s">
        <v>1</v>
      </c>
      <c r="D24" s="137" t="s">
        <v>2</v>
      </c>
      <c r="E24" s="137">
        <v>1114.6099999999999</v>
      </c>
      <c r="F24" s="137" t="s">
        <v>77</v>
      </c>
      <c r="G24" s="136">
        <v>45726</v>
      </c>
      <c r="H24" s="137" t="s">
        <v>78</v>
      </c>
      <c r="I24" s="137" t="s">
        <v>2092</v>
      </c>
      <c r="J24" s="137"/>
      <c r="K24" s="137" t="s">
        <v>2090</v>
      </c>
      <c r="L24" s="137" t="s">
        <v>2093</v>
      </c>
      <c r="M24" s="137" t="s">
        <v>195</v>
      </c>
      <c r="N24" s="135"/>
      <c r="O24" s="135"/>
      <c r="Q24" s="3">
        <f t="shared" si="0"/>
        <v>1114.6099999999999</v>
      </c>
    </row>
    <row r="25" spans="1:30" x14ac:dyDescent="0.35">
      <c r="A25" s="137" t="s">
        <v>0</v>
      </c>
      <c r="B25" s="137" t="s">
        <v>560</v>
      </c>
      <c r="C25" s="137" t="s">
        <v>1</v>
      </c>
      <c r="D25" s="137" t="s">
        <v>2</v>
      </c>
      <c r="E25" s="137">
        <v>1100.1199999999999</v>
      </c>
      <c r="F25" s="137" t="s">
        <v>77</v>
      </c>
      <c r="G25" s="136">
        <v>45712</v>
      </c>
      <c r="H25" s="137" t="s">
        <v>78</v>
      </c>
      <c r="I25" s="137" t="s">
        <v>2082</v>
      </c>
      <c r="J25" s="137"/>
      <c r="K25" s="137" t="s">
        <v>2080</v>
      </c>
      <c r="L25" s="137" t="s">
        <v>2083</v>
      </c>
      <c r="M25" s="137" t="s">
        <v>195</v>
      </c>
      <c r="N25" s="135"/>
      <c r="O25" s="135"/>
      <c r="Q25" s="3">
        <f t="shared" si="0"/>
        <v>1100.1199999999999</v>
      </c>
    </row>
    <row r="26" spans="1:30" x14ac:dyDescent="0.35">
      <c r="A26" s="137" t="s">
        <v>0</v>
      </c>
      <c r="B26" s="137" t="s">
        <v>497</v>
      </c>
      <c r="C26" s="137" t="s">
        <v>1</v>
      </c>
      <c r="D26" s="137" t="s">
        <v>2</v>
      </c>
      <c r="E26" s="137">
        <v>1078.3699999999999</v>
      </c>
      <c r="F26" s="137" t="s">
        <v>77</v>
      </c>
      <c r="G26" s="136">
        <v>45726</v>
      </c>
      <c r="H26" s="137" t="s">
        <v>78</v>
      </c>
      <c r="I26" s="137" t="s">
        <v>2092</v>
      </c>
      <c r="J26" s="137"/>
      <c r="K26" s="137" t="s">
        <v>2090</v>
      </c>
      <c r="L26" s="137" t="s">
        <v>2093</v>
      </c>
      <c r="M26" s="137" t="s">
        <v>195</v>
      </c>
      <c r="N26" s="137"/>
      <c r="O26" s="137"/>
      <c r="Q26" s="3">
        <f t="shared" si="0"/>
        <v>1078.3699999999999</v>
      </c>
    </row>
    <row r="27" spans="1:30" x14ac:dyDescent="0.35">
      <c r="A27" s="137" t="s">
        <v>0</v>
      </c>
      <c r="B27" s="137" t="s">
        <v>667</v>
      </c>
      <c r="C27" s="137" t="s">
        <v>1</v>
      </c>
      <c r="D27" s="137" t="s">
        <v>2</v>
      </c>
      <c r="E27" s="137">
        <v>1004.39</v>
      </c>
      <c r="F27" s="137" t="s">
        <v>77</v>
      </c>
      <c r="G27" s="136">
        <v>45726</v>
      </c>
      <c r="H27" s="137" t="s">
        <v>78</v>
      </c>
      <c r="I27" s="137" t="s">
        <v>2089</v>
      </c>
      <c r="J27" s="137"/>
      <c r="K27" s="137" t="s">
        <v>2090</v>
      </c>
      <c r="L27" s="137" t="s">
        <v>2091</v>
      </c>
      <c r="M27" s="137" t="s">
        <v>195</v>
      </c>
      <c r="N27" s="135"/>
      <c r="O27" s="135"/>
      <c r="Q27" s="3">
        <f t="shared" si="0"/>
        <v>1004.39</v>
      </c>
    </row>
    <row r="28" spans="1:30" x14ac:dyDescent="0.35">
      <c r="A28" s="137" t="s">
        <v>27</v>
      </c>
      <c r="B28" s="137" t="s">
        <v>378</v>
      </c>
      <c r="C28" s="137" t="s">
        <v>1</v>
      </c>
      <c r="D28" s="137" t="s">
        <v>2</v>
      </c>
      <c r="E28" s="137">
        <v>939.3</v>
      </c>
      <c r="F28" s="137" t="s">
        <v>77</v>
      </c>
      <c r="G28" s="136">
        <v>45736</v>
      </c>
      <c r="H28" s="137" t="s">
        <v>79</v>
      </c>
      <c r="I28" s="137" t="s">
        <v>216</v>
      </c>
      <c r="J28" s="137" t="s">
        <v>2358</v>
      </c>
      <c r="K28" s="137"/>
      <c r="L28" s="137"/>
      <c r="M28" s="135" t="s">
        <v>2359</v>
      </c>
      <c r="N28" s="135"/>
      <c r="Q28" s="3">
        <f t="shared" si="0"/>
        <v>939.3</v>
      </c>
      <c r="AD28" s="26">
        <f>Q28</f>
        <v>939.3</v>
      </c>
    </row>
    <row r="29" spans="1:30" x14ac:dyDescent="0.35">
      <c r="A29" s="137" t="s">
        <v>0</v>
      </c>
      <c r="B29" s="137" t="s">
        <v>360</v>
      </c>
      <c r="C29" s="137" t="s">
        <v>1</v>
      </c>
      <c r="D29" s="137" t="s">
        <v>2</v>
      </c>
      <c r="E29" s="137">
        <v>924.39</v>
      </c>
      <c r="F29" s="137" t="s">
        <v>77</v>
      </c>
      <c r="G29" s="136">
        <v>45726</v>
      </c>
      <c r="H29" s="137" t="s">
        <v>78</v>
      </c>
      <c r="I29" s="137" t="s">
        <v>2092</v>
      </c>
      <c r="J29" s="137"/>
      <c r="K29" s="137" t="s">
        <v>2090</v>
      </c>
      <c r="L29" s="137" t="s">
        <v>2093</v>
      </c>
      <c r="M29" s="137" t="s">
        <v>195</v>
      </c>
      <c r="N29" s="135"/>
      <c r="O29" s="135"/>
      <c r="Q29" s="3">
        <f t="shared" si="0"/>
        <v>924.39</v>
      </c>
    </row>
    <row r="30" spans="1:30" x14ac:dyDescent="0.35">
      <c r="A30" s="137" t="s">
        <v>27</v>
      </c>
      <c r="B30" s="137" t="s">
        <v>347</v>
      </c>
      <c r="C30" s="137" t="s">
        <v>1</v>
      </c>
      <c r="D30" s="137" t="s">
        <v>2</v>
      </c>
      <c r="E30" s="137">
        <v>875.11</v>
      </c>
      <c r="F30" s="137" t="s">
        <v>77</v>
      </c>
      <c r="G30" s="136">
        <v>45680</v>
      </c>
      <c r="H30" s="137" t="s">
        <v>78</v>
      </c>
      <c r="I30" s="137" t="s">
        <v>2150</v>
      </c>
      <c r="J30" s="137"/>
      <c r="K30" s="137" t="s">
        <v>2151</v>
      </c>
      <c r="L30" s="137" t="s">
        <v>2429</v>
      </c>
      <c r="M30" s="137" t="s">
        <v>206</v>
      </c>
      <c r="N30" s="135"/>
      <c r="O30" s="135"/>
      <c r="Q30" s="3">
        <f t="shared" si="0"/>
        <v>875.11</v>
      </c>
    </row>
    <row r="31" spans="1:30" x14ac:dyDescent="0.35">
      <c r="A31" s="137" t="s">
        <v>27</v>
      </c>
      <c r="B31" s="137" t="s">
        <v>347</v>
      </c>
      <c r="C31" s="137" t="s">
        <v>1</v>
      </c>
      <c r="D31" s="137" t="s">
        <v>2</v>
      </c>
      <c r="E31" s="137">
        <v>875.11</v>
      </c>
      <c r="F31" s="137" t="s">
        <v>77</v>
      </c>
      <c r="G31" s="136">
        <v>45741</v>
      </c>
      <c r="H31" s="137" t="s">
        <v>78</v>
      </c>
      <c r="I31" s="137" t="s">
        <v>2375</v>
      </c>
      <c r="J31" s="137"/>
      <c r="K31" s="137" t="s">
        <v>205</v>
      </c>
      <c r="L31" s="137" t="s">
        <v>2451</v>
      </c>
      <c r="M31" s="137" t="s">
        <v>206</v>
      </c>
      <c r="N31" s="135"/>
      <c r="O31" s="135"/>
      <c r="Q31" s="3">
        <f t="shared" si="0"/>
        <v>875.11</v>
      </c>
    </row>
    <row r="32" spans="1:30" x14ac:dyDescent="0.35">
      <c r="A32" s="137" t="s">
        <v>0</v>
      </c>
      <c r="B32" s="137" t="s">
        <v>663</v>
      </c>
      <c r="C32" s="137" t="s">
        <v>1</v>
      </c>
      <c r="D32" s="137" t="s">
        <v>2</v>
      </c>
      <c r="E32" s="137">
        <v>870.25</v>
      </c>
      <c r="F32" s="137" t="s">
        <v>77</v>
      </c>
      <c r="G32" s="136">
        <v>45726</v>
      </c>
      <c r="H32" s="137" t="s">
        <v>78</v>
      </c>
      <c r="I32" s="137" t="s">
        <v>2092</v>
      </c>
      <c r="J32" s="137"/>
      <c r="K32" s="137" t="s">
        <v>2090</v>
      </c>
      <c r="L32" s="137" t="s">
        <v>2093</v>
      </c>
      <c r="M32" s="137" t="s">
        <v>195</v>
      </c>
      <c r="N32" s="135"/>
      <c r="O32" s="135"/>
      <c r="Q32" s="3">
        <f t="shared" si="0"/>
        <v>870.25</v>
      </c>
    </row>
    <row r="33" spans="1:30" x14ac:dyDescent="0.35">
      <c r="A33" s="137" t="s">
        <v>0</v>
      </c>
      <c r="B33" s="137" t="s">
        <v>342</v>
      </c>
      <c r="C33" s="137" t="s">
        <v>1</v>
      </c>
      <c r="D33" s="137" t="s">
        <v>2</v>
      </c>
      <c r="E33" s="137">
        <v>868.76</v>
      </c>
      <c r="F33" s="137" t="s">
        <v>77</v>
      </c>
      <c r="G33" s="136">
        <v>45726</v>
      </c>
      <c r="H33" s="137" t="s">
        <v>78</v>
      </c>
      <c r="I33" s="137" t="s">
        <v>2092</v>
      </c>
      <c r="J33" s="137"/>
      <c r="K33" s="137" t="s">
        <v>2090</v>
      </c>
      <c r="L33" s="137" t="s">
        <v>2093</v>
      </c>
      <c r="M33" s="137" t="s">
        <v>195</v>
      </c>
      <c r="N33" s="135"/>
      <c r="O33" s="135"/>
      <c r="Q33" s="3">
        <f t="shared" si="0"/>
        <v>868.76</v>
      </c>
    </row>
    <row r="34" spans="1:30" x14ac:dyDescent="0.35">
      <c r="A34" s="137" t="s">
        <v>0</v>
      </c>
      <c r="B34" s="137" t="s">
        <v>599</v>
      </c>
      <c r="C34" s="137" t="s">
        <v>1</v>
      </c>
      <c r="D34" s="137" t="s">
        <v>2</v>
      </c>
      <c r="E34" s="137">
        <v>867.62</v>
      </c>
      <c r="F34" s="137" t="s">
        <v>77</v>
      </c>
      <c r="G34" s="136">
        <v>45712</v>
      </c>
      <c r="H34" s="137" t="s">
        <v>78</v>
      </c>
      <c r="I34" s="137" t="s">
        <v>2082</v>
      </c>
      <c r="J34" s="137"/>
      <c r="K34" s="137" t="s">
        <v>2080</v>
      </c>
      <c r="L34" s="137" t="s">
        <v>2083</v>
      </c>
      <c r="M34" s="137" t="s">
        <v>195</v>
      </c>
      <c r="N34" s="135"/>
      <c r="O34" s="135"/>
      <c r="Q34" s="3">
        <f t="shared" si="0"/>
        <v>867.62</v>
      </c>
    </row>
    <row r="35" spans="1:30" x14ac:dyDescent="0.35">
      <c r="A35" s="137" t="s">
        <v>0</v>
      </c>
      <c r="B35" s="137" t="s">
        <v>470</v>
      </c>
      <c r="C35" s="137" t="s">
        <v>1</v>
      </c>
      <c r="D35" s="137" t="s">
        <v>2</v>
      </c>
      <c r="E35" s="137">
        <v>853.67</v>
      </c>
      <c r="F35" s="137" t="s">
        <v>77</v>
      </c>
      <c r="G35" s="136">
        <v>45726</v>
      </c>
      <c r="H35" s="137" t="s">
        <v>78</v>
      </c>
      <c r="I35" s="137" t="s">
        <v>2092</v>
      </c>
      <c r="J35" s="137"/>
      <c r="K35" s="137" t="s">
        <v>2090</v>
      </c>
      <c r="L35" s="137" t="s">
        <v>2093</v>
      </c>
      <c r="M35" s="137" t="s">
        <v>195</v>
      </c>
      <c r="N35" s="135"/>
      <c r="O35" s="135"/>
      <c r="Q35" s="3">
        <f t="shared" si="0"/>
        <v>853.67</v>
      </c>
    </row>
    <row r="36" spans="1:30" x14ac:dyDescent="0.35">
      <c r="A36" s="137" t="s">
        <v>27</v>
      </c>
      <c r="B36" s="137" t="s">
        <v>615</v>
      </c>
      <c r="C36" s="137" t="s">
        <v>1</v>
      </c>
      <c r="D36" s="137" t="s">
        <v>2</v>
      </c>
      <c r="E36" s="137">
        <v>802.73</v>
      </c>
      <c r="F36" s="137" t="s">
        <v>77</v>
      </c>
      <c r="G36" s="136">
        <v>45707</v>
      </c>
      <c r="H36" s="137" t="s">
        <v>79</v>
      </c>
      <c r="I36" s="137" t="s">
        <v>825</v>
      </c>
      <c r="J36" s="137" t="s">
        <v>2247</v>
      </c>
      <c r="K36" s="137"/>
      <c r="L36" s="137"/>
      <c r="M36" s="135" t="s">
        <v>272</v>
      </c>
      <c r="N36" s="135"/>
      <c r="Q36" s="3">
        <f t="shared" si="0"/>
        <v>802.73</v>
      </c>
      <c r="AD36" s="26">
        <f>Q36</f>
        <v>802.73</v>
      </c>
    </row>
    <row r="37" spans="1:30" x14ac:dyDescent="0.35">
      <c r="A37" s="137" t="s">
        <v>0</v>
      </c>
      <c r="B37" s="137" t="s">
        <v>327</v>
      </c>
      <c r="C37" s="137" t="s">
        <v>1</v>
      </c>
      <c r="D37" s="137" t="s">
        <v>2</v>
      </c>
      <c r="E37" s="137">
        <v>711.78000000000009</v>
      </c>
      <c r="F37" s="137" t="s">
        <v>77</v>
      </c>
      <c r="G37" s="136">
        <v>45712</v>
      </c>
      <c r="H37" s="137" t="s">
        <v>78</v>
      </c>
      <c r="I37" s="137" t="s">
        <v>2082</v>
      </c>
      <c r="J37" s="137"/>
      <c r="K37" s="137" t="s">
        <v>2080</v>
      </c>
      <c r="L37" s="137" t="s">
        <v>2083</v>
      </c>
      <c r="M37" s="137" t="s">
        <v>195</v>
      </c>
      <c r="N37" s="31"/>
      <c r="O37" s="31"/>
      <c r="Q37" s="3">
        <f t="shared" si="0"/>
        <v>711.78000000000009</v>
      </c>
    </row>
    <row r="38" spans="1:30" x14ac:dyDescent="0.35">
      <c r="A38" s="137" t="s">
        <v>27</v>
      </c>
      <c r="B38" s="137" t="s">
        <v>496</v>
      </c>
      <c r="C38" s="137" t="s">
        <v>1</v>
      </c>
      <c r="D38" s="137" t="s">
        <v>2</v>
      </c>
      <c r="E38" s="137">
        <v>682.68</v>
      </c>
      <c r="F38" s="137" t="s">
        <v>77</v>
      </c>
      <c r="G38" s="136">
        <v>45744</v>
      </c>
      <c r="H38" s="137" t="s">
        <v>79</v>
      </c>
      <c r="I38" s="137" t="s">
        <v>2274</v>
      </c>
      <c r="J38" s="137" t="s">
        <v>2380</v>
      </c>
      <c r="K38" s="137"/>
      <c r="L38" s="137"/>
      <c r="M38" s="135" t="s">
        <v>2381</v>
      </c>
      <c r="N38" s="135"/>
      <c r="Q38" s="3">
        <f t="shared" si="0"/>
        <v>682.68</v>
      </c>
      <c r="S38" s="49" t="s">
        <v>2503</v>
      </c>
    </row>
    <row r="39" spans="1:30" x14ac:dyDescent="0.35">
      <c r="A39" s="137" t="s">
        <v>0</v>
      </c>
      <c r="B39" s="137" t="s">
        <v>557</v>
      </c>
      <c r="C39" s="137" t="s">
        <v>1</v>
      </c>
      <c r="D39" s="137" t="s">
        <v>2</v>
      </c>
      <c r="E39" s="137">
        <v>632.93000000000006</v>
      </c>
      <c r="F39" s="137" t="s">
        <v>77</v>
      </c>
      <c r="G39" s="136">
        <v>45677</v>
      </c>
      <c r="H39" s="137" t="s">
        <v>78</v>
      </c>
      <c r="I39" s="137" t="s">
        <v>2053</v>
      </c>
      <c r="J39" s="137"/>
      <c r="K39" s="137" t="s">
        <v>735</v>
      </c>
      <c r="L39" s="137" t="s">
        <v>2054</v>
      </c>
      <c r="M39" s="137" t="s">
        <v>195</v>
      </c>
      <c r="Q39" s="3">
        <f t="shared" si="0"/>
        <v>632.93000000000006</v>
      </c>
    </row>
    <row r="40" spans="1:30" x14ac:dyDescent="0.35">
      <c r="A40" s="137" t="s">
        <v>27</v>
      </c>
      <c r="B40" s="137" t="s">
        <v>347</v>
      </c>
      <c r="C40" s="137" t="s">
        <v>1</v>
      </c>
      <c r="D40" s="137" t="s">
        <v>2</v>
      </c>
      <c r="E40" s="137">
        <v>597.41</v>
      </c>
      <c r="F40" s="137" t="s">
        <v>77</v>
      </c>
      <c r="G40" s="136">
        <v>45680</v>
      </c>
      <c r="H40" s="137" t="s">
        <v>78</v>
      </c>
      <c r="I40" s="137" t="s">
        <v>2148</v>
      </c>
      <c r="J40" s="137"/>
      <c r="K40" s="137" t="s">
        <v>2149</v>
      </c>
      <c r="L40" s="137" t="s">
        <v>2428</v>
      </c>
      <c r="M40" s="137" t="s">
        <v>206</v>
      </c>
      <c r="N40" s="137"/>
      <c r="O40" s="137"/>
      <c r="Q40" s="3">
        <f t="shared" si="0"/>
        <v>597.41</v>
      </c>
    </row>
    <row r="41" spans="1:30" x14ac:dyDescent="0.35">
      <c r="A41" s="137" t="s">
        <v>27</v>
      </c>
      <c r="B41" s="137" t="s">
        <v>378</v>
      </c>
      <c r="C41" s="137" t="s">
        <v>1</v>
      </c>
      <c r="D41" s="137" t="s">
        <v>2</v>
      </c>
      <c r="E41" s="137">
        <v>597.41</v>
      </c>
      <c r="F41" s="137" t="s">
        <v>77</v>
      </c>
      <c r="G41" s="136">
        <v>45691</v>
      </c>
      <c r="H41" s="137" t="s">
        <v>78</v>
      </c>
      <c r="I41" s="137" t="s">
        <v>2188</v>
      </c>
      <c r="J41" s="137"/>
      <c r="K41" s="137" t="s">
        <v>701</v>
      </c>
      <c r="L41" s="137" t="s">
        <v>2437</v>
      </c>
      <c r="M41" s="137" t="s">
        <v>206</v>
      </c>
      <c r="N41" s="137"/>
      <c r="O41" s="137"/>
      <c r="Q41" s="3">
        <f t="shared" si="0"/>
        <v>597.41</v>
      </c>
    </row>
    <row r="42" spans="1:30" x14ac:dyDescent="0.35">
      <c r="A42" s="137" t="s">
        <v>27</v>
      </c>
      <c r="B42" s="137" t="s">
        <v>378</v>
      </c>
      <c r="C42" s="137" t="s">
        <v>1</v>
      </c>
      <c r="D42" s="137" t="s">
        <v>2</v>
      </c>
      <c r="E42" s="137">
        <v>597.41</v>
      </c>
      <c r="F42" s="137" t="s">
        <v>77</v>
      </c>
      <c r="G42" s="136">
        <v>45726</v>
      </c>
      <c r="H42" s="137" t="s">
        <v>78</v>
      </c>
      <c r="I42" s="137" t="s">
        <v>2294</v>
      </c>
      <c r="J42" s="137"/>
      <c r="K42" s="137" t="s">
        <v>2295</v>
      </c>
      <c r="L42" s="137" t="s">
        <v>2448</v>
      </c>
      <c r="M42" s="137" t="s">
        <v>206</v>
      </c>
      <c r="N42" s="137"/>
      <c r="O42" s="137"/>
      <c r="Q42" s="3">
        <f t="shared" si="0"/>
        <v>597.41</v>
      </c>
    </row>
    <row r="43" spans="1:30" x14ac:dyDescent="0.35">
      <c r="A43" s="137" t="s">
        <v>0</v>
      </c>
      <c r="B43" s="137" t="s">
        <v>438</v>
      </c>
      <c r="C43" s="137" t="s">
        <v>1</v>
      </c>
      <c r="D43" s="137" t="s">
        <v>2</v>
      </c>
      <c r="E43" s="137">
        <v>553.24</v>
      </c>
      <c r="F43" s="137" t="s">
        <v>77</v>
      </c>
      <c r="G43" s="136">
        <v>45712</v>
      </c>
      <c r="H43" s="137" t="s">
        <v>78</v>
      </c>
      <c r="I43" s="137" t="s">
        <v>2079</v>
      </c>
      <c r="J43" s="137"/>
      <c r="K43" s="137" t="s">
        <v>2080</v>
      </c>
      <c r="L43" s="137" t="s">
        <v>2081</v>
      </c>
      <c r="M43" s="137" t="s">
        <v>195</v>
      </c>
      <c r="N43" s="137"/>
      <c r="O43" s="137"/>
      <c r="Q43" s="3">
        <f t="shared" si="0"/>
        <v>553.24</v>
      </c>
    </row>
    <row r="44" spans="1:30" x14ac:dyDescent="0.35">
      <c r="A44" s="137" t="s">
        <v>0</v>
      </c>
      <c r="B44" s="137" t="s">
        <v>438</v>
      </c>
      <c r="C44" s="137" t="s">
        <v>1</v>
      </c>
      <c r="D44" s="137" t="s">
        <v>2</v>
      </c>
      <c r="E44" s="137">
        <v>553.24</v>
      </c>
      <c r="F44" s="137" t="s">
        <v>77</v>
      </c>
      <c r="G44" s="136">
        <v>45726</v>
      </c>
      <c r="H44" s="137" t="s">
        <v>78</v>
      </c>
      <c r="I44" s="137" t="s">
        <v>2089</v>
      </c>
      <c r="J44" s="137"/>
      <c r="K44" s="137" t="s">
        <v>2090</v>
      </c>
      <c r="L44" s="137" t="s">
        <v>2091</v>
      </c>
      <c r="M44" s="137" t="s">
        <v>195</v>
      </c>
      <c r="N44" s="135"/>
      <c r="O44" s="135"/>
      <c r="Q44" s="3">
        <f t="shared" si="0"/>
        <v>553.24</v>
      </c>
    </row>
    <row r="45" spans="1:30" x14ac:dyDescent="0.35">
      <c r="A45" s="137" t="s">
        <v>0</v>
      </c>
      <c r="B45" s="137" t="s">
        <v>438</v>
      </c>
      <c r="C45" s="137" t="s">
        <v>1</v>
      </c>
      <c r="D45" s="137" t="s">
        <v>2</v>
      </c>
      <c r="E45" s="137">
        <v>553.16999999999996</v>
      </c>
      <c r="F45" s="137" t="s">
        <v>77</v>
      </c>
      <c r="G45" s="136">
        <v>45677</v>
      </c>
      <c r="H45" s="137" t="s">
        <v>78</v>
      </c>
      <c r="I45" s="137" t="s">
        <v>2051</v>
      </c>
      <c r="J45" s="137"/>
      <c r="K45" s="137" t="s">
        <v>735</v>
      </c>
      <c r="L45" s="137" t="s">
        <v>2052</v>
      </c>
      <c r="M45" s="137" t="s">
        <v>195</v>
      </c>
      <c r="N45" s="137"/>
      <c r="O45" s="137"/>
      <c r="Q45" s="3">
        <f t="shared" si="0"/>
        <v>553.16999999999996</v>
      </c>
    </row>
    <row r="46" spans="1:30" x14ac:dyDescent="0.35">
      <c r="A46" s="137" t="s">
        <v>0</v>
      </c>
      <c r="B46" s="137" t="s">
        <v>365</v>
      </c>
      <c r="C46" s="137" t="s">
        <v>1</v>
      </c>
      <c r="D46" s="137" t="s">
        <v>2</v>
      </c>
      <c r="E46" s="137">
        <v>541.95000000000005</v>
      </c>
      <c r="F46" s="137" t="s">
        <v>77</v>
      </c>
      <c r="G46" s="136">
        <v>45712</v>
      </c>
      <c r="H46" s="137" t="s">
        <v>78</v>
      </c>
      <c r="I46" s="137" t="s">
        <v>2082</v>
      </c>
      <c r="J46" s="137"/>
      <c r="K46" s="137" t="s">
        <v>2080</v>
      </c>
      <c r="L46" s="137" t="s">
        <v>2083</v>
      </c>
      <c r="M46" s="137" t="s">
        <v>195</v>
      </c>
      <c r="N46" s="137"/>
      <c r="O46" s="137"/>
      <c r="Q46" s="3">
        <f t="shared" si="0"/>
        <v>541.95000000000005</v>
      </c>
    </row>
    <row r="47" spans="1:30" x14ac:dyDescent="0.35">
      <c r="A47" s="137" t="s">
        <v>0</v>
      </c>
      <c r="B47" s="137" t="s">
        <v>344</v>
      </c>
      <c r="C47" s="137" t="s">
        <v>1</v>
      </c>
      <c r="D47" s="137" t="s">
        <v>2</v>
      </c>
      <c r="E47" s="137">
        <v>523.28</v>
      </c>
      <c r="F47" s="137" t="s">
        <v>77</v>
      </c>
      <c r="G47" s="136">
        <v>45712</v>
      </c>
      <c r="H47" s="137" t="s">
        <v>78</v>
      </c>
      <c r="I47" s="137" t="s">
        <v>2082</v>
      </c>
      <c r="J47" s="137"/>
      <c r="K47" s="137" t="s">
        <v>2080</v>
      </c>
      <c r="L47" s="137" t="s">
        <v>2083</v>
      </c>
      <c r="M47" s="137" t="s">
        <v>195</v>
      </c>
      <c r="N47" s="135"/>
      <c r="O47" s="135"/>
      <c r="Q47" s="3">
        <f t="shared" si="0"/>
        <v>523.28</v>
      </c>
    </row>
    <row r="48" spans="1:30" x14ac:dyDescent="0.35">
      <c r="A48" s="137" t="s">
        <v>0</v>
      </c>
      <c r="B48" s="137" t="s">
        <v>361</v>
      </c>
      <c r="C48" s="137" t="s">
        <v>1</v>
      </c>
      <c r="D48" s="137" t="s">
        <v>2</v>
      </c>
      <c r="E48" s="137">
        <v>516.69999999999993</v>
      </c>
      <c r="F48" s="137" t="s">
        <v>77</v>
      </c>
      <c r="G48" s="136">
        <v>45726</v>
      </c>
      <c r="H48" s="137" t="s">
        <v>78</v>
      </c>
      <c r="I48" s="137" t="s">
        <v>2092</v>
      </c>
      <c r="J48" s="137"/>
      <c r="K48" s="137" t="s">
        <v>2090</v>
      </c>
      <c r="L48" s="137" t="s">
        <v>2093</v>
      </c>
      <c r="M48" s="137" t="s">
        <v>195</v>
      </c>
      <c r="N48" s="137"/>
      <c r="O48" s="137"/>
      <c r="Q48" s="3">
        <f t="shared" si="0"/>
        <v>516.69999999999993</v>
      </c>
    </row>
    <row r="49" spans="1:30" x14ac:dyDescent="0.35">
      <c r="A49" s="137" t="s">
        <v>0</v>
      </c>
      <c r="B49" s="137" t="s">
        <v>366</v>
      </c>
      <c r="C49" s="137" t="s">
        <v>1</v>
      </c>
      <c r="D49" s="137" t="s">
        <v>2</v>
      </c>
      <c r="E49" s="137">
        <v>500</v>
      </c>
      <c r="F49" s="137" t="s">
        <v>77</v>
      </c>
      <c r="G49" s="136">
        <v>45740</v>
      </c>
      <c r="H49" s="137" t="s">
        <v>78</v>
      </c>
      <c r="I49" s="137" t="s">
        <v>2103</v>
      </c>
      <c r="J49" s="137"/>
      <c r="K49" s="137" t="s">
        <v>2104</v>
      </c>
      <c r="L49" s="137" t="s">
        <v>2418</v>
      </c>
      <c r="M49" s="137" t="s">
        <v>197</v>
      </c>
      <c r="N49" s="135"/>
      <c r="O49" s="135"/>
      <c r="Q49" s="3">
        <f t="shared" si="0"/>
        <v>500</v>
      </c>
    </row>
    <row r="50" spans="1:30" x14ac:dyDescent="0.35">
      <c r="A50" s="137" t="s">
        <v>0</v>
      </c>
      <c r="B50" s="137" t="s">
        <v>344</v>
      </c>
      <c r="C50" s="137" t="s">
        <v>1</v>
      </c>
      <c r="D50" s="137" t="s">
        <v>2</v>
      </c>
      <c r="E50" s="137">
        <v>476.81</v>
      </c>
      <c r="F50" s="137" t="s">
        <v>77</v>
      </c>
      <c r="G50" s="136">
        <v>45726</v>
      </c>
      <c r="H50" s="137" t="s">
        <v>78</v>
      </c>
      <c r="I50" s="137" t="s">
        <v>2092</v>
      </c>
      <c r="J50" s="137"/>
      <c r="K50" s="137" t="s">
        <v>2090</v>
      </c>
      <c r="L50" s="137" t="s">
        <v>2093</v>
      </c>
      <c r="M50" s="137" t="s">
        <v>195</v>
      </c>
      <c r="N50" s="135"/>
      <c r="O50" s="135"/>
      <c r="Q50" s="3">
        <f t="shared" si="0"/>
        <v>476.81</v>
      </c>
    </row>
    <row r="51" spans="1:30" x14ac:dyDescent="0.35">
      <c r="A51" s="137" t="s">
        <v>27</v>
      </c>
      <c r="B51" s="137" t="s">
        <v>427</v>
      </c>
      <c r="C51" s="137" t="s">
        <v>1</v>
      </c>
      <c r="D51" s="137" t="s">
        <v>2</v>
      </c>
      <c r="E51" s="137">
        <v>470.91</v>
      </c>
      <c r="F51" s="137" t="s">
        <v>77</v>
      </c>
      <c r="G51" s="136">
        <v>45729</v>
      </c>
      <c r="H51" s="137" t="s">
        <v>79</v>
      </c>
      <c r="I51" s="137" t="s">
        <v>2304</v>
      </c>
      <c r="J51" s="137" t="s">
        <v>2305</v>
      </c>
      <c r="K51" s="137"/>
      <c r="L51" s="137"/>
      <c r="M51" s="137" t="s">
        <v>2306</v>
      </c>
      <c r="N51" s="137"/>
      <c r="Q51" s="3">
        <f t="shared" si="0"/>
        <v>470.91</v>
      </c>
      <c r="AD51" s="26">
        <f>Q51</f>
        <v>470.91</v>
      </c>
    </row>
    <row r="52" spans="1:30" x14ac:dyDescent="0.35">
      <c r="A52" s="137" t="s">
        <v>0</v>
      </c>
      <c r="B52" s="137" t="s">
        <v>557</v>
      </c>
      <c r="C52" s="137" t="s">
        <v>1</v>
      </c>
      <c r="D52" s="137" t="s">
        <v>2</v>
      </c>
      <c r="E52" s="137">
        <v>463.75</v>
      </c>
      <c r="F52" s="137" t="s">
        <v>77</v>
      </c>
      <c r="G52" s="136">
        <v>45712</v>
      </c>
      <c r="H52" s="137" t="s">
        <v>78</v>
      </c>
      <c r="I52" s="137" t="s">
        <v>2082</v>
      </c>
      <c r="J52" s="137"/>
      <c r="K52" s="137" t="s">
        <v>2080</v>
      </c>
      <c r="L52" s="137" t="s">
        <v>2083</v>
      </c>
      <c r="M52" s="137" t="s">
        <v>195</v>
      </c>
      <c r="N52" s="135"/>
      <c r="O52" s="135"/>
      <c r="Q52" s="3">
        <f t="shared" si="0"/>
        <v>463.75</v>
      </c>
    </row>
    <row r="53" spans="1:30" x14ac:dyDescent="0.35">
      <c r="A53" s="137" t="s">
        <v>0</v>
      </c>
      <c r="B53" s="137" t="s">
        <v>438</v>
      </c>
      <c r="C53" s="137" t="s">
        <v>1</v>
      </c>
      <c r="D53" s="137" t="s">
        <v>2</v>
      </c>
      <c r="E53" s="137">
        <v>452.24</v>
      </c>
      <c r="F53" s="137" t="s">
        <v>77</v>
      </c>
      <c r="G53" s="136">
        <v>45664</v>
      </c>
      <c r="H53" s="137" t="s">
        <v>78</v>
      </c>
      <c r="I53" s="137" t="s">
        <v>2028</v>
      </c>
      <c r="J53" s="137"/>
      <c r="K53" s="137" t="s">
        <v>2029</v>
      </c>
      <c r="L53" s="137" t="s">
        <v>2030</v>
      </c>
      <c r="M53" s="137" t="s">
        <v>185</v>
      </c>
      <c r="N53" s="135"/>
      <c r="O53" s="135"/>
      <c r="Q53" s="3">
        <f t="shared" si="0"/>
        <v>452.24</v>
      </c>
    </row>
    <row r="54" spans="1:30" x14ac:dyDescent="0.35">
      <c r="A54" s="137" t="s">
        <v>0</v>
      </c>
      <c r="B54" s="137" t="s">
        <v>427</v>
      </c>
      <c r="C54" s="137" t="s">
        <v>1</v>
      </c>
      <c r="D54" s="137" t="s">
        <v>2</v>
      </c>
      <c r="E54" s="137">
        <v>446.53</v>
      </c>
      <c r="F54" s="137" t="s">
        <v>77</v>
      </c>
      <c r="G54" s="136">
        <v>45712</v>
      </c>
      <c r="H54" s="137" t="s">
        <v>78</v>
      </c>
      <c r="I54" s="137" t="s">
        <v>2082</v>
      </c>
      <c r="J54" s="137"/>
      <c r="K54" s="137" t="s">
        <v>2080</v>
      </c>
      <c r="L54" s="137" t="s">
        <v>2083</v>
      </c>
      <c r="M54" s="137" t="s">
        <v>195</v>
      </c>
      <c r="N54" s="135"/>
      <c r="O54" s="135"/>
      <c r="Q54" s="3">
        <f t="shared" si="0"/>
        <v>446.53</v>
      </c>
    </row>
    <row r="55" spans="1:30" x14ac:dyDescent="0.35">
      <c r="A55" s="137" t="s">
        <v>0</v>
      </c>
      <c r="B55" s="137" t="s">
        <v>557</v>
      </c>
      <c r="C55" s="137" t="s">
        <v>1</v>
      </c>
      <c r="D55" s="137" t="s">
        <v>2</v>
      </c>
      <c r="E55" s="137">
        <v>445.68</v>
      </c>
      <c r="F55" s="137" t="s">
        <v>77</v>
      </c>
      <c r="G55" s="136">
        <v>45726</v>
      </c>
      <c r="H55" s="137" t="s">
        <v>78</v>
      </c>
      <c r="I55" s="137" t="s">
        <v>2092</v>
      </c>
      <c r="J55" s="137"/>
      <c r="K55" s="137" t="s">
        <v>2090</v>
      </c>
      <c r="L55" s="137" t="s">
        <v>2093</v>
      </c>
      <c r="M55" s="137" t="s">
        <v>195</v>
      </c>
      <c r="N55" s="137"/>
      <c r="O55" s="137"/>
      <c r="Q55" s="3">
        <f t="shared" si="0"/>
        <v>445.68</v>
      </c>
    </row>
    <row r="56" spans="1:30" x14ac:dyDescent="0.35">
      <c r="A56" s="137" t="s">
        <v>0</v>
      </c>
      <c r="B56" s="137" t="s">
        <v>667</v>
      </c>
      <c r="C56" s="137" t="s">
        <v>1</v>
      </c>
      <c r="D56" s="137" t="s">
        <v>2</v>
      </c>
      <c r="E56" s="137">
        <v>445.51</v>
      </c>
      <c r="F56" s="137" t="s">
        <v>77</v>
      </c>
      <c r="G56" s="136">
        <v>45712</v>
      </c>
      <c r="H56" s="137" t="s">
        <v>78</v>
      </c>
      <c r="I56" s="137" t="s">
        <v>2079</v>
      </c>
      <c r="J56" s="137"/>
      <c r="K56" s="137" t="s">
        <v>2080</v>
      </c>
      <c r="L56" s="137" t="s">
        <v>2081</v>
      </c>
      <c r="M56" s="137" t="s">
        <v>195</v>
      </c>
      <c r="N56" s="137"/>
      <c r="O56" s="137"/>
      <c r="Q56" s="3">
        <f t="shared" si="0"/>
        <v>445.51</v>
      </c>
    </row>
    <row r="57" spans="1:30" x14ac:dyDescent="0.35">
      <c r="A57" s="137" t="s">
        <v>0</v>
      </c>
      <c r="B57" s="137" t="s">
        <v>667</v>
      </c>
      <c r="C57" s="137" t="s">
        <v>1</v>
      </c>
      <c r="D57" s="137" t="s">
        <v>2</v>
      </c>
      <c r="E57" s="137">
        <v>445.47</v>
      </c>
      <c r="F57" s="137" t="s">
        <v>77</v>
      </c>
      <c r="G57" s="136">
        <v>45677</v>
      </c>
      <c r="H57" s="137" t="s">
        <v>78</v>
      </c>
      <c r="I57" s="137" t="s">
        <v>2051</v>
      </c>
      <c r="J57" s="137"/>
      <c r="K57" s="137" t="s">
        <v>735</v>
      </c>
      <c r="L57" s="137" t="s">
        <v>2052</v>
      </c>
      <c r="M57" s="137" t="s">
        <v>195</v>
      </c>
      <c r="N57" s="137"/>
      <c r="O57" s="137"/>
      <c r="Q57" s="3">
        <f t="shared" si="0"/>
        <v>445.47</v>
      </c>
    </row>
    <row r="58" spans="1:30" x14ac:dyDescent="0.35">
      <c r="A58" s="137" t="s">
        <v>0</v>
      </c>
      <c r="B58" s="137" t="s">
        <v>365</v>
      </c>
      <c r="C58" s="137" t="s">
        <v>1</v>
      </c>
      <c r="D58" s="137" t="s">
        <v>2</v>
      </c>
      <c r="E58" s="137">
        <v>416.26</v>
      </c>
      <c r="F58" s="137" t="s">
        <v>77</v>
      </c>
      <c r="G58" s="136">
        <v>45726</v>
      </c>
      <c r="H58" s="137" t="s">
        <v>78</v>
      </c>
      <c r="I58" s="137" t="s">
        <v>2092</v>
      </c>
      <c r="J58" s="137"/>
      <c r="K58" s="137" t="s">
        <v>2090</v>
      </c>
      <c r="L58" s="137" t="s">
        <v>2093</v>
      </c>
      <c r="M58" s="137" t="s">
        <v>195</v>
      </c>
      <c r="N58" s="135"/>
      <c r="O58" s="135"/>
      <c r="Q58" s="3">
        <f t="shared" si="0"/>
        <v>416.26</v>
      </c>
    </row>
    <row r="59" spans="1:30" x14ac:dyDescent="0.35">
      <c r="A59" s="137" t="s">
        <v>27</v>
      </c>
      <c r="B59" s="137" t="s">
        <v>427</v>
      </c>
      <c r="C59" s="137" t="s">
        <v>1</v>
      </c>
      <c r="D59" s="137" t="s">
        <v>2</v>
      </c>
      <c r="E59" s="137">
        <v>383.66</v>
      </c>
      <c r="F59" s="137" t="s">
        <v>77</v>
      </c>
      <c r="G59" s="136">
        <v>45729</v>
      </c>
      <c r="H59" s="137" t="s">
        <v>79</v>
      </c>
      <c r="I59" s="137" t="s">
        <v>696</v>
      </c>
      <c r="K59" s="137" t="s">
        <v>2309</v>
      </c>
      <c r="L59" s="137"/>
      <c r="M59" s="137" t="s">
        <v>2313</v>
      </c>
      <c r="N59" s="146"/>
      <c r="Q59" s="3">
        <f t="shared" si="0"/>
        <v>383.66</v>
      </c>
    </row>
    <row r="60" spans="1:30" x14ac:dyDescent="0.35">
      <c r="A60" s="137" t="s">
        <v>0</v>
      </c>
      <c r="B60" s="137" t="s">
        <v>599</v>
      </c>
      <c r="C60" s="137" t="s">
        <v>1</v>
      </c>
      <c r="D60" s="137" t="s">
        <v>2</v>
      </c>
      <c r="E60" s="137">
        <v>360.41</v>
      </c>
      <c r="F60" s="137" t="s">
        <v>77</v>
      </c>
      <c r="G60" s="136">
        <v>45726</v>
      </c>
      <c r="H60" s="137" t="s">
        <v>78</v>
      </c>
      <c r="I60" s="137" t="s">
        <v>2092</v>
      </c>
      <c r="J60" s="137"/>
      <c r="K60" s="137" t="s">
        <v>2090</v>
      </c>
      <c r="L60" s="137" t="s">
        <v>2093</v>
      </c>
      <c r="M60" s="137" t="s">
        <v>195</v>
      </c>
      <c r="N60" s="137"/>
      <c r="O60" s="137"/>
      <c r="Q60" s="3">
        <f t="shared" si="0"/>
        <v>360.41</v>
      </c>
    </row>
    <row r="61" spans="1:30" x14ac:dyDescent="0.35">
      <c r="A61" s="137" t="s">
        <v>27</v>
      </c>
      <c r="B61" s="137" t="s">
        <v>347</v>
      </c>
      <c r="C61" s="137" t="s">
        <v>1</v>
      </c>
      <c r="D61" s="137" t="s">
        <v>2</v>
      </c>
      <c r="E61" s="137">
        <v>360</v>
      </c>
      <c r="F61" s="137" t="s">
        <v>77</v>
      </c>
      <c r="G61" s="136">
        <v>45740</v>
      </c>
      <c r="H61" s="137" t="s">
        <v>79</v>
      </c>
      <c r="I61" s="137" t="s">
        <v>1758</v>
      </c>
      <c r="K61" s="137" t="s">
        <v>159</v>
      </c>
      <c r="L61" s="137"/>
      <c r="M61" s="135" t="s">
        <v>737</v>
      </c>
      <c r="N61" s="135"/>
      <c r="Q61" s="3">
        <f t="shared" si="0"/>
        <v>360</v>
      </c>
    </row>
    <row r="62" spans="1:30" x14ac:dyDescent="0.35">
      <c r="A62" s="137" t="s">
        <v>27</v>
      </c>
      <c r="B62" s="137" t="s">
        <v>315</v>
      </c>
      <c r="C62" s="137" t="s">
        <v>1</v>
      </c>
      <c r="D62" s="137" t="s">
        <v>2</v>
      </c>
      <c r="E62" s="137">
        <v>357.81</v>
      </c>
      <c r="F62" s="137" t="s">
        <v>77</v>
      </c>
      <c r="G62" s="136">
        <v>45715</v>
      </c>
      <c r="H62" s="137" t="s">
        <v>79</v>
      </c>
      <c r="I62" s="137" t="s">
        <v>2263</v>
      </c>
      <c r="J62" s="137" t="s">
        <v>2264</v>
      </c>
      <c r="K62" s="137"/>
      <c r="L62" s="137"/>
      <c r="M62" s="135" t="s">
        <v>2265</v>
      </c>
      <c r="N62" s="135"/>
      <c r="Q62" s="3">
        <f t="shared" si="0"/>
        <v>357.81</v>
      </c>
      <c r="S62" s="48" t="s">
        <v>44</v>
      </c>
      <c r="T62" t="s">
        <v>54</v>
      </c>
      <c r="U62" s="3" t="str">
        <f>B62</f>
        <v>AU030055</v>
      </c>
      <c r="V62" s="3">
        <f>E62</f>
        <v>357.81</v>
      </c>
    </row>
    <row r="63" spans="1:30" x14ac:dyDescent="0.35">
      <c r="A63" s="137" t="s">
        <v>27</v>
      </c>
      <c r="B63" s="137" t="s">
        <v>327</v>
      </c>
      <c r="C63" s="137" t="s">
        <v>1</v>
      </c>
      <c r="D63" s="137" t="s">
        <v>2</v>
      </c>
      <c r="E63" s="137">
        <v>349.77</v>
      </c>
      <c r="F63" s="137" t="s">
        <v>77</v>
      </c>
      <c r="G63" s="136">
        <v>45720</v>
      </c>
      <c r="H63" s="137" t="s">
        <v>79</v>
      </c>
      <c r="I63" s="137" t="s">
        <v>254</v>
      </c>
      <c r="K63" s="137" t="s">
        <v>255</v>
      </c>
      <c r="L63" s="137"/>
      <c r="M63" s="135" t="s">
        <v>284</v>
      </c>
      <c r="N63" s="135"/>
      <c r="Q63" s="3">
        <f t="shared" si="0"/>
        <v>349.77</v>
      </c>
    </row>
    <row r="64" spans="1:30" x14ac:dyDescent="0.35">
      <c r="A64" s="137" t="s">
        <v>0</v>
      </c>
      <c r="B64" s="137" t="s">
        <v>438</v>
      </c>
      <c r="C64" s="137" t="s">
        <v>1</v>
      </c>
      <c r="D64" s="137" t="s">
        <v>2</v>
      </c>
      <c r="E64" s="137">
        <v>348.91</v>
      </c>
      <c r="F64" s="137" t="s">
        <v>77</v>
      </c>
      <c r="G64" s="136">
        <v>45707</v>
      </c>
      <c r="H64" s="137" t="s">
        <v>78</v>
      </c>
      <c r="I64" s="137" t="s">
        <v>2072</v>
      </c>
      <c r="J64" s="137"/>
      <c r="K64" s="137" t="s">
        <v>2073</v>
      </c>
      <c r="L64" s="137" t="s">
        <v>2074</v>
      </c>
      <c r="M64" s="137" t="s">
        <v>185</v>
      </c>
      <c r="N64" s="135"/>
      <c r="O64" s="135"/>
      <c r="Q64" s="3">
        <f t="shared" si="0"/>
        <v>348.91</v>
      </c>
    </row>
    <row r="65" spans="1:30" x14ac:dyDescent="0.35">
      <c r="A65" s="137" t="s">
        <v>27</v>
      </c>
      <c r="B65" s="137" t="s">
        <v>481</v>
      </c>
      <c r="C65" s="137" t="s">
        <v>1</v>
      </c>
      <c r="D65" s="137" t="s">
        <v>2</v>
      </c>
      <c r="E65" s="137">
        <v>338.73</v>
      </c>
      <c r="F65" s="137" t="s">
        <v>77</v>
      </c>
      <c r="G65" s="136">
        <v>45663</v>
      </c>
      <c r="H65" s="137" t="s">
        <v>79</v>
      </c>
      <c r="I65" s="137" t="s">
        <v>523</v>
      </c>
      <c r="K65" s="137" t="s">
        <v>2108</v>
      </c>
      <c r="L65" s="137"/>
      <c r="M65" s="137" t="s">
        <v>2109</v>
      </c>
      <c r="N65" s="137"/>
      <c r="Q65" s="3">
        <f t="shared" si="0"/>
        <v>338.73</v>
      </c>
    </row>
    <row r="66" spans="1:30" x14ac:dyDescent="0.35">
      <c r="A66" s="137" t="s">
        <v>27</v>
      </c>
      <c r="B66" s="137" t="s">
        <v>321</v>
      </c>
      <c r="C66" s="137" t="s">
        <v>1</v>
      </c>
      <c r="D66" s="137" t="s">
        <v>2</v>
      </c>
      <c r="E66" s="137">
        <v>331.13</v>
      </c>
      <c r="F66" s="137" t="s">
        <v>77</v>
      </c>
      <c r="G66" s="136">
        <v>45713</v>
      </c>
      <c r="H66" s="137" t="s">
        <v>79</v>
      </c>
      <c r="I66" s="137" t="s">
        <v>213</v>
      </c>
      <c r="K66" s="137" t="s">
        <v>2258</v>
      </c>
      <c r="L66" s="137"/>
      <c r="M66" s="135" t="s">
        <v>282</v>
      </c>
      <c r="N66" s="135"/>
      <c r="Q66" s="3">
        <f t="shared" si="0"/>
        <v>331.13</v>
      </c>
    </row>
    <row r="67" spans="1:30" x14ac:dyDescent="0.35">
      <c r="A67" s="137" t="s">
        <v>27</v>
      </c>
      <c r="B67" s="137" t="s">
        <v>347</v>
      </c>
      <c r="C67" s="137" t="s">
        <v>1</v>
      </c>
      <c r="D67" s="137" t="s">
        <v>2</v>
      </c>
      <c r="E67" s="137">
        <v>328.05</v>
      </c>
      <c r="F67" s="137" t="s">
        <v>77</v>
      </c>
      <c r="G67" s="136">
        <v>45736</v>
      </c>
      <c r="H67" s="137" t="s">
        <v>79</v>
      </c>
      <c r="I67" s="137" t="s">
        <v>217</v>
      </c>
      <c r="K67" s="137" t="s">
        <v>727</v>
      </c>
      <c r="L67" s="137"/>
      <c r="M67" s="135" t="s">
        <v>284</v>
      </c>
      <c r="N67" s="135"/>
      <c r="Q67" s="3">
        <f t="shared" si="0"/>
        <v>328.05</v>
      </c>
    </row>
    <row r="68" spans="1:30" x14ac:dyDescent="0.35">
      <c r="A68" s="137" t="s">
        <v>27</v>
      </c>
      <c r="B68" s="137" t="s">
        <v>339</v>
      </c>
      <c r="C68" s="137" t="s">
        <v>1</v>
      </c>
      <c r="D68" s="137" t="s">
        <v>2</v>
      </c>
      <c r="E68" s="137">
        <v>323.62</v>
      </c>
      <c r="F68" s="137" t="s">
        <v>77</v>
      </c>
      <c r="G68" s="136">
        <v>45734</v>
      </c>
      <c r="H68" s="137" t="s">
        <v>79</v>
      </c>
      <c r="I68" s="137" t="s">
        <v>500</v>
      </c>
      <c r="J68" s="137" t="s">
        <v>2322</v>
      </c>
      <c r="L68" s="137"/>
      <c r="M68" s="135" t="s">
        <v>554</v>
      </c>
      <c r="N68" s="135"/>
      <c r="Q68" s="3">
        <f t="shared" si="0"/>
        <v>323.62</v>
      </c>
      <c r="AD68" s="26">
        <f>Q68</f>
        <v>323.62</v>
      </c>
    </row>
    <row r="69" spans="1:30" x14ac:dyDescent="0.35">
      <c r="A69" s="137" t="s">
        <v>27</v>
      </c>
      <c r="B69" s="137" t="s">
        <v>615</v>
      </c>
      <c r="C69" s="137" t="s">
        <v>1</v>
      </c>
      <c r="D69" s="137" t="s">
        <v>2</v>
      </c>
      <c r="E69" s="137">
        <v>307.97000000000003</v>
      </c>
      <c r="F69" s="137" t="s">
        <v>77</v>
      </c>
      <c r="G69" s="136">
        <v>45694</v>
      </c>
      <c r="H69" s="137" t="s">
        <v>79</v>
      </c>
      <c r="I69" s="137" t="s">
        <v>825</v>
      </c>
      <c r="J69" s="137" t="s">
        <v>2204</v>
      </c>
      <c r="K69" s="137"/>
      <c r="L69" s="137"/>
      <c r="M69" s="137" t="s">
        <v>2205</v>
      </c>
      <c r="N69" s="137"/>
      <c r="Q69" s="3">
        <f t="shared" si="0"/>
        <v>307.97000000000003</v>
      </c>
      <c r="AD69" s="26">
        <f>Q69</f>
        <v>307.97000000000003</v>
      </c>
    </row>
    <row r="70" spans="1:30" x14ac:dyDescent="0.35">
      <c r="A70" s="137" t="s">
        <v>0</v>
      </c>
      <c r="B70" s="137" t="s">
        <v>560</v>
      </c>
      <c r="C70" s="137" t="s">
        <v>1</v>
      </c>
      <c r="D70" s="137" t="s">
        <v>2</v>
      </c>
      <c r="E70" s="137">
        <v>306.57</v>
      </c>
      <c r="F70" s="137" t="s">
        <v>77</v>
      </c>
      <c r="G70" s="136">
        <v>45726</v>
      </c>
      <c r="H70" s="137" t="s">
        <v>78</v>
      </c>
      <c r="I70" s="137" t="s">
        <v>2092</v>
      </c>
      <c r="J70" s="137"/>
      <c r="K70" s="137" t="s">
        <v>2090</v>
      </c>
      <c r="L70" s="137" t="s">
        <v>2093</v>
      </c>
      <c r="M70" s="137" t="s">
        <v>195</v>
      </c>
      <c r="Q70" s="3">
        <f t="shared" si="0"/>
        <v>306.57</v>
      </c>
    </row>
    <row r="71" spans="1:30" x14ac:dyDescent="0.35">
      <c r="A71" s="137" t="s">
        <v>27</v>
      </c>
      <c r="B71" s="137" t="s">
        <v>427</v>
      </c>
      <c r="C71" s="137" t="s">
        <v>1</v>
      </c>
      <c r="D71" s="137" t="s">
        <v>2</v>
      </c>
      <c r="E71" s="137">
        <v>300.67999999999995</v>
      </c>
      <c r="F71" s="137" t="s">
        <v>77</v>
      </c>
      <c r="G71" s="136">
        <v>45729</v>
      </c>
      <c r="H71" s="137" t="s">
        <v>79</v>
      </c>
      <c r="I71" s="137" t="s">
        <v>695</v>
      </c>
      <c r="K71" s="137" t="s">
        <v>2309</v>
      </c>
      <c r="L71" s="137"/>
      <c r="M71" s="135" t="s">
        <v>2310</v>
      </c>
      <c r="N71" s="135"/>
      <c r="Q71" s="3">
        <f t="shared" si="0"/>
        <v>300.67999999999995</v>
      </c>
    </row>
    <row r="72" spans="1:30" x14ac:dyDescent="0.35">
      <c r="A72" s="137" t="s">
        <v>27</v>
      </c>
      <c r="B72" s="137" t="s">
        <v>615</v>
      </c>
      <c r="C72" s="137" t="s">
        <v>1</v>
      </c>
      <c r="D72" s="137" t="s">
        <v>2</v>
      </c>
      <c r="E72" s="137">
        <v>295.45</v>
      </c>
      <c r="F72" s="137" t="s">
        <v>77</v>
      </c>
      <c r="G72" s="136">
        <v>45726</v>
      </c>
      <c r="H72" s="137" t="s">
        <v>79</v>
      </c>
      <c r="I72" s="137" t="s">
        <v>825</v>
      </c>
      <c r="J72" s="137" t="s">
        <v>2298</v>
      </c>
      <c r="K72" s="137"/>
      <c r="L72" s="137"/>
      <c r="M72" s="137" t="s">
        <v>2299</v>
      </c>
      <c r="N72" s="137"/>
      <c r="Q72" s="3">
        <f t="shared" ref="Q72:Q135" si="1">ABS(E72)</f>
        <v>295.45</v>
      </c>
      <c r="AD72" s="26">
        <f>Q72</f>
        <v>295.45</v>
      </c>
    </row>
    <row r="73" spans="1:30" x14ac:dyDescent="0.35">
      <c r="A73" s="137" t="s">
        <v>27</v>
      </c>
      <c r="B73" s="137" t="s">
        <v>480</v>
      </c>
      <c r="C73" s="137" t="s">
        <v>1</v>
      </c>
      <c r="D73" s="137" t="s">
        <v>2</v>
      </c>
      <c r="E73" s="137">
        <v>290.13</v>
      </c>
      <c r="F73" s="137" t="s">
        <v>77</v>
      </c>
      <c r="G73" s="136">
        <v>45734</v>
      </c>
      <c r="H73" s="137" t="s">
        <v>79</v>
      </c>
      <c r="I73" s="137" t="s">
        <v>682</v>
      </c>
      <c r="K73" s="137" t="s">
        <v>2323</v>
      </c>
      <c r="L73" s="137"/>
      <c r="M73" s="135" t="s">
        <v>684</v>
      </c>
      <c r="N73" s="135"/>
      <c r="Q73" s="3">
        <f t="shared" si="1"/>
        <v>290.13</v>
      </c>
    </row>
    <row r="74" spans="1:30" x14ac:dyDescent="0.35">
      <c r="A74" s="137" t="s">
        <v>0</v>
      </c>
      <c r="B74" s="137" t="s">
        <v>321</v>
      </c>
      <c r="C74" s="137" t="s">
        <v>1</v>
      </c>
      <c r="D74" s="137" t="s">
        <v>2</v>
      </c>
      <c r="E74" s="137">
        <v>285.52999999999997</v>
      </c>
      <c r="F74" s="137" t="s">
        <v>77</v>
      </c>
      <c r="G74" s="136">
        <v>45726</v>
      </c>
      <c r="H74" s="137" t="s">
        <v>78</v>
      </c>
      <c r="I74" s="137" t="s">
        <v>2092</v>
      </c>
      <c r="J74" s="137"/>
      <c r="K74" s="137" t="s">
        <v>2090</v>
      </c>
      <c r="L74" s="137" t="s">
        <v>2093</v>
      </c>
      <c r="M74" s="137" t="s">
        <v>195</v>
      </c>
      <c r="N74" s="137"/>
      <c r="O74" s="137"/>
      <c r="Q74" s="3">
        <f t="shared" si="1"/>
        <v>285.52999999999997</v>
      </c>
    </row>
    <row r="75" spans="1:30" x14ac:dyDescent="0.35">
      <c r="A75" s="137" t="s">
        <v>0</v>
      </c>
      <c r="B75" s="137" t="s">
        <v>480</v>
      </c>
      <c r="C75" s="137" t="s">
        <v>1</v>
      </c>
      <c r="D75" s="137" t="s">
        <v>2</v>
      </c>
      <c r="E75" s="137">
        <v>285.44</v>
      </c>
      <c r="F75" s="137" t="s">
        <v>77</v>
      </c>
      <c r="G75" s="136">
        <v>45726</v>
      </c>
      <c r="H75" s="137" t="s">
        <v>78</v>
      </c>
      <c r="I75" s="137" t="s">
        <v>2092</v>
      </c>
      <c r="J75" s="137"/>
      <c r="K75" s="137" t="s">
        <v>2090</v>
      </c>
      <c r="L75" s="137" t="s">
        <v>2093</v>
      </c>
      <c r="M75" s="137" t="s">
        <v>195</v>
      </c>
      <c r="Q75" s="3">
        <f t="shared" si="1"/>
        <v>285.44</v>
      </c>
    </row>
    <row r="76" spans="1:30" x14ac:dyDescent="0.35">
      <c r="A76" s="137" t="s">
        <v>27</v>
      </c>
      <c r="B76" s="137" t="s">
        <v>321</v>
      </c>
      <c r="C76" s="137" t="s">
        <v>1</v>
      </c>
      <c r="D76" s="137" t="s">
        <v>2</v>
      </c>
      <c r="E76" s="137">
        <v>281.55</v>
      </c>
      <c r="F76" s="137" t="s">
        <v>77</v>
      </c>
      <c r="G76" s="136">
        <v>45713</v>
      </c>
      <c r="H76" s="137" t="s">
        <v>79</v>
      </c>
      <c r="I76" s="137" t="s">
        <v>670</v>
      </c>
      <c r="K76" s="137" t="s">
        <v>2262</v>
      </c>
      <c r="L76" s="137"/>
      <c r="M76" s="135" t="s">
        <v>672</v>
      </c>
      <c r="N76" s="135"/>
      <c r="Q76" s="3">
        <f t="shared" si="1"/>
        <v>281.55</v>
      </c>
    </row>
    <row r="77" spans="1:30" x14ac:dyDescent="0.35">
      <c r="A77" s="137" t="s">
        <v>27</v>
      </c>
      <c r="B77" s="137" t="s">
        <v>496</v>
      </c>
      <c r="C77" s="137" t="s">
        <v>1</v>
      </c>
      <c r="D77" s="137" t="s">
        <v>2</v>
      </c>
      <c r="E77" s="137">
        <v>272.72000000000003</v>
      </c>
      <c r="F77" s="137" t="s">
        <v>77</v>
      </c>
      <c r="G77" s="136">
        <v>45733</v>
      </c>
      <c r="H77" s="137" t="s">
        <v>79</v>
      </c>
      <c r="I77" s="137" t="s">
        <v>677</v>
      </c>
      <c r="K77" s="137" t="s">
        <v>225</v>
      </c>
      <c r="L77" s="137"/>
      <c r="M77" s="135" t="s">
        <v>2236</v>
      </c>
      <c r="N77" s="135"/>
      <c r="Q77" s="3">
        <f t="shared" si="1"/>
        <v>272.72000000000003</v>
      </c>
      <c r="S77" s="48" t="s">
        <v>44</v>
      </c>
      <c r="T77" t="s">
        <v>54</v>
      </c>
      <c r="U77" s="3" t="str">
        <f>B77</f>
        <v>AU030220</v>
      </c>
      <c r="V77" s="3">
        <f>E77</f>
        <v>272.72000000000003</v>
      </c>
    </row>
    <row r="78" spans="1:30" x14ac:dyDescent="0.35">
      <c r="A78" s="137" t="s">
        <v>27</v>
      </c>
      <c r="B78" s="137" t="s">
        <v>347</v>
      </c>
      <c r="C78" s="137" t="s">
        <v>1</v>
      </c>
      <c r="D78" s="137" t="s">
        <v>2</v>
      </c>
      <c r="E78" s="137">
        <v>259.52999999999997</v>
      </c>
      <c r="F78" s="137" t="s">
        <v>77</v>
      </c>
      <c r="G78" s="136">
        <v>45698</v>
      </c>
      <c r="H78" s="137" t="s">
        <v>78</v>
      </c>
      <c r="I78" s="137" t="s">
        <v>2216</v>
      </c>
      <c r="J78" s="137"/>
      <c r="K78" s="137" t="s">
        <v>207</v>
      </c>
      <c r="L78" s="137" t="s">
        <v>2217</v>
      </c>
      <c r="M78" s="137" t="s">
        <v>208</v>
      </c>
      <c r="N78" s="135"/>
      <c r="O78" s="135"/>
      <c r="Q78" s="3">
        <f t="shared" si="1"/>
        <v>259.52999999999997</v>
      </c>
    </row>
    <row r="79" spans="1:30" x14ac:dyDescent="0.35">
      <c r="A79" s="137" t="s">
        <v>0</v>
      </c>
      <c r="B79" s="137" t="s">
        <v>620</v>
      </c>
      <c r="C79" s="137" t="s">
        <v>1</v>
      </c>
      <c r="D79" s="137" t="s">
        <v>2</v>
      </c>
      <c r="E79" s="137">
        <v>258.83999999999997</v>
      </c>
      <c r="F79" s="137" t="s">
        <v>77</v>
      </c>
      <c r="G79" s="136">
        <v>45677</v>
      </c>
      <c r="H79" s="137" t="s">
        <v>78</v>
      </c>
      <c r="I79" s="137" t="s">
        <v>2051</v>
      </c>
      <c r="J79" s="137"/>
      <c r="K79" s="137" t="s">
        <v>735</v>
      </c>
      <c r="L79" s="137" t="s">
        <v>2052</v>
      </c>
      <c r="M79" s="137" t="s">
        <v>195</v>
      </c>
      <c r="N79" s="135"/>
      <c r="O79" s="135"/>
      <c r="Q79" s="3">
        <f t="shared" si="1"/>
        <v>258.83999999999997</v>
      </c>
    </row>
    <row r="80" spans="1:30" x14ac:dyDescent="0.35">
      <c r="A80" s="137" t="s">
        <v>0</v>
      </c>
      <c r="B80" s="137" t="s">
        <v>396</v>
      </c>
      <c r="C80" s="137" t="s">
        <v>1</v>
      </c>
      <c r="D80" s="137" t="s">
        <v>2</v>
      </c>
      <c r="E80" s="137">
        <v>244.31</v>
      </c>
      <c r="F80" s="137" t="s">
        <v>77</v>
      </c>
      <c r="G80" s="136">
        <v>45726</v>
      </c>
      <c r="H80" s="137" t="s">
        <v>78</v>
      </c>
      <c r="I80" s="137" t="s">
        <v>2092</v>
      </c>
      <c r="J80" s="137"/>
      <c r="K80" s="137" t="s">
        <v>2090</v>
      </c>
      <c r="L80" s="137" t="s">
        <v>2093</v>
      </c>
      <c r="M80" s="137" t="s">
        <v>195</v>
      </c>
      <c r="N80" s="135"/>
      <c r="O80" s="135"/>
      <c r="Q80" s="3">
        <f t="shared" si="1"/>
        <v>244.31</v>
      </c>
    </row>
    <row r="81" spans="1:22" x14ac:dyDescent="0.35">
      <c r="A81" s="137" t="s">
        <v>0</v>
      </c>
      <c r="B81" s="137" t="s">
        <v>379</v>
      </c>
      <c r="C81" s="137" t="s">
        <v>1</v>
      </c>
      <c r="D81" s="137" t="s">
        <v>2</v>
      </c>
      <c r="E81" s="137">
        <v>239.29</v>
      </c>
      <c r="F81" s="137" t="s">
        <v>77</v>
      </c>
      <c r="G81" s="136">
        <v>45726</v>
      </c>
      <c r="H81" s="137" t="s">
        <v>78</v>
      </c>
      <c r="I81" s="137" t="s">
        <v>2092</v>
      </c>
      <c r="J81" s="137"/>
      <c r="K81" s="137" t="s">
        <v>2090</v>
      </c>
      <c r="L81" s="137" t="s">
        <v>2093</v>
      </c>
      <c r="M81" s="137" t="s">
        <v>195</v>
      </c>
      <c r="N81" s="31"/>
      <c r="O81" s="31"/>
      <c r="Q81" s="3">
        <f t="shared" si="1"/>
        <v>239.29</v>
      </c>
    </row>
    <row r="82" spans="1:22" x14ac:dyDescent="0.35">
      <c r="A82" s="137" t="s">
        <v>0</v>
      </c>
      <c r="B82" s="137" t="s">
        <v>320</v>
      </c>
      <c r="C82" s="137" t="s">
        <v>1</v>
      </c>
      <c r="D82" s="137" t="s">
        <v>2</v>
      </c>
      <c r="E82" s="137">
        <v>226.12</v>
      </c>
      <c r="F82" s="137" t="s">
        <v>77</v>
      </c>
      <c r="G82" s="136">
        <v>45712</v>
      </c>
      <c r="H82" s="137" t="s">
        <v>78</v>
      </c>
      <c r="I82" s="137" t="s">
        <v>2079</v>
      </c>
      <c r="J82" s="137"/>
      <c r="K82" s="137" t="s">
        <v>2080</v>
      </c>
      <c r="L82" s="137" t="s">
        <v>2081</v>
      </c>
      <c r="M82" s="137" t="s">
        <v>195</v>
      </c>
      <c r="Q82" s="3">
        <f t="shared" si="1"/>
        <v>226.12</v>
      </c>
    </row>
    <row r="83" spans="1:22" x14ac:dyDescent="0.35">
      <c r="A83" s="137" t="s">
        <v>0</v>
      </c>
      <c r="B83" s="137" t="s">
        <v>320</v>
      </c>
      <c r="C83" s="137" t="s">
        <v>1</v>
      </c>
      <c r="D83" s="137" t="s">
        <v>2</v>
      </c>
      <c r="E83" s="137">
        <v>226.12</v>
      </c>
      <c r="F83" s="137" t="s">
        <v>77</v>
      </c>
      <c r="G83" s="136">
        <v>45726</v>
      </c>
      <c r="H83" s="137" t="s">
        <v>78</v>
      </c>
      <c r="I83" s="137" t="s">
        <v>2089</v>
      </c>
      <c r="J83" s="137"/>
      <c r="K83" s="137" t="s">
        <v>2090</v>
      </c>
      <c r="L83" s="137" t="s">
        <v>2091</v>
      </c>
      <c r="M83" s="137" t="s">
        <v>195</v>
      </c>
      <c r="N83" s="137"/>
      <c r="O83" s="137"/>
      <c r="Q83" s="3">
        <f t="shared" si="1"/>
        <v>226.12</v>
      </c>
    </row>
    <row r="84" spans="1:22" x14ac:dyDescent="0.35">
      <c r="A84" s="137" t="s">
        <v>0</v>
      </c>
      <c r="B84" s="137" t="s">
        <v>320</v>
      </c>
      <c r="C84" s="137" t="s">
        <v>1</v>
      </c>
      <c r="D84" s="137" t="s">
        <v>2</v>
      </c>
      <c r="E84" s="137">
        <v>226.09</v>
      </c>
      <c r="F84" s="137" t="s">
        <v>77</v>
      </c>
      <c r="G84" s="136">
        <v>45677</v>
      </c>
      <c r="H84" s="137" t="s">
        <v>78</v>
      </c>
      <c r="I84" s="137" t="s">
        <v>2051</v>
      </c>
      <c r="J84" s="137"/>
      <c r="K84" s="137" t="s">
        <v>735</v>
      </c>
      <c r="L84" s="137" t="s">
        <v>2052</v>
      </c>
      <c r="M84" s="137" t="s">
        <v>195</v>
      </c>
      <c r="N84" s="135"/>
      <c r="O84" s="135"/>
      <c r="Q84" s="3">
        <f t="shared" si="1"/>
        <v>226.09</v>
      </c>
    </row>
    <row r="85" spans="1:22" x14ac:dyDescent="0.35">
      <c r="A85" s="137" t="s">
        <v>27</v>
      </c>
      <c r="B85" s="137" t="s">
        <v>352</v>
      </c>
      <c r="C85" s="137" t="s">
        <v>1</v>
      </c>
      <c r="D85" s="137" t="s">
        <v>2</v>
      </c>
      <c r="E85" s="137">
        <v>221.17</v>
      </c>
      <c r="F85" s="137" t="s">
        <v>77</v>
      </c>
      <c r="G85" s="136">
        <v>45721</v>
      </c>
      <c r="H85" s="137" t="s">
        <v>78</v>
      </c>
      <c r="I85" s="137" t="s">
        <v>2272</v>
      </c>
      <c r="J85" s="137"/>
      <c r="K85" s="137" t="s">
        <v>686</v>
      </c>
      <c r="L85" s="137" t="s">
        <v>2273</v>
      </c>
      <c r="M85" s="137" t="s">
        <v>687</v>
      </c>
      <c r="N85" s="137"/>
      <c r="O85" s="137"/>
      <c r="Q85" s="3">
        <f t="shared" si="1"/>
        <v>221.17</v>
      </c>
    </row>
    <row r="86" spans="1:22" x14ac:dyDescent="0.35">
      <c r="A86" s="137" t="s">
        <v>27</v>
      </c>
      <c r="B86" s="137" t="s">
        <v>321</v>
      </c>
      <c r="C86" s="137" t="s">
        <v>1</v>
      </c>
      <c r="D86" s="137" t="s">
        <v>2</v>
      </c>
      <c r="E86" s="137">
        <v>215.43</v>
      </c>
      <c r="F86" s="137" t="s">
        <v>77</v>
      </c>
      <c r="G86" s="136">
        <v>45713</v>
      </c>
      <c r="H86" s="137" t="s">
        <v>79</v>
      </c>
      <c r="I86" s="137" t="s">
        <v>2257</v>
      </c>
      <c r="K86" s="137" t="s">
        <v>2258</v>
      </c>
      <c r="L86" s="137"/>
      <c r="M86" s="135" t="s">
        <v>2259</v>
      </c>
      <c r="N86" s="135"/>
      <c r="Q86" s="3">
        <f t="shared" si="1"/>
        <v>215.43</v>
      </c>
      <c r="S86" s="48" t="s">
        <v>44</v>
      </c>
      <c r="T86" t="s">
        <v>54</v>
      </c>
      <c r="U86" s="3" t="str">
        <f>B86</f>
        <v>AU030619</v>
      </c>
      <c r="V86" s="3">
        <f>E86</f>
        <v>215.43</v>
      </c>
    </row>
    <row r="87" spans="1:22" x14ac:dyDescent="0.35">
      <c r="A87" s="137" t="s">
        <v>0</v>
      </c>
      <c r="B87" s="137" t="s">
        <v>352</v>
      </c>
      <c r="C87" s="137" t="s">
        <v>1</v>
      </c>
      <c r="D87" s="137" t="s">
        <v>2</v>
      </c>
      <c r="E87" s="137">
        <v>214.4</v>
      </c>
      <c r="F87" s="137" t="s">
        <v>77</v>
      </c>
      <c r="G87" s="136">
        <v>45712</v>
      </c>
      <c r="H87" s="137" t="s">
        <v>78</v>
      </c>
      <c r="I87" s="137" t="s">
        <v>2079</v>
      </c>
      <c r="J87" s="137"/>
      <c r="K87" s="137" t="s">
        <v>2080</v>
      </c>
      <c r="L87" s="137" t="s">
        <v>2081</v>
      </c>
      <c r="M87" s="137" t="s">
        <v>195</v>
      </c>
      <c r="N87" s="135"/>
      <c r="O87" s="135"/>
      <c r="Q87" s="3">
        <f t="shared" si="1"/>
        <v>214.4</v>
      </c>
    </row>
    <row r="88" spans="1:22" x14ac:dyDescent="0.35">
      <c r="A88" s="137" t="s">
        <v>0</v>
      </c>
      <c r="B88" s="137" t="s">
        <v>352</v>
      </c>
      <c r="C88" s="137" t="s">
        <v>1</v>
      </c>
      <c r="D88" s="137" t="s">
        <v>2</v>
      </c>
      <c r="E88" s="137">
        <v>214.4</v>
      </c>
      <c r="F88" s="137" t="s">
        <v>77</v>
      </c>
      <c r="G88" s="136">
        <v>45726</v>
      </c>
      <c r="H88" s="137" t="s">
        <v>78</v>
      </c>
      <c r="I88" s="137" t="s">
        <v>2089</v>
      </c>
      <c r="J88" s="137"/>
      <c r="K88" s="137" t="s">
        <v>2090</v>
      </c>
      <c r="L88" s="137" t="s">
        <v>2091</v>
      </c>
      <c r="M88" s="137" t="s">
        <v>195</v>
      </c>
      <c r="N88" s="137"/>
      <c r="O88" s="137"/>
      <c r="Q88" s="3">
        <f t="shared" si="1"/>
        <v>214.4</v>
      </c>
    </row>
    <row r="89" spans="1:22" x14ac:dyDescent="0.35">
      <c r="A89" s="137" t="s">
        <v>0</v>
      </c>
      <c r="B89" s="137" t="s">
        <v>352</v>
      </c>
      <c r="C89" s="137" t="s">
        <v>1</v>
      </c>
      <c r="D89" s="137" t="s">
        <v>2</v>
      </c>
      <c r="E89" s="137">
        <v>214.37</v>
      </c>
      <c r="F89" s="137" t="s">
        <v>77</v>
      </c>
      <c r="G89" s="136">
        <v>45677</v>
      </c>
      <c r="H89" s="137" t="s">
        <v>78</v>
      </c>
      <c r="I89" s="137" t="s">
        <v>2051</v>
      </c>
      <c r="J89" s="137"/>
      <c r="K89" s="137" t="s">
        <v>735</v>
      </c>
      <c r="L89" s="137" t="s">
        <v>2052</v>
      </c>
      <c r="M89" s="137" t="s">
        <v>195</v>
      </c>
      <c r="N89" s="135"/>
      <c r="O89" s="135"/>
      <c r="Q89" s="3">
        <f t="shared" si="1"/>
        <v>214.37</v>
      </c>
    </row>
    <row r="90" spans="1:22" x14ac:dyDescent="0.35">
      <c r="A90" s="137" t="s">
        <v>0</v>
      </c>
      <c r="B90" s="137" t="s">
        <v>400</v>
      </c>
      <c r="C90" s="137" t="s">
        <v>1</v>
      </c>
      <c r="D90" s="137" t="s">
        <v>2</v>
      </c>
      <c r="E90" s="137">
        <v>210.55</v>
      </c>
      <c r="F90" s="137" t="s">
        <v>77</v>
      </c>
      <c r="G90" s="136">
        <v>45712</v>
      </c>
      <c r="H90" s="137" t="s">
        <v>78</v>
      </c>
      <c r="I90" s="137" t="s">
        <v>2082</v>
      </c>
      <c r="J90" s="137"/>
      <c r="K90" s="137" t="s">
        <v>2080</v>
      </c>
      <c r="L90" s="137" t="s">
        <v>2083</v>
      </c>
      <c r="M90" s="137" t="s">
        <v>195</v>
      </c>
      <c r="N90" s="135"/>
      <c r="O90" s="135"/>
      <c r="Q90" s="3">
        <f t="shared" si="1"/>
        <v>210.55</v>
      </c>
    </row>
    <row r="91" spans="1:22" x14ac:dyDescent="0.35">
      <c r="A91" s="137" t="s">
        <v>27</v>
      </c>
      <c r="B91" s="137" t="s">
        <v>352</v>
      </c>
      <c r="C91" s="137" t="s">
        <v>1</v>
      </c>
      <c r="D91" s="137" t="s">
        <v>2</v>
      </c>
      <c r="E91" s="137">
        <v>202.09</v>
      </c>
      <c r="F91" s="137" t="s">
        <v>77</v>
      </c>
      <c r="G91" s="136">
        <v>45691</v>
      </c>
      <c r="H91" s="137" t="s">
        <v>78</v>
      </c>
      <c r="I91" s="137" t="s">
        <v>2195</v>
      </c>
      <c r="J91" s="137"/>
      <c r="K91" s="137" t="s">
        <v>686</v>
      </c>
      <c r="L91" s="137" t="s">
        <v>2196</v>
      </c>
      <c r="M91" s="137" t="s">
        <v>687</v>
      </c>
      <c r="N91" s="137"/>
      <c r="O91" s="137"/>
      <c r="Q91" s="3">
        <f t="shared" si="1"/>
        <v>202.09</v>
      </c>
    </row>
    <row r="92" spans="1:22" x14ac:dyDescent="0.35">
      <c r="A92" s="137" t="s">
        <v>27</v>
      </c>
      <c r="B92" s="137" t="s">
        <v>352</v>
      </c>
      <c r="C92" s="137" t="s">
        <v>1</v>
      </c>
      <c r="D92" s="137" t="s">
        <v>2</v>
      </c>
      <c r="E92" s="137">
        <v>197.92</v>
      </c>
      <c r="F92" s="137" t="s">
        <v>77</v>
      </c>
      <c r="G92" s="136">
        <v>45663</v>
      </c>
      <c r="H92" s="137" t="s">
        <v>78</v>
      </c>
      <c r="I92" s="137" t="s">
        <v>2106</v>
      </c>
      <c r="J92" s="137"/>
      <c r="K92" s="137" t="s">
        <v>686</v>
      </c>
      <c r="L92" s="137" t="s">
        <v>2107</v>
      </c>
      <c r="M92" s="137" t="s">
        <v>687</v>
      </c>
      <c r="N92" s="137"/>
      <c r="O92" s="137"/>
      <c r="Q92" s="3">
        <f t="shared" si="1"/>
        <v>197.92</v>
      </c>
    </row>
    <row r="93" spans="1:22" x14ac:dyDescent="0.35">
      <c r="A93" s="137" t="s">
        <v>0</v>
      </c>
      <c r="B93" s="137" t="s">
        <v>396</v>
      </c>
      <c r="C93" s="137" t="s">
        <v>1</v>
      </c>
      <c r="D93" s="137" t="s">
        <v>2</v>
      </c>
      <c r="E93" s="137">
        <v>197.87</v>
      </c>
      <c r="F93" s="137" t="s">
        <v>77</v>
      </c>
      <c r="G93" s="136">
        <v>45712</v>
      </c>
      <c r="H93" s="137" t="s">
        <v>78</v>
      </c>
      <c r="I93" s="137" t="s">
        <v>2082</v>
      </c>
      <c r="J93" s="137"/>
      <c r="K93" s="137" t="s">
        <v>2080</v>
      </c>
      <c r="L93" s="137" t="s">
        <v>2083</v>
      </c>
      <c r="M93" s="137" t="s">
        <v>195</v>
      </c>
      <c r="N93" s="137"/>
      <c r="O93" s="137"/>
      <c r="Q93" s="3">
        <f t="shared" si="1"/>
        <v>197.87</v>
      </c>
    </row>
    <row r="94" spans="1:22" x14ac:dyDescent="0.35">
      <c r="A94" s="137" t="s">
        <v>27</v>
      </c>
      <c r="B94" s="137" t="s">
        <v>347</v>
      </c>
      <c r="C94" s="137" t="s">
        <v>1</v>
      </c>
      <c r="D94" s="137" t="s">
        <v>2</v>
      </c>
      <c r="E94" s="137">
        <v>195.59</v>
      </c>
      <c r="F94" s="137" t="s">
        <v>77</v>
      </c>
      <c r="G94" s="136">
        <v>45726</v>
      </c>
      <c r="H94" s="137" t="s">
        <v>78</v>
      </c>
      <c r="I94" s="137" t="s">
        <v>2296</v>
      </c>
      <c r="J94" s="137"/>
      <c r="K94" s="137" t="s">
        <v>207</v>
      </c>
      <c r="L94" s="137" t="s">
        <v>2297</v>
      </c>
      <c r="M94" s="137" t="s">
        <v>208</v>
      </c>
      <c r="N94" s="137"/>
      <c r="O94" s="137"/>
      <c r="Q94" s="3">
        <f t="shared" si="1"/>
        <v>195.59</v>
      </c>
    </row>
    <row r="95" spans="1:22" x14ac:dyDescent="0.35">
      <c r="A95" s="137" t="s">
        <v>27</v>
      </c>
      <c r="B95" s="137" t="s">
        <v>496</v>
      </c>
      <c r="C95" s="137" t="s">
        <v>1</v>
      </c>
      <c r="D95" s="137" t="s">
        <v>2</v>
      </c>
      <c r="E95" s="137">
        <v>194.55</v>
      </c>
      <c r="F95" s="137" t="s">
        <v>77</v>
      </c>
      <c r="G95" s="136">
        <v>45693</v>
      </c>
      <c r="H95" s="137" t="s">
        <v>79</v>
      </c>
      <c r="I95" s="137" t="s">
        <v>677</v>
      </c>
      <c r="J95" s="137" t="s">
        <v>225</v>
      </c>
      <c r="K95" s="137"/>
      <c r="L95" s="137"/>
      <c r="M95" s="137" t="s">
        <v>678</v>
      </c>
      <c r="N95" s="137"/>
      <c r="Q95" s="3">
        <f t="shared" si="1"/>
        <v>194.55</v>
      </c>
      <c r="S95" s="48" t="s">
        <v>44</v>
      </c>
      <c r="T95" t="s">
        <v>54</v>
      </c>
      <c r="U95" s="3" t="str">
        <f>B95</f>
        <v>AU030220</v>
      </c>
      <c r="V95" s="3">
        <f>E95</f>
        <v>194.55</v>
      </c>
    </row>
    <row r="96" spans="1:22" x14ac:dyDescent="0.35">
      <c r="A96" s="137" t="s">
        <v>0</v>
      </c>
      <c r="B96" s="137" t="s">
        <v>339</v>
      </c>
      <c r="C96" s="137" t="s">
        <v>1</v>
      </c>
      <c r="D96" s="137" t="s">
        <v>2</v>
      </c>
      <c r="E96" s="137">
        <v>188.38</v>
      </c>
      <c r="F96" s="137" t="s">
        <v>77</v>
      </c>
      <c r="G96" s="136">
        <v>45692</v>
      </c>
      <c r="H96" s="137" t="s">
        <v>78</v>
      </c>
      <c r="I96" s="137" t="s">
        <v>2064</v>
      </c>
      <c r="J96" s="137"/>
      <c r="K96" s="137" t="s">
        <v>2065</v>
      </c>
      <c r="L96" s="137" t="s">
        <v>2402</v>
      </c>
      <c r="M96" s="137" t="s">
        <v>143</v>
      </c>
      <c r="N96" s="137"/>
      <c r="O96" s="137"/>
      <c r="Q96" s="3">
        <f t="shared" si="1"/>
        <v>188.38</v>
      </c>
    </row>
    <row r="97" spans="1:17" x14ac:dyDescent="0.35">
      <c r="A97" s="137" t="s">
        <v>0</v>
      </c>
      <c r="B97" s="137" t="s">
        <v>385</v>
      </c>
      <c r="C97" s="137" t="s">
        <v>1</v>
      </c>
      <c r="D97" s="137" t="s">
        <v>2</v>
      </c>
      <c r="E97" s="137">
        <v>187.98</v>
      </c>
      <c r="F97" s="137" t="s">
        <v>77</v>
      </c>
      <c r="G97" s="136">
        <v>45726</v>
      </c>
      <c r="H97" s="137" t="s">
        <v>78</v>
      </c>
      <c r="I97" s="137" t="s">
        <v>2092</v>
      </c>
      <c r="J97" s="137"/>
      <c r="K97" s="137" t="s">
        <v>2090</v>
      </c>
      <c r="L97" s="137" t="s">
        <v>2093</v>
      </c>
      <c r="M97" s="137" t="s">
        <v>195</v>
      </c>
      <c r="N97" s="137"/>
      <c r="O97" s="137"/>
      <c r="Q97" s="3">
        <f t="shared" si="1"/>
        <v>187.98</v>
      </c>
    </row>
    <row r="98" spans="1:17" x14ac:dyDescent="0.35">
      <c r="A98" s="137" t="s">
        <v>0</v>
      </c>
      <c r="B98" s="137" t="s">
        <v>407</v>
      </c>
      <c r="C98" s="137" t="s">
        <v>1</v>
      </c>
      <c r="D98" s="137" t="s">
        <v>2</v>
      </c>
      <c r="E98" s="137">
        <v>187.85</v>
      </c>
      <c r="F98" s="137" t="s">
        <v>77</v>
      </c>
      <c r="G98" s="136">
        <v>45677</v>
      </c>
      <c r="H98" s="137" t="s">
        <v>78</v>
      </c>
      <c r="I98" s="137" t="s">
        <v>2053</v>
      </c>
      <c r="J98" s="137"/>
      <c r="K98" s="137" t="s">
        <v>735</v>
      </c>
      <c r="L98" s="137" t="s">
        <v>2054</v>
      </c>
      <c r="M98" s="137" t="s">
        <v>195</v>
      </c>
      <c r="N98" s="135"/>
      <c r="O98" s="135"/>
      <c r="Q98" s="3">
        <f t="shared" si="1"/>
        <v>187.85</v>
      </c>
    </row>
    <row r="99" spans="1:17" x14ac:dyDescent="0.35">
      <c r="A99" s="137" t="s">
        <v>0</v>
      </c>
      <c r="B99" s="137" t="s">
        <v>376</v>
      </c>
      <c r="C99" s="137" t="s">
        <v>1</v>
      </c>
      <c r="D99" s="137" t="s">
        <v>2</v>
      </c>
      <c r="E99" s="137">
        <v>187.08</v>
      </c>
      <c r="F99" s="137" t="s">
        <v>77</v>
      </c>
      <c r="G99" s="136">
        <v>45726</v>
      </c>
      <c r="H99" s="137" t="s">
        <v>78</v>
      </c>
      <c r="I99" s="137" t="s">
        <v>2092</v>
      </c>
      <c r="J99" s="137"/>
      <c r="K99" s="137" t="s">
        <v>2090</v>
      </c>
      <c r="L99" s="137" t="s">
        <v>2093</v>
      </c>
      <c r="M99" s="137" t="s">
        <v>195</v>
      </c>
      <c r="N99" s="135"/>
      <c r="O99" s="135"/>
      <c r="Q99" s="3">
        <f t="shared" si="1"/>
        <v>187.08</v>
      </c>
    </row>
    <row r="100" spans="1:17" x14ac:dyDescent="0.35">
      <c r="A100" s="137" t="s">
        <v>27</v>
      </c>
      <c r="B100" s="137" t="s">
        <v>327</v>
      </c>
      <c r="C100" s="137" t="s">
        <v>1</v>
      </c>
      <c r="D100" s="137" t="s">
        <v>2</v>
      </c>
      <c r="E100" s="137">
        <v>183.64</v>
      </c>
      <c r="F100" s="137" t="s">
        <v>77</v>
      </c>
      <c r="G100" s="136">
        <v>45688</v>
      </c>
      <c r="H100" s="137" t="s">
        <v>79</v>
      </c>
      <c r="I100" s="137" t="s">
        <v>254</v>
      </c>
      <c r="J100" s="137" t="s">
        <v>255</v>
      </c>
      <c r="K100" s="137"/>
      <c r="L100" s="137"/>
      <c r="M100" s="137" t="s">
        <v>284</v>
      </c>
      <c r="N100" s="137"/>
      <c r="Q100" s="3">
        <f t="shared" si="1"/>
        <v>183.64</v>
      </c>
    </row>
    <row r="101" spans="1:17" x14ac:dyDescent="0.35">
      <c r="A101" s="137" t="s">
        <v>0</v>
      </c>
      <c r="B101" s="137" t="s">
        <v>618</v>
      </c>
      <c r="C101" s="137" t="s">
        <v>1</v>
      </c>
      <c r="D101" s="137" t="s">
        <v>2</v>
      </c>
      <c r="E101" s="137">
        <v>174.95</v>
      </c>
      <c r="F101" s="137" t="s">
        <v>77</v>
      </c>
      <c r="G101" s="136">
        <v>45726</v>
      </c>
      <c r="H101" s="137" t="s">
        <v>78</v>
      </c>
      <c r="I101" s="137" t="s">
        <v>2092</v>
      </c>
      <c r="J101" s="137"/>
      <c r="K101" s="137" t="s">
        <v>2090</v>
      </c>
      <c r="L101" s="137" t="s">
        <v>2093</v>
      </c>
      <c r="M101" s="137" t="s">
        <v>195</v>
      </c>
      <c r="N101" s="135"/>
      <c r="O101" s="135"/>
      <c r="Q101" s="3">
        <f t="shared" si="1"/>
        <v>174.95</v>
      </c>
    </row>
    <row r="102" spans="1:17" x14ac:dyDescent="0.35">
      <c r="A102" s="137" t="s">
        <v>27</v>
      </c>
      <c r="B102" s="137" t="s">
        <v>396</v>
      </c>
      <c r="C102" s="137" t="s">
        <v>1</v>
      </c>
      <c r="D102" s="137" t="s">
        <v>2</v>
      </c>
      <c r="E102" s="137">
        <v>174.64</v>
      </c>
      <c r="F102" s="137" t="s">
        <v>77</v>
      </c>
      <c r="G102" s="136">
        <v>45686</v>
      </c>
      <c r="H102" s="137" t="s">
        <v>79</v>
      </c>
      <c r="I102" s="137" t="s">
        <v>2171</v>
      </c>
      <c r="J102" s="137" t="s">
        <v>2172</v>
      </c>
      <c r="K102" s="137"/>
      <c r="L102" s="137"/>
      <c r="M102" s="135" t="s">
        <v>284</v>
      </c>
      <c r="N102" s="135"/>
      <c r="Q102" s="3">
        <f t="shared" si="1"/>
        <v>174.64</v>
      </c>
    </row>
    <row r="103" spans="1:17" x14ac:dyDescent="0.35">
      <c r="A103" s="137" t="s">
        <v>27</v>
      </c>
      <c r="B103" s="137" t="s">
        <v>347</v>
      </c>
      <c r="C103" s="137" t="s">
        <v>1</v>
      </c>
      <c r="D103" s="137" t="s">
        <v>2</v>
      </c>
      <c r="E103" s="137">
        <v>173.01</v>
      </c>
      <c r="F103" s="137" t="s">
        <v>77</v>
      </c>
      <c r="G103" s="136">
        <v>45680</v>
      </c>
      <c r="H103" s="137" t="s">
        <v>78</v>
      </c>
      <c r="I103" s="137" t="s">
        <v>2153</v>
      </c>
      <c r="J103" s="137"/>
      <c r="K103" s="137" t="s">
        <v>207</v>
      </c>
      <c r="L103" s="137" t="s">
        <v>2154</v>
      </c>
      <c r="M103" s="137" t="s">
        <v>208</v>
      </c>
      <c r="N103" s="135"/>
      <c r="O103" s="135"/>
      <c r="Q103" s="3">
        <f t="shared" si="1"/>
        <v>173.01</v>
      </c>
    </row>
    <row r="104" spans="1:17" x14ac:dyDescent="0.35">
      <c r="A104" s="137" t="s">
        <v>27</v>
      </c>
      <c r="B104" s="137" t="s">
        <v>321</v>
      </c>
      <c r="C104" s="137" t="s">
        <v>1</v>
      </c>
      <c r="D104" s="137" t="s">
        <v>2</v>
      </c>
      <c r="E104" s="137">
        <v>168.18</v>
      </c>
      <c r="F104" s="137" t="s">
        <v>77</v>
      </c>
      <c r="G104" s="136">
        <v>45744</v>
      </c>
      <c r="H104" s="137" t="s">
        <v>79</v>
      </c>
      <c r="I104" s="137" t="s">
        <v>2385</v>
      </c>
      <c r="J104" s="137" t="s">
        <v>2388</v>
      </c>
      <c r="K104" s="137"/>
      <c r="L104" s="137"/>
      <c r="M104" s="135" t="s">
        <v>2387</v>
      </c>
      <c r="N104" s="135"/>
      <c r="Q104" s="3">
        <f t="shared" si="1"/>
        <v>168.18</v>
      </c>
    </row>
    <row r="105" spans="1:17" x14ac:dyDescent="0.35">
      <c r="A105" s="137" t="s">
        <v>0</v>
      </c>
      <c r="B105" s="137" t="s">
        <v>618</v>
      </c>
      <c r="C105" s="137" t="s">
        <v>1</v>
      </c>
      <c r="D105" s="137" t="s">
        <v>2</v>
      </c>
      <c r="E105" s="137">
        <v>166.87</v>
      </c>
      <c r="F105" s="137" t="s">
        <v>77</v>
      </c>
      <c r="G105" s="136">
        <v>45712</v>
      </c>
      <c r="H105" s="137" t="s">
        <v>78</v>
      </c>
      <c r="I105" s="137" t="s">
        <v>2082</v>
      </c>
      <c r="J105" s="137"/>
      <c r="K105" s="137" t="s">
        <v>2080</v>
      </c>
      <c r="L105" s="137" t="s">
        <v>2083</v>
      </c>
      <c r="M105" s="137" t="s">
        <v>195</v>
      </c>
      <c r="N105" s="135"/>
      <c r="O105" s="135"/>
      <c r="Q105" s="3">
        <f t="shared" si="1"/>
        <v>166.87</v>
      </c>
    </row>
    <row r="106" spans="1:17" x14ac:dyDescent="0.35">
      <c r="A106" s="137" t="s">
        <v>27</v>
      </c>
      <c r="B106" s="137" t="s">
        <v>321</v>
      </c>
      <c r="C106" s="137" t="s">
        <v>1</v>
      </c>
      <c r="D106" s="137" t="s">
        <v>2</v>
      </c>
      <c r="E106" s="137">
        <v>-159.09</v>
      </c>
      <c r="F106" s="137" t="s">
        <v>77</v>
      </c>
      <c r="G106" s="136">
        <v>45744</v>
      </c>
      <c r="H106" s="137" t="s">
        <v>79</v>
      </c>
      <c r="I106" s="137" t="s">
        <v>2385</v>
      </c>
      <c r="K106" s="137" t="s">
        <v>2386</v>
      </c>
      <c r="L106" s="137"/>
      <c r="M106" s="135" t="s">
        <v>2387</v>
      </c>
      <c r="N106" s="135"/>
      <c r="Q106" s="3">
        <f t="shared" si="1"/>
        <v>159.09</v>
      </c>
    </row>
    <row r="107" spans="1:17" x14ac:dyDescent="0.35">
      <c r="A107" s="137" t="s">
        <v>27</v>
      </c>
      <c r="B107" s="137" t="s">
        <v>347</v>
      </c>
      <c r="C107" s="137" t="s">
        <v>1</v>
      </c>
      <c r="D107" s="137" t="s">
        <v>2</v>
      </c>
      <c r="E107" s="137">
        <v>158.69</v>
      </c>
      <c r="F107" s="137" t="s">
        <v>77</v>
      </c>
      <c r="G107" s="136">
        <v>45736</v>
      </c>
      <c r="H107" s="137" t="s">
        <v>79</v>
      </c>
      <c r="I107" s="137" t="s">
        <v>217</v>
      </c>
      <c r="K107" s="137" t="s">
        <v>2363</v>
      </c>
      <c r="L107" s="137"/>
      <c r="M107" s="135" t="s">
        <v>284</v>
      </c>
      <c r="N107" s="135"/>
      <c r="Q107" s="3">
        <f t="shared" si="1"/>
        <v>158.69</v>
      </c>
    </row>
    <row r="108" spans="1:17" x14ac:dyDescent="0.35">
      <c r="A108" s="137" t="s">
        <v>27</v>
      </c>
      <c r="B108" s="137" t="s">
        <v>496</v>
      </c>
      <c r="C108" s="137" t="s">
        <v>1</v>
      </c>
      <c r="D108" s="137" t="s">
        <v>2</v>
      </c>
      <c r="E108" s="137">
        <v>158.18</v>
      </c>
      <c r="F108" s="137" t="s">
        <v>77</v>
      </c>
      <c r="G108" s="136">
        <v>45674</v>
      </c>
      <c r="H108" s="137" t="s">
        <v>79</v>
      </c>
      <c r="I108" s="137" t="s">
        <v>170</v>
      </c>
      <c r="K108" s="137" t="s">
        <v>2131</v>
      </c>
      <c r="L108" s="137"/>
      <c r="M108" s="137" t="s">
        <v>274</v>
      </c>
      <c r="N108" s="137"/>
      <c r="Q108" s="3">
        <f t="shared" si="1"/>
        <v>158.18</v>
      </c>
    </row>
    <row r="109" spans="1:17" x14ac:dyDescent="0.35">
      <c r="A109" s="137" t="s">
        <v>0</v>
      </c>
      <c r="B109" s="137" t="s">
        <v>481</v>
      </c>
      <c r="C109" s="137" t="s">
        <v>1</v>
      </c>
      <c r="D109" s="137" t="s">
        <v>2</v>
      </c>
      <c r="E109" s="137">
        <v>156.22</v>
      </c>
      <c r="F109" s="137" t="s">
        <v>77</v>
      </c>
      <c r="G109" s="136">
        <v>45677</v>
      </c>
      <c r="H109" s="137" t="s">
        <v>78</v>
      </c>
      <c r="I109" s="137" t="s">
        <v>2053</v>
      </c>
      <c r="J109" s="137"/>
      <c r="K109" s="137" t="s">
        <v>735</v>
      </c>
      <c r="L109" s="137" t="s">
        <v>2054</v>
      </c>
      <c r="M109" s="137" t="s">
        <v>195</v>
      </c>
      <c r="Q109" s="3">
        <f t="shared" si="1"/>
        <v>156.22</v>
      </c>
    </row>
    <row r="110" spans="1:17" x14ac:dyDescent="0.35">
      <c r="A110" s="137" t="s">
        <v>0</v>
      </c>
      <c r="B110" s="137" t="s">
        <v>492</v>
      </c>
      <c r="C110" s="137" t="s">
        <v>1</v>
      </c>
      <c r="D110" s="137" t="s">
        <v>2</v>
      </c>
      <c r="E110" s="137">
        <v>154.22999999999999</v>
      </c>
      <c r="F110" s="137" t="s">
        <v>77</v>
      </c>
      <c r="G110" s="136">
        <v>45712</v>
      </c>
      <c r="H110" s="137" t="s">
        <v>78</v>
      </c>
      <c r="I110" s="137" t="s">
        <v>2082</v>
      </c>
      <c r="J110" s="137"/>
      <c r="K110" s="137" t="s">
        <v>2080</v>
      </c>
      <c r="L110" s="137" t="s">
        <v>2083</v>
      </c>
      <c r="M110" s="137" t="s">
        <v>195</v>
      </c>
      <c r="N110" s="135"/>
      <c r="O110" s="135"/>
      <c r="Q110" s="3">
        <f t="shared" si="1"/>
        <v>154.22999999999999</v>
      </c>
    </row>
    <row r="111" spans="1:17" x14ac:dyDescent="0.35">
      <c r="A111" s="137" t="s">
        <v>27</v>
      </c>
      <c r="B111" s="137" t="s">
        <v>347</v>
      </c>
      <c r="C111" s="137" t="s">
        <v>1</v>
      </c>
      <c r="D111" s="137" t="s">
        <v>2</v>
      </c>
      <c r="E111" s="137">
        <v>154.16</v>
      </c>
      <c r="F111" s="137" t="s">
        <v>77</v>
      </c>
      <c r="G111" s="136">
        <v>45736</v>
      </c>
      <c r="H111" s="137" t="s">
        <v>79</v>
      </c>
      <c r="I111" s="137" t="s">
        <v>217</v>
      </c>
      <c r="K111" s="137" t="s">
        <v>2362</v>
      </c>
      <c r="L111" s="137"/>
      <c r="M111" s="137" t="s">
        <v>284</v>
      </c>
      <c r="N111" s="137"/>
      <c r="Q111" s="3">
        <f t="shared" si="1"/>
        <v>154.16</v>
      </c>
    </row>
    <row r="112" spans="1:17" x14ac:dyDescent="0.35">
      <c r="A112" s="137" t="s">
        <v>27</v>
      </c>
      <c r="B112" s="137" t="s">
        <v>327</v>
      </c>
      <c r="C112" s="137" t="s">
        <v>1</v>
      </c>
      <c r="D112" s="137" t="s">
        <v>2</v>
      </c>
      <c r="E112" s="137">
        <v>149.76</v>
      </c>
      <c r="F112" s="137" t="s">
        <v>77</v>
      </c>
      <c r="G112" s="136">
        <v>45677</v>
      </c>
      <c r="H112" s="137" t="s">
        <v>78</v>
      </c>
      <c r="I112" s="137" t="s">
        <v>2135</v>
      </c>
      <c r="J112" s="137"/>
      <c r="K112" s="137" t="s">
        <v>2136</v>
      </c>
      <c r="L112" s="137" t="s">
        <v>2427</v>
      </c>
      <c r="M112" s="137" t="s">
        <v>218</v>
      </c>
      <c r="N112" s="135"/>
      <c r="O112" s="135"/>
      <c r="Q112" s="3">
        <f t="shared" si="1"/>
        <v>149.76</v>
      </c>
    </row>
    <row r="113" spans="1:17" x14ac:dyDescent="0.35">
      <c r="A113" s="137" t="s">
        <v>0</v>
      </c>
      <c r="B113" s="137" t="s">
        <v>492</v>
      </c>
      <c r="C113" s="137" t="s">
        <v>1</v>
      </c>
      <c r="D113" s="137" t="s">
        <v>2</v>
      </c>
      <c r="E113" s="137">
        <v>149.06</v>
      </c>
      <c r="F113" s="137" t="s">
        <v>77</v>
      </c>
      <c r="G113" s="136">
        <v>45726</v>
      </c>
      <c r="H113" s="137" t="s">
        <v>78</v>
      </c>
      <c r="I113" s="137" t="s">
        <v>2092</v>
      </c>
      <c r="J113" s="137"/>
      <c r="K113" s="137" t="s">
        <v>2090</v>
      </c>
      <c r="L113" s="137" t="s">
        <v>2093</v>
      </c>
      <c r="M113" s="137" t="s">
        <v>195</v>
      </c>
      <c r="N113" s="137"/>
      <c r="O113" s="137"/>
      <c r="Q113" s="3">
        <f t="shared" si="1"/>
        <v>149.06</v>
      </c>
    </row>
    <row r="114" spans="1:17" x14ac:dyDescent="0.35">
      <c r="A114" s="137" t="s">
        <v>27</v>
      </c>
      <c r="B114" s="137" t="s">
        <v>557</v>
      </c>
      <c r="C114" s="137" t="s">
        <v>1</v>
      </c>
      <c r="D114" s="137" t="s">
        <v>2</v>
      </c>
      <c r="E114" s="137">
        <v>148.33000000000001</v>
      </c>
      <c r="F114" s="137" t="s">
        <v>77</v>
      </c>
      <c r="G114" s="136">
        <v>45714</v>
      </c>
      <c r="H114" s="137" t="s">
        <v>79</v>
      </c>
      <c r="I114" s="137" t="s">
        <v>258</v>
      </c>
      <c r="K114" s="137" t="s">
        <v>259</v>
      </c>
      <c r="L114" s="137"/>
      <c r="M114" s="137" t="s">
        <v>714</v>
      </c>
      <c r="N114" s="137"/>
      <c r="Q114" s="3">
        <f t="shared" si="1"/>
        <v>148.33000000000001</v>
      </c>
    </row>
    <row r="115" spans="1:17" x14ac:dyDescent="0.35">
      <c r="A115" s="137" t="s">
        <v>27</v>
      </c>
      <c r="B115" s="137" t="s">
        <v>347</v>
      </c>
      <c r="C115" s="137" t="s">
        <v>1</v>
      </c>
      <c r="D115" s="137" t="s">
        <v>2</v>
      </c>
      <c r="E115" s="137">
        <v>146.82</v>
      </c>
      <c r="F115" s="137" t="s">
        <v>77</v>
      </c>
      <c r="G115" s="136">
        <v>45736</v>
      </c>
      <c r="H115" s="137" t="s">
        <v>79</v>
      </c>
      <c r="I115" s="137" t="s">
        <v>217</v>
      </c>
      <c r="K115" s="137" t="s">
        <v>727</v>
      </c>
      <c r="L115" s="137"/>
      <c r="M115" s="137" t="s">
        <v>673</v>
      </c>
      <c r="N115" s="137"/>
      <c r="Q115" s="3">
        <f t="shared" si="1"/>
        <v>146.82</v>
      </c>
    </row>
    <row r="116" spans="1:17" x14ac:dyDescent="0.35">
      <c r="A116" s="137" t="s">
        <v>0</v>
      </c>
      <c r="B116" s="137" t="s">
        <v>492</v>
      </c>
      <c r="C116" s="137" t="s">
        <v>1</v>
      </c>
      <c r="D116" s="137" t="s">
        <v>2</v>
      </c>
      <c r="E116" s="137">
        <v>146.11000000000001</v>
      </c>
      <c r="F116" s="137" t="s">
        <v>77</v>
      </c>
      <c r="G116" s="136">
        <v>45677</v>
      </c>
      <c r="H116" s="137" t="s">
        <v>78</v>
      </c>
      <c r="I116" s="137" t="s">
        <v>2053</v>
      </c>
      <c r="J116" s="137"/>
      <c r="K116" s="137" t="s">
        <v>735</v>
      </c>
      <c r="L116" s="137" t="s">
        <v>2054</v>
      </c>
      <c r="M116" s="137" t="s">
        <v>195</v>
      </c>
      <c r="N116" s="135"/>
      <c r="O116" s="135"/>
      <c r="Q116" s="3">
        <f t="shared" si="1"/>
        <v>146.11000000000001</v>
      </c>
    </row>
    <row r="117" spans="1:17" x14ac:dyDescent="0.35">
      <c r="A117" s="137" t="s">
        <v>27</v>
      </c>
      <c r="B117" s="137" t="s">
        <v>330</v>
      </c>
      <c r="C117" s="137" t="s">
        <v>1</v>
      </c>
      <c r="D117" s="137" t="s">
        <v>2</v>
      </c>
      <c r="E117" s="137">
        <v>143.59</v>
      </c>
      <c r="F117" s="137" t="s">
        <v>77</v>
      </c>
      <c r="G117" s="136">
        <v>45736</v>
      </c>
      <c r="H117" s="137" t="s">
        <v>79</v>
      </c>
      <c r="I117" s="137" t="s">
        <v>2354</v>
      </c>
      <c r="K117" s="137" t="s">
        <v>2355</v>
      </c>
      <c r="L117" s="137"/>
      <c r="M117" s="137" t="s">
        <v>2356</v>
      </c>
      <c r="N117" s="137"/>
      <c r="Q117" s="3">
        <f t="shared" si="1"/>
        <v>143.59</v>
      </c>
    </row>
    <row r="118" spans="1:17" x14ac:dyDescent="0.35">
      <c r="A118" s="137" t="s">
        <v>27</v>
      </c>
      <c r="B118" s="137" t="s">
        <v>391</v>
      </c>
      <c r="C118" s="137" t="s">
        <v>1</v>
      </c>
      <c r="D118" s="137" t="s">
        <v>2</v>
      </c>
      <c r="E118" s="137">
        <v>142.63999999999999</v>
      </c>
      <c r="F118" s="137" t="s">
        <v>77</v>
      </c>
      <c r="G118" s="136">
        <v>45727</v>
      </c>
      <c r="H118" s="137" t="s">
        <v>79</v>
      </c>
      <c r="I118" s="137" t="s">
        <v>420</v>
      </c>
      <c r="K118" s="137" t="s">
        <v>719</v>
      </c>
      <c r="L118" s="137"/>
      <c r="M118" s="135" t="s">
        <v>285</v>
      </c>
      <c r="N118" s="135"/>
      <c r="Q118" s="3">
        <f t="shared" si="1"/>
        <v>142.63999999999999</v>
      </c>
    </row>
    <row r="119" spans="1:17" x14ac:dyDescent="0.35">
      <c r="A119" s="137" t="s">
        <v>0</v>
      </c>
      <c r="B119" s="137" t="s">
        <v>376</v>
      </c>
      <c r="C119" s="137" t="s">
        <v>1</v>
      </c>
      <c r="D119" s="137" t="s">
        <v>2</v>
      </c>
      <c r="E119" s="137">
        <v>140.47</v>
      </c>
      <c r="F119" s="137" t="s">
        <v>77</v>
      </c>
      <c r="G119" s="136">
        <v>45712</v>
      </c>
      <c r="H119" s="137" t="s">
        <v>78</v>
      </c>
      <c r="I119" s="137" t="s">
        <v>2082</v>
      </c>
      <c r="J119" s="137"/>
      <c r="K119" s="137" t="s">
        <v>2080</v>
      </c>
      <c r="L119" s="137" t="s">
        <v>2083</v>
      </c>
      <c r="M119" s="137" t="s">
        <v>195</v>
      </c>
      <c r="Q119" s="3">
        <f t="shared" si="1"/>
        <v>140.47</v>
      </c>
    </row>
    <row r="120" spans="1:17" x14ac:dyDescent="0.35">
      <c r="A120" s="137" t="s">
        <v>27</v>
      </c>
      <c r="B120" s="137" t="s">
        <v>347</v>
      </c>
      <c r="C120" s="137" t="s">
        <v>1</v>
      </c>
      <c r="D120" s="137" t="s">
        <v>2</v>
      </c>
      <c r="E120" s="137">
        <v>139.06</v>
      </c>
      <c r="F120" s="137" t="s">
        <v>77</v>
      </c>
      <c r="G120" s="136">
        <v>45736</v>
      </c>
      <c r="H120" s="137" t="s">
        <v>79</v>
      </c>
      <c r="I120" s="137" t="s">
        <v>217</v>
      </c>
      <c r="J120" s="137" t="s">
        <v>2361</v>
      </c>
      <c r="K120" s="137"/>
      <c r="L120" s="137"/>
      <c r="M120" s="137" t="s">
        <v>704</v>
      </c>
      <c r="N120" s="137"/>
      <c r="Q120" s="3">
        <f t="shared" si="1"/>
        <v>139.06</v>
      </c>
    </row>
    <row r="121" spans="1:17" x14ac:dyDescent="0.35">
      <c r="A121" s="137" t="s">
        <v>0</v>
      </c>
      <c r="B121" s="137" t="s">
        <v>399</v>
      </c>
      <c r="C121" s="137" t="s">
        <v>1</v>
      </c>
      <c r="D121" s="137" t="s">
        <v>2</v>
      </c>
      <c r="E121" s="137">
        <v>138.45999999999998</v>
      </c>
      <c r="F121" s="137" t="s">
        <v>77</v>
      </c>
      <c r="G121" s="136">
        <v>45733</v>
      </c>
      <c r="H121" s="137" t="s">
        <v>78</v>
      </c>
      <c r="I121" s="137" t="s">
        <v>2095</v>
      </c>
      <c r="J121" s="137"/>
      <c r="K121" s="137" t="s">
        <v>193</v>
      </c>
      <c r="L121" s="137" t="s">
        <v>2415</v>
      </c>
      <c r="M121" s="137" t="s">
        <v>194</v>
      </c>
      <c r="N121" s="137"/>
      <c r="O121" s="137"/>
      <c r="Q121" s="3">
        <f t="shared" si="1"/>
        <v>138.45999999999998</v>
      </c>
    </row>
    <row r="122" spans="1:17" x14ac:dyDescent="0.35">
      <c r="A122" s="137" t="s">
        <v>0</v>
      </c>
      <c r="B122" s="137" t="s">
        <v>399</v>
      </c>
      <c r="C122" s="137" t="s">
        <v>1</v>
      </c>
      <c r="D122" s="137" t="s">
        <v>2</v>
      </c>
      <c r="E122" s="137">
        <v>134.5</v>
      </c>
      <c r="F122" s="137" t="s">
        <v>77</v>
      </c>
      <c r="G122" s="136">
        <v>45707</v>
      </c>
      <c r="H122" s="137" t="s">
        <v>78</v>
      </c>
      <c r="I122" s="137" t="s">
        <v>2071</v>
      </c>
      <c r="J122" s="137"/>
      <c r="K122" s="137" t="s">
        <v>193</v>
      </c>
      <c r="L122" s="137" t="s">
        <v>2408</v>
      </c>
      <c r="M122" s="137" t="s">
        <v>194</v>
      </c>
      <c r="Q122" s="3">
        <f t="shared" si="1"/>
        <v>134.5</v>
      </c>
    </row>
    <row r="123" spans="1:17" x14ac:dyDescent="0.35">
      <c r="A123" s="137" t="s">
        <v>0</v>
      </c>
      <c r="B123" s="137" t="s">
        <v>492</v>
      </c>
      <c r="C123" s="137" t="s">
        <v>1</v>
      </c>
      <c r="D123" s="137" t="s">
        <v>2</v>
      </c>
      <c r="E123" s="137">
        <v>130.44</v>
      </c>
      <c r="F123" s="137" t="s">
        <v>77</v>
      </c>
      <c r="G123" s="136">
        <v>45712</v>
      </c>
      <c r="H123" s="137" t="s">
        <v>78</v>
      </c>
      <c r="I123" s="137" t="s">
        <v>2079</v>
      </c>
      <c r="J123" s="137"/>
      <c r="K123" s="137" t="s">
        <v>2080</v>
      </c>
      <c r="L123" s="137" t="s">
        <v>2081</v>
      </c>
      <c r="M123" s="137" t="s">
        <v>195</v>
      </c>
      <c r="N123" s="135"/>
      <c r="O123" s="135"/>
      <c r="Q123" s="3">
        <f t="shared" si="1"/>
        <v>130.44</v>
      </c>
    </row>
    <row r="124" spans="1:17" x14ac:dyDescent="0.35">
      <c r="A124" s="137" t="s">
        <v>0</v>
      </c>
      <c r="B124" s="137" t="s">
        <v>492</v>
      </c>
      <c r="C124" s="137" t="s">
        <v>1</v>
      </c>
      <c r="D124" s="137" t="s">
        <v>2</v>
      </c>
      <c r="E124" s="137">
        <v>130.44</v>
      </c>
      <c r="F124" s="137" t="s">
        <v>77</v>
      </c>
      <c r="G124" s="136">
        <v>45726</v>
      </c>
      <c r="H124" s="137" t="s">
        <v>78</v>
      </c>
      <c r="I124" s="137" t="s">
        <v>2089</v>
      </c>
      <c r="J124" s="137"/>
      <c r="K124" s="137" t="s">
        <v>2090</v>
      </c>
      <c r="L124" s="137" t="s">
        <v>2091</v>
      </c>
      <c r="M124" s="137" t="s">
        <v>195</v>
      </c>
      <c r="Q124" s="3">
        <f t="shared" si="1"/>
        <v>130.44</v>
      </c>
    </row>
    <row r="125" spans="1:17" x14ac:dyDescent="0.35">
      <c r="A125" s="137" t="s">
        <v>0</v>
      </c>
      <c r="B125" s="137" t="s">
        <v>492</v>
      </c>
      <c r="C125" s="137" t="s">
        <v>1</v>
      </c>
      <c r="D125" s="137" t="s">
        <v>2</v>
      </c>
      <c r="E125" s="137">
        <v>130.41</v>
      </c>
      <c r="F125" s="137" t="s">
        <v>77</v>
      </c>
      <c r="G125" s="136">
        <v>45677</v>
      </c>
      <c r="H125" s="137" t="s">
        <v>78</v>
      </c>
      <c r="I125" s="137" t="s">
        <v>2051</v>
      </c>
      <c r="J125" s="137"/>
      <c r="K125" s="137" t="s">
        <v>735</v>
      </c>
      <c r="L125" s="137" t="s">
        <v>2052</v>
      </c>
      <c r="M125" s="137" t="s">
        <v>195</v>
      </c>
      <c r="Q125" s="3">
        <f t="shared" si="1"/>
        <v>130.41</v>
      </c>
    </row>
    <row r="126" spans="1:17" x14ac:dyDescent="0.35">
      <c r="A126" s="137" t="s">
        <v>0</v>
      </c>
      <c r="B126" s="137" t="s">
        <v>376</v>
      </c>
      <c r="C126" s="137" t="s">
        <v>1</v>
      </c>
      <c r="D126" s="137" t="s">
        <v>2</v>
      </c>
      <c r="E126" s="137">
        <v>130.05000000000001</v>
      </c>
      <c r="F126" s="137" t="s">
        <v>77</v>
      </c>
      <c r="G126" s="136">
        <v>45677</v>
      </c>
      <c r="H126" s="137" t="s">
        <v>78</v>
      </c>
      <c r="I126" s="137" t="s">
        <v>2053</v>
      </c>
      <c r="J126" s="137"/>
      <c r="K126" s="137" t="s">
        <v>735</v>
      </c>
      <c r="L126" s="137" t="s">
        <v>2054</v>
      </c>
      <c r="M126" s="137" t="s">
        <v>195</v>
      </c>
      <c r="N126" s="135"/>
      <c r="O126" s="135"/>
      <c r="Q126" s="3">
        <f t="shared" si="1"/>
        <v>130.05000000000001</v>
      </c>
    </row>
    <row r="127" spans="1:17" x14ac:dyDescent="0.35">
      <c r="A127" s="137" t="s">
        <v>0</v>
      </c>
      <c r="B127" s="137" t="s">
        <v>481</v>
      </c>
      <c r="C127" s="137" t="s">
        <v>1</v>
      </c>
      <c r="D127" s="137" t="s">
        <v>2</v>
      </c>
      <c r="E127" s="137">
        <v>128.38999999999999</v>
      </c>
      <c r="F127" s="137" t="s">
        <v>77</v>
      </c>
      <c r="G127" s="136">
        <v>45712</v>
      </c>
      <c r="H127" s="137" t="s">
        <v>78</v>
      </c>
      <c r="I127" s="137" t="s">
        <v>2082</v>
      </c>
      <c r="J127" s="137"/>
      <c r="K127" s="137" t="s">
        <v>2080</v>
      </c>
      <c r="L127" s="137" t="s">
        <v>2083</v>
      </c>
      <c r="M127" s="137" t="s">
        <v>195</v>
      </c>
      <c r="N127" s="137"/>
      <c r="O127" s="137"/>
      <c r="Q127" s="3">
        <f t="shared" si="1"/>
        <v>128.38999999999999</v>
      </c>
    </row>
    <row r="128" spans="1:17" x14ac:dyDescent="0.35">
      <c r="A128" s="137" t="s">
        <v>27</v>
      </c>
      <c r="B128" s="137" t="s">
        <v>378</v>
      </c>
      <c r="C128" s="137" t="s">
        <v>1</v>
      </c>
      <c r="D128" s="137" t="s">
        <v>2</v>
      </c>
      <c r="E128" s="137">
        <v>128.15</v>
      </c>
      <c r="F128" s="137" t="s">
        <v>77</v>
      </c>
      <c r="G128" s="136">
        <v>45691</v>
      </c>
      <c r="H128" s="137" t="s">
        <v>78</v>
      </c>
      <c r="I128" s="137" t="s">
        <v>2191</v>
      </c>
      <c r="J128" s="137"/>
      <c r="K128" s="137" t="s">
        <v>2192</v>
      </c>
      <c r="L128" s="137" t="s">
        <v>2193</v>
      </c>
      <c r="M128" s="137" t="s">
        <v>2194</v>
      </c>
      <c r="N128" s="135"/>
      <c r="O128" s="135"/>
      <c r="Q128" s="3">
        <f t="shared" si="1"/>
        <v>128.15</v>
      </c>
    </row>
    <row r="129" spans="1:17" x14ac:dyDescent="0.35">
      <c r="A129" s="137" t="s">
        <v>0</v>
      </c>
      <c r="B129" s="137" t="s">
        <v>430</v>
      </c>
      <c r="C129" s="137" t="s">
        <v>1</v>
      </c>
      <c r="D129" s="137" t="s">
        <v>2</v>
      </c>
      <c r="E129" s="137">
        <v>128.07</v>
      </c>
      <c r="F129" s="137" t="s">
        <v>77</v>
      </c>
      <c r="G129" s="136">
        <v>45712</v>
      </c>
      <c r="H129" s="137" t="s">
        <v>78</v>
      </c>
      <c r="I129" s="137" t="s">
        <v>2082</v>
      </c>
      <c r="J129" s="137"/>
      <c r="K129" s="137" t="s">
        <v>2080</v>
      </c>
      <c r="L129" s="137" t="s">
        <v>2083</v>
      </c>
      <c r="M129" s="137" t="s">
        <v>195</v>
      </c>
      <c r="N129" s="135"/>
      <c r="O129" s="135"/>
      <c r="Q129" s="3">
        <f t="shared" si="1"/>
        <v>128.07</v>
      </c>
    </row>
    <row r="130" spans="1:17" x14ac:dyDescent="0.35">
      <c r="A130" s="137" t="s">
        <v>0</v>
      </c>
      <c r="B130" s="137" t="s">
        <v>317</v>
      </c>
      <c r="C130" s="137" t="s">
        <v>1</v>
      </c>
      <c r="D130" s="137" t="s">
        <v>2</v>
      </c>
      <c r="E130" s="137">
        <v>127.27</v>
      </c>
      <c r="F130" s="137" t="s">
        <v>77</v>
      </c>
      <c r="G130" s="136">
        <v>45712</v>
      </c>
      <c r="H130" s="137" t="s">
        <v>78</v>
      </c>
      <c r="I130" s="137" t="s">
        <v>2082</v>
      </c>
      <c r="J130" s="137"/>
      <c r="K130" s="137" t="s">
        <v>2080</v>
      </c>
      <c r="L130" s="137" t="s">
        <v>2083</v>
      </c>
      <c r="M130" s="137" t="s">
        <v>195</v>
      </c>
      <c r="Q130" s="3">
        <f t="shared" si="1"/>
        <v>127.27</v>
      </c>
    </row>
    <row r="131" spans="1:17" x14ac:dyDescent="0.35">
      <c r="A131" s="137" t="s">
        <v>0</v>
      </c>
      <c r="B131" s="137" t="s">
        <v>423</v>
      </c>
      <c r="C131" s="137" t="s">
        <v>1</v>
      </c>
      <c r="D131" s="137" t="s">
        <v>2</v>
      </c>
      <c r="E131" s="137">
        <v>127.16</v>
      </c>
      <c r="F131" s="137" t="s">
        <v>77</v>
      </c>
      <c r="G131" s="136">
        <v>45712</v>
      </c>
      <c r="H131" s="137" t="s">
        <v>78</v>
      </c>
      <c r="I131" s="137" t="s">
        <v>2082</v>
      </c>
      <c r="J131" s="137"/>
      <c r="K131" s="137" t="s">
        <v>2080</v>
      </c>
      <c r="L131" s="137" t="s">
        <v>2083</v>
      </c>
      <c r="M131" s="137" t="s">
        <v>195</v>
      </c>
      <c r="N131" s="137"/>
      <c r="O131" s="137"/>
      <c r="Q131" s="3">
        <f t="shared" si="1"/>
        <v>127.16</v>
      </c>
    </row>
    <row r="132" spans="1:17" x14ac:dyDescent="0.35">
      <c r="A132" s="137" t="s">
        <v>0</v>
      </c>
      <c r="B132" s="137" t="s">
        <v>382</v>
      </c>
      <c r="C132" s="137" t="s">
        <v>1</v>
      </c>
      <c r="D132" s="137" t="s">
        <v>2</v>
      </c>
      <c r="E132" s="137">
        <v>126.91</v>
      </c>
      <c r="F132" s="137" t="s">
        <v>77</v>
      </c>
      <c r="G132" s="136">
        <v>45726</v>
      </c>
      <c r="H132" s="137" t="s">
        <v>78</v>
      </c>
      <c r="I132" s="137" t="s">
        <v>2092</v>
      </c>
      <c r="J132" s="137"/>
      <c r="K132" s="137" t="s">
        <v>2090</v>
      </c>
      <c r="L132" s="137" t="s">
        <v>2093</v>
      </c>
      <c r="M132" s="137" t="s">
        <v>195</v>
      </c>
      <c r="N132" s="135"/>
      <c r="O132" s="135"/>
      <c r="Q132" s="3">
        <f t="shared" si="1"/>
        <v>126.91</v>
      </c>
    </row>
    <row r="133" spans="1:17" x14ac:dyDescent="0.35">
      <c r="A133" s="137" t="s">
        <v>27</v>
      </c>
      <c r="B133" s="137" t="s">
        <v>382</v>
      </c>
      <c r="C133" s="137" t="s">
        <v>1</v>
      </c>
      <c r="D133" s="137" t="s">
        <v>2</v>
      </c>
      <c r="E133" s="137">
        <v>125.41</v>
      </c>
      <c r="F133" s="137" t="s">
        <v>77</v>
      </c>
      <c r="G133" s="136">
        <v>45736</v>
      </c>
      <c r="H133" s="137" t="s">
        <v>79</v>
      </c>
      <c r="I133" s="137" t="s">
        <v>234</v>
      </c>
      <c r="J133" s="137" t="s">
        <v>235</v>
      </c>
      <c r="K133" s="137"/>
      <c r="L133" s="137"/>
      <c r="M133" s="137"/>
      <c r="N133" s="137"/>
      <c r="O133" s="137" t="s">
        <v>299</v>
      </c>
      <c r="Q133" s="3">
        <f t="shared" si="1"/>
        <v>125.41</v>
      </c>
    </row>
    <row r="134" spans="1:17" x14ac:dyDescent="0.35">
      <c r="A134" s="137" t="s">
        <v>0</v>
      </c>
      <c r="B134" s="137" t="s">
        <v>361</v>
      </c>
      <c r="C134" s="137" t="s">
        <v>1</v>
      </c>
      <c r="D134" s="137" t="s">
        <v>2</v>
      </c>
      <c r="E134" s="137">
        <v>122.66</v>
      </c>
      <c r="F134" s="137" t="s">
        <v>77</v>
      </c>
      <c r="G134" s="136">
        <v>45677</v>
      </c>
      <c r="H134" s="137" t="s">
        <v>78</v>
      </c>
      <c r="I134" s="137" t="s">
        <v>2053</v>
      </c>
      <c r="J134" s="137"/>
      <c r="K134" s="137" t="s">
        <v>735</v>
      </c>
      <c r="L134" s="137" t="s">
        <v>2054</v>
      </c>
      <c r="M134" s="137" t="s">
        <v>195</v>
      </c>
      <c r="Q134" s="3">
        <f t="shared" si="1"/>
        <v>122.66</v>
      </c>
    </row>
    <row r="135" spans="1:17" x14ac:dyDescent="0.35">
      <c r="A135" s="137" t="s">
        <v>27</v>
      </c>
      <c r="B135" s="137" t="s">
        <v>321</v>
      </c>
      <c r="C135" s="137" t="s">
        <v>1</v>
      </c>
      <c r="D135" s="137" t="s">
        <v>2</v>
      </c>
      <c r="E135" s="137">
        <v>120.73</v>
      </c>
      <c r="F135" s="137" t="s">
        <v>77</v>
      </c>
      <c r="G135" s="136">
        <v>45663</v>
      </c>
      <c r="H135" s="137" t="s">
        <v>79</v>
      </c>
      <c r="I135" s="137" t="s">
        <v>213</v>
      </c>
      <c r="J135" s="137" t="s">
        <v>219</v>
      </c>
      <c r="K135" s="137"/>
      <c r="L135" s="137"/>
      <c r="M135" s="137"/>
      <c r="N135" s="137"/>
      <c r="O135" s="137" t="s">
        <v>282</v>
      </c>
      <c r="Q135" s="3">
        <f t="shared" si="1"/>
        <v>120.73</v>
      </c>
    </row>
    <row r="136" spans="1:17" x14ac:dyDescent="0.35">
      <c r="A136" s="137" t="s">
        <v>0</v>
      </c>
      <c r="B136" s="137" t="s">
        <v>391</v>
      </c>
      <c r="C136" s="137" t="s">
        <v>1</v>
      </c>
      <c r="D136" s="137" t="s">
        <v>2</v>
      </c>
      <c r="E136" s="137">
        <v>119.72</v>
      </c>
      <c r="F136" s="137" t="s">
        <v>77</v>
      </c>
      <c r="G136" s="136">
        <v>45691</v>
      </c>
      <c r="H136" s="137" t="s">
        <v>78</v>
      </c>
      <c r="I136" s="137" t="s">
        <v>2060</v>
      </c>
      <c r="J136" s="137"/>
      <c r="K136" s="137" t="s">
        <v>2026</v>
      </c>
      <c r="L136" s="137" t="s">
        <v>2400</v>
      </c>
      <c r="M136" s="137" t="s">
        <v>668</v>
      </c>
      <c r="N136" s="137"/>
      <c r="O136" s="137"/>
      <c r="Q136" s="3">
        <f t="shared" ref="Q136:Q199" si="2">ABS(E136)</f>
        <v>119.72</v>
      </c>
    </row>
    <row r="137" spans="1:17" x14ac:dyDescent="0.35">
      <c r="A137" s="137" t="s">
        <v>27</v>
      </c>
      <c r="B137" s="137" t="s">
        <v>492</v>
      </c>
      <c r="C137" s="137" t="s">
        <v>1</v>
      </c>
      <c r="D137" s="137" t="s">
        <v>2</v>
      </c>
      <c r="E137" s="137">
        <v>119.4</v>
      </c>
      <c r="F137" s="137" t="s">
        <v>77</v>
      </c>
      <c r="G137" s="136">
        <v>45664</v>
      </c>
      <c r="H137" s="137" t="s">
        <v>78</v>
      </c>
      <c r="I137" s="137" t="s">
        <v>2112</v>
      </c>
      <c r="J137" s="137"/>
      <c r="K137" s="137" t="s">
        <v>2115</v>
      </c>
      <c r="L137" s="137" t="s">
        <v>2114</v>
      </c>
      <c r="M137" s="137" t="s">
        <v>221</v>
      </c>
      <c r="N137" s="137"/>
      <c r="O137" s="137"/>
      <c r="Q137" s="3">
        <f t="shared" si="2"/>
        <v>119.4</v>
      </c>
    </row>
    <row r="138" spans="1:17" x14ac:dyDescent="0.35">
      <c r="A138" s="137" t="s">
        <v>27</v>
      </c>
      <c r="B138" s="137" t="s">
        <v>354</v>
      </c>
      <c r="C138" s="137" t="s">
        <v>1</v>
      </c>
      <c r="D138" s="137" t="s">
        <v>2</v>
      </c>
      <c r="E138" s="137">
        <v>118.49</v>
      </c>
      <c r="F138" s="137" t="s">
        <v>77</v>
      </c>
      <c r="G138" s="136">
        <v>45712</v>
      </c>
      <c r="H138" s="137" t="s">
        <v>79</v>
      </c>
      <c r="I138" s="137" t="s">
        <v>247</v>
      </c>
      <c r="J138" s="137" t="s">
        <v>225</v>
      </c>
      <c r="K138" s="137"/>
      <c r="L138" s="137"/>
      <c r="M138" s="137"/>
      <c r="N138" s="137"/>
      <c r="O138" s="137" t="s">
        <v>712</v>
      </c>
      <c r="Q138" s="3">
        <f t="shared" si="2"/>
        <v>118.49</v>
      </c>
    </row>
    <row r="139" spans="1:17" x14ac:dyDescent="0.35">
      <c r="A139" s="137" t="s">
        <v>0</v>
      </c>
      <c r="B139" s="137" t="s">
        <v>400</v>
      </c>
      <c r="C139" s="137" t="s">
        <v>1</v>
      </c>
      <c r="D139" s="137" t="s">
        <v>2</v>
      </c>
      <c r="E139" s="137">
        <v>118.39</v>
      </c>
      <c r="F139" s="137" t="s">
        <v>77</v>
      </c>
      <c r="G139" s="136">
        <v>45712</v>
      </c>
      <c r="H139" s="137" t="s">
        <v>78</v>
      </c>
      <c r="I139" s="137" t="s">
        <v>2079</v>
      </c>
      <c r="J139" s="137"/>
      <c r="K139" s="137" t="s">
        <v>2080</v>
      </c>
      <c r="L139" s="137" t="s">
        <v>2081</v>
      </c>
      <c r="M139" s="137" t="s">
        <v>195</v>
      </c>
      <c r="Q139" s="3">
        <f t="shared" si="2"/>
        <v>118.39</v>
      </c>
    </row>
    <row r="140" spans="1:17" x14ac:dyDescent="0.35">
      <c r="A140" s="137" t="s">
        <v>0</v>
      </c>
      <c r="B140" s="137" t="s">
        <v>400</v>
      </c>
      <c r="C140" s="137" t="s">
        <v>1</v>
      </c>
      <c r="D140" s="137" t="s">
        <v>2</v>
      </c>
      <c r="E140" s="137">
        <v>118.39</v>
      </c>
      <c r="F140" s="137" t="s">
        <v>77</v>
      </c>
      <c r="G140" s="136">
        <v>45726</v>
      </c>
      <c r="H140" s="137" t="s">
        <v>78</v>
      </c>
      <c r="I140" s="137" t="s">
        <v>2089</v>
      </c>
      <c r="J140" s="137"/>
      <c r="K140" s="137" t="s">
        <v>2090</v>
      </c>
      <c r="L140" s="137" t="s">
        <v>2091</v>
      </c>
      <c r="M140" s="137" t="s">
        <v>195</v>
      </c>
      <c r="N140" s="31"/>
      <c r="O140" s="31"/>
      <c r="Q140" s="3">
        <f t="shared" si="2"/>
        <v>118.39</v>
      </c>
    </row>
    <row r="141" spans="1:17" x14ac:dyDescent="0.35">
      <c r="A141" s="137" t="s">
        <v>0</v>
      </c>
      <c r="B141" s="137" t="s">
        <v>400</v>
      </c>
      <c r="C141" s="137" t="s">
        <v>1</v>
      </c>
      <c r="D141" s="137" t="s">
        <v>2</v>
      </c>
      <c r="E141" s="137">
        <v>118.36</v>
      </c>
      <c r="F141" s="137" t="s">
        <v>77</v>
      </c>
      <c r="G141" s="136">
        <v>45677</v>
      </c>
      <c r="H141" s="137" t="s">
        <v>78</v>
      </c>
      <c r="I141" s="137" t="s">
        <v>2051</v>
      </c>
      <c r="J141" s="137"/>
      <c r="K141" s="137" t="s">
        <v>735</v>
      </c>
      <c r="L141" s="137" t="s">
        <v>2052</v>
      </c>
      <c r="M141" s="137" t="s">
        <v>195</v>
      </c>
      <c r="N141" s="135"/>
      <c r="O141" s="135"/>
      <c r="Q141" s="3">
        <f t="shared" si="2"/>
        <v>118.36</v>
      </c>
    </row>
    <row r="142" spans="1:17" x14ac:dyDescent="0.35">
      <c r="A142" s="137" t="s">
        <v>27</v>
      </c>
      <c r="B142" s="137" t="s">
        <v>399</v>
      </c>
      <c r="C142" s="137" t="s">
        <v>1</v>
      </c>
      <c r="D142" s="137" t="s">
        <v>2</v>
      </c>
      <c r="E142" s="137">
        <v>118.07</v>
      </c>
      <c r="F142" s="137" t="s">
        <v>77</v>
      </c>
      <c r="G142" s="136">
        <v>45666</v>
      </c>
      <c r="H142" s="137" t="s">
        <v>78</v>
      </c>
      <c r="I142" s="137" t="s">
        <v>2124</v>
      </c>
      <c r="J142" s="137"/>
      <c r="K142" s="137" t="s">
        <v>193</v>
      </c>
      <c r="L142" s="137" t="s">
        <v>2422</v>
      </c>
      <c r="M142" s="137" t="s">
        <v>194</v>
      </c>
      <c r="N142" s="135"/>
      <c r="O142" s="135"/>
      <c r="Q142" s="3">
        <f t="shared" si="2"/>
        <v>118.07</v>
      </c>
    </row>
    <row r="143" spans="1:17" x14ac:dyDescent="0.35">
      <c r="A143" s="137" t="s">
        <v>0</v>
      </c>
      <c r="B143" s="137" t="s">
        <v>327</v>
      </c>
      <c r="C143" s="137" t="s">
        <v>1</v>
      </c>
      <c r="D143" s="137" t="s">
        <v>2</v>
      </c>
      <c r="E143" s="137">
        <v>115.08</v>
      </c>
      <c r="F143" s="137" t="s">
        <v>77</v>
      </c>
      <c r="G143" s="136">
        <v>45677</v>
      </c>
      <c r="H143" s="137" t="s">
        <v>78</v>
      </c>
      <c r="I143" s="137" t="s">
        <v>2053</v>
      </c>
      <c r="J143" s="137"/>
      <c r="K143" s="137" t="s">
        <v>735</v>
      </c>
      <c r="L143" s="137" t="s">
        <v>2054</v>
      </c>
      <c r="M143" s="137" t="s">
        <v>195</v>
      </c>
      <c r="Q143" s="3">
        <f t="shared" si="2"/>
        <v>115.08</v>
      </c>
    </row>
    <row r="144" spans="1:17" x14ac:dyDescent="0.35">
      <c r="A144" s="137" t="s">
        <v>0</v>
      </c>
      <c r="B144" s="137" t="s">
        <v>470</v>
      </c>
      <c r="C144" s="137" t="s">
        <v>1</v>
      </c>
      <c r="D144" s="137" t="s">
        <v>2</v>
      </c>
      <c r="E144" s="137">
        <v>112.05</v>
      </c>
      <c r="F144" s="137" t="s">
        <v>77</v>
      </c>
      <c r="G144" s="136">
        <v>45712</v>
      </c>
      <c r="H144" s="137" t="s">
        <v>78</v>
      </c>
      <c r="I144" s="137" t="s">
        <v>2082</v>
      </c>
      <c r="J144" s="137"/>
      <c r="K144" s="137" t="s">
        <v>2080</v>
      </c>
      <c r="L144" s="137" t="s">
        <v>2083</v>
      </c>
      <c r="M144" s="137" t="s">
        <v>195</v>
      </c>
      <c r="N144" s="137"/>
      <c r="O144" s="137"/>
      <c r="Q144" s="3">
        <f t="shared" si="2"/>
        <v>112.05</v>
      </c>
    </row>
    <row r="145" spans="1:19" x14ac:dyDescent="0.35">
      <c r="A145" s="137" t="s">
        <v>27</v>
      </c>
      <c r="B145" s="137" t="s">
        <v>347</v>
      </c>
      <c r="C145" s="137" t="s">
        <v>1</v>
      </c>
      <c r="D145" s="137" t="s">
        <v>2</v>
      </c>
      <c r="E145" s="137">
        <v>111.44</v>
      </c>
      <c r="F145" s="137" t="s">
        <v>77</v>
      </c>
      <c r="G145" s="136">
        <v>45736</v>
      </c>
      <c r="H145" s="137" t="s">
        <v>79</v>
      </c>
      <c r="I145" s="137" t="s">
        <v>217</v>
      </c>
      <c r="J145" s="137" t="s">
        <v>2362</v>
      </c>
      <c r="K145" s="137"/>
      <c r="L145" s="137"/>
      <c r="M145" s="137"/>
      <c r="N145" s="135"/>
      <c r="O145" s="135" t="s">
        <v>300</v>
      </c>
      <c r="Q145" s="3">
        <f t="shared" si="2"/>
        <v>111.44</v>
      </c>
    </row>
    <row r="146" spans="1:19" x14ac:dyDescent="0.35">
      <c r="A146" s="137" t="s">
        <v>0</v>
      </c>
      <c r="B146" s="137" t="s">
        <v>316</v>
      </c>
      <c r="C146" s="137" t="s">
        <v>1</v>
      </c>
      <c r="D146" s="137" t="s">
        <v>2</v>
      </c>
      <c r="E146" s="137">
        <v>110.21</v>
      </c>
      <c r="F146" s="137" t="s">
        <v>77</v>
      </c>
      <c r="G146" s="136">
        <v>45726</v>
      </c>
      <c r="H146" s="137" t="s">
        <v>78</v>
      </c>
      <c r="I146" s="137" t="s">
        <v>2092</v>
      </c>
      <c r="J146" s="137"/>
      <c r="K146" s="137" t="s">
        <v>2090</v>
      </c>
      <c r="L146" s="137" t="s">
        <v>2093</v>
      </c>
      <c r="M146" s="137" t="s">
        <v>195</v>
      </c>
      <c r="N146" s="135"/>
      <c r="O146" s="135"/>
      <c r="Q146" s="3">
        <f t="shared" si="2"/>
        <v>110.21</v>
      </c>
    </row>
    <row r="147" spans="1:19" x14ac:dyDescent="0.35">
      <c r="A147" s="137" t="s">
        <v>27</v>
      </c>
      <c r="B147" s="137" t="s">
        <v>354</v>
      </c>
      <c r="C147" s="137" t="s">
        <v>1</v>
      </c>
      <c r="D147" s="137" t="s">
        <v>2</v>
      </c>
      <c r="E147" s="137">
        <v>109.05</v>
      </c>
      <c r="F147" s="137" t="s">
        <v>77</v>
      </c>
      <c r="G147" s="136">
        <v>45712</v>
      </c>
      <c r="H147" s="137" t="s">
        <v>79</v>
      </c>
      <c r="I147" s="137" t="s">
        <v>2253</v>
      </c>
      <c r="J147" s="137" t="s">
        <v>2254</v>
      </c>
      <c r="K147" s="137"/>
      <c r="L147" s="137"/>
      <c r="M147" s="137"/>
      <c r="N147" s="135"/>
      <c r="O147" s="135" t="s">
        <v>2255</v>
      </c>
      <c r="Q147" s="3">
        <f t="shared" si="2"/>
        <v>109.05</v>
      </c>
    </row>
    <row r="148" spans="1:19" ht="29" x14ac:dyDescent="0.35">
      <c r="A148" s="137" t="s">
        <v>27</v>
      </c>
      <c r="B148" s="137" t="s">
        <v>382</v>
      </c>
      <c r="C148" s="137" t="s">
        <v>1</v>
      </c>
      <c r="D148" s="137" t="s">
        <v>2</v>
      </c>
      <c r="E148" s="137">
        <v>105.86</v>
      </c>
      <c r="F148" s="137" t="s">
        <v>77</v>
      </c>
      <c r="G148" s="136">
        <v>45736</v>
      </c>
      <c r="H148" s="137" t="s">
        <v>79</v>
      </c>
      <c r="I148" s="137" t="s">
        <v>131</v>
      </c>
      <c r="J148" s="137" t="s">
        <v>2339</v>
      </c>
      <c r="K148" s="137"/>
      <c r="L148" s="137"/>
      <c r="M148" s="137"/>
      <c r="N148" s="135"/>
      <c r="O148" s="135" t="s">
        <v>647</v>
      </c>
      <c r="Q148" s="3">
        <f t="shared" si="2"/>
        <v>105.86</v>
      </c>
      <c r="S148" s="48" t="s">
        <v>2452</v>
      </c>
    </row>
    <row r="149" spans="1:19" x14ac:dyDescent="0.35">
      <c r="A149" s="137" t="s">
        <v>0</v>
      </c>
      <c r="B149" s="137" t="s">
        <v>398</v>
      </c>
      <c r="C149" s="137" t="s">
        <v>1</v>
      </c>
      <c r="D149" s="137" t="s">
        <v>2</v>
      </c>
      <c r="E149" s="137">
        <v>102.71</v>
      </c>
      <c r="F149" s="137" t="s">
        <v>77</v>
      </c>
      <c r="G149" s="136">
        <v>45712</v>
      </c>
      <c r="H149" s="137" t="s">
        <v>78</v>
      </c>
      <c r="I149" s="137" t="s">
        <v>2082</v>
      </c>
      <c r="J149" s="137"/>
      <c r="K149" s="137" t="s">
        <v>2080</v>
      </c>
      <c r="L149" s="137" t="s">
        <v>2083</v>
      </c>
      <c r="M149" s="137" t="s">
        <v>195</v>
      </c>
      <c r="N149" s="135"/>
      <c r="O149" s="135"/>
      <c r="Q149" s="3">
        <f t="shared" si="2"/>
        <v>102.71</v>
      </c>
    </row>
    <row r="150" spans="1:19" x14ac:dyDescent="0.35">
      <c r="A150" s="137" t="s">
        <v>27</v>
      </c>
      <c r="B150" s="137" t="s">
        <v>355</v>
      </c>
      <c r="C150" s="137" t="s">
        <v>1</v>
      </c>
      <c r="D150" s="137" t="s">
        <v>2</v>
      </c>
      <c r="E150" s="137">
        <v>102.45</v>
      </c>
      <c r="F150" s="137" t="s">
        <v>77</v>
      </c>
      <c r="G150" s="136">
        <v>45713</v>
      </c>
      <c r="H150" s="137" t="s">
        <v>79</v>
      </c>
      <c r="I150" s="137" t="s">
        <v>199</v>
      </c>
      <c r="J150" s="137" t="s">
        <v>200</v>
      </c>
      <c r="K150" s="137"/>
      <c r="L150" s="137"/>
      <c r="M150" s="137"/>
      <c r="N150" s="135"/>
      <c r="O150" s="135" t="s">
        <v>267</v>
      </c>
      <c r="Q150" s="3">
        <f t="shared" si="2"/>
        <v>102.45</v>
      </c>
    </row>
    <row r="151" spans="1:19" x14ac:dyDescent="0.35">
      <c r="A151" s="137" t="s">
        <v>27</v>
      </c>
      <c r="B151" s="137" t="s">
        <v>557</v>
      </c>
      <c r="C151" s="137" t="s">
        <v>1</v>
      </c>
      <c r="D151" s="137" t="s">
        <v>2</v>
      </c>
      <c r="E151" s="137">
        <v>101.24</v>
      </c>
      <c r="F151" s="137" t="s">
        <v>77</v>
      </c>
      <c r="G151" s="136">
        <v>45740</v>
      </c>
      <c r="H151" s="137" t="s">
        <v>79</v>
      </c>
      <c r="I151" s="137" t="s">
        <v>258</v>
      </c>
      <c r="J151" s="137" t="s">
        <v>259</v>
      </c>
      <c r="K151" s="137"/>
      <c r="L151" s="137"/>
      <c r="M151" s="137"/>
      <c r="N151" s="135"/>
      <c r="O151" s="135" t="s">
        <v>714</v>
      </c>
      <c r="Q151" s="3">
        <f t="shared" si="2"/>
        <v>101.24</v>
      </c>
    </row>
    <row r="152" spans="1:19" x14ac:dyDescent="0.35">
      <c r="A152" s="137" t="s">
        <v>27</v>
      </c>
      <c r="B152" s="137" t="s">
        <v>377</v>
      </c>
      <c r="C152" s="137" t="s">
        <v>1</v>
      </c>
      <c r="D152" s="137" t="s">
        <v>2</v>
      </c>
      <c r="E152" s="137">
        <v>97.65</v>
      </c>
      <c r="F152" s="137" t="s">
        <v>77</v>
      </c>
      <c r="G152" s="136">
        <v>45664</v>
      </c>
      <c r="H152" s="137" t="s">
        <v>79</v>
      </c>
      <c r="I152" s="137" t="s">
        <v>659</v>
      </c>
      <c r="J152" s="137" t="s">
        <v>2116</v>
      </c>
      <c r="K152" s="137"/>
      <c r="L152" s="137"/>
      <c r="M152" s="137"/>
      <c r="N152" s="135"/>
      <c r="O152" s="135" t="s">
        <v>691</v>
      </c>
      <c r="Q152" s="3">
        <f t="shared" si="2"/>
        <v>97.65</v>
      </c>
    </row>
    <row r="153" spans="1:19" x14ac:dyDescent="0.35">
      <c r="A153" s="137" t="s">
        <v>0</v>
      </c>
      <c r="B153" s="137" t="s">
        <v>391</v>
      </c>
      <c r="C153" s="137" t="s">
        <v>1</v>
      </c>
      <c r="D153" s="137" t="s">
        <v>2</v>
      </c>
      <c r="E153" s="137">
        <v>95.77</v>
      </c>
      <c r="F153" s="137" t="s">
        <v>77</v>
      </c>
      <c r="G153" s="136">
        <v>45667</v>
      </c>
      <c r="H153" s="137" t="s">
        <v>78</v>
      </c>
      <c r="I153" s="137" t="s">
        <v>2039</v>
      </c>
      <c r="J153" s="137"/>
      <c r="K153" s="137" t="s">
        <v>2026</v>
      </c>
      <c r="L153" s="137" t="s">
        <v>2395</v>
      </c>
      <c r="M153" s="137" t="s">
        <v>668</v>
      </c>
      <c r="N153" s="135"/>
      <c r="O153" s="135"/>
      <c r="Q153" s="3">
        <f t="shared" si="2"/>
        <v>95.77</v>
      </c>
    </row>
    <row r="154" spans="1:19" x14ac:dyDescent="0.35">
      <c r="A154" s="137" t="s">
        <v>27</v>
      </c>
      <c r="B154" s="137" t="s">
        <v>385</v>
      </c>
      <c r="C154" s="137" t="s">
        <v>1</v>
      </c>
      <c r="D154" s="137" t="s">
        <v>2</v>
      </c>
      <c r="E154" s="137">
        <v>95.45</v>
      </c>
      <c r="F154" s="137" t="s">
        <v>77</v>
      </c>
      <c r="G154" s="136">
        <v>45728</v>
      </c>
      <c r="H154" s="137" t="s">
        <v>79</v>
      </c>
      <c r="I154" s="137" t="s">
        <v>563</v>
      </c>
      <c r="J154" s="137" t="s">
        <v>2303</v>
      </c>
      <c r="K154" s="137"/>
      <c r="L154" s="137"/>
      <c r="M154" s="137"/>
      <c r="N154" s="135"/>
      <c r="O154" s="135" t="s">
        <v>690</v>
      </c>
      <c r="Q154" s="3">
        <f t="shared" si="2"/>
        <v>95.45</v>
      </c>
    </row>
    <row r="155" spans="1:19" x14ac:dyDescent="0.35">
      <c r="A155" s="137" t="s">
        <v>0</v>
      </c>
      <c r="B155" s="137" t="s">
        <v>620</v>
      </c>
      <c r="C155" s="137" t="s">
        <v>1</v>
      </c>
      <c r="D155" s="137" t="s">
        <v>2</v>
      </c>
      <c r="E155" s="137">
        <v>95.13</v>
      </c>
      <c r="F155" s="137" t="s">
        <v>77</v>
      </c>
      <c r="G155" s="136">
        <v>45712</v>
      </c>
      <c r="H155" s="137" t="s">
        <v>78</v>
      </c>
      <c r="I155" s="137" t="s">
        <v>2079</v>
      </c>
      <c r="J155" s="137"/>
      <c r="K155" s="137" t="s">
        <v>2080</v>
      </c>
      <c r="L155" s="137" t="s">
        <v>2081</v>
      </c>
      <c r="M155" s="137" t="s">
        <v>195</v>
      </c>
      <c r="N155" s="135"/>
      <c r="O155" s="135"/>
      <c r="Q155" s="3">
        <f t="shared" si="2"/>
        <v>95.13</v>
      </c>
    </row>
    <row r="156" spans="1:19" x14ac:dyDescent="0.35">
      <c r="A156" s="137" t="s">
        <v>0</v>
      </c>
      <c r="B156" s="137" t="s">
        <v>620</v>
      </c>
      <c r="C156" s="137" t="s">
        <v>1</v>
      </c>
      <c r="D156" s="137" t="s">
        <v>2</v>
      </c>
      <c r="E156" s="137">
        <v>95.13</v>
      </c>
      <c r="F156" s="137" t="s">
        <v>77</v>
      </c>
      <c r="G156" s="136">
        <v>45726</v>
      </c>
      <c r="H156" s="137" t="s">
        <v>78</v>
      </c>
      <c r="I156" s="137" t="s">
        <v>2089</v>
      </c>
      <c r="J156" s="137"/>
      <c r="K156" s="137" t="s">
        <v>2090</v>
      </c>
      <c r="L156" s="137" t="s">
        <v>2091</v>
      </c>
      <c r="M156" s="137" t="s">
        <v>195</v>
      </c>
      <c r="N156" s="135"/>
      <c r="O156" s="135"/>
      <c r="Q156" s="3">
        <f t="shared" si="2"/>
        <v>95.13</v>
      </c>
    </row>
    <row r="157" spans="1:19" x14ac:dyDescent="0.35">
      <c r="A157" s="137" t="s">
        <v>27</v>
      </c>
      <c r="B157" s="137" t="s">
        <v>342</v>
      </c>
      <c r="C157" s="137" t="s">
        <v>1</v>
      </c>
      <c r="D157" s="137" t="s">
        <v>2</v>
      </c>
      <c r="E157" s="137">
        <v>93.64</v>
      </c>
      <c r="F157" s="137" t="s">
        <v>77</v>
      </c>
      <c r="G157" s="136">
        <v>45693</v>
      </c>
      <c r="H157" s="137" t="s">
        <v>79</v>
      </c>
      <c r="I157" s="137" t="s">
        <v>536</v>
      </c>
      <c r="J157" s="137" t="s">
        <v>2197</v>
      </c>
      <c r="K157" s="137"/>
      <c r="L157" s="137"/>
      <c r="M157" s="137"/>
      <c r="N157" s="135"/>
      <c r="O157" s="135" t="s">
        <v>2198</v>
      </c>
      <c r="Q157" s="3">
        <f t="shared" si="2"/>
        <v>93.64</v>
      </c>
    </row>
    <row r="158" spans="1:19" x14ac:dyDescent="0.35">
      <c r="A158" s="137" t="s">
        <v>27</v>
      </c>
      <c r="B158" s="137" t="s">
        <v>347</v>
      </c>
      <c r="C158" s="137" t="s">
        <v>1</v>
      </c>
      <c r="D158" s="137" t="s">
        <v>2</v>
      </c>
      <c r="E158" s="137">
        <v>92.71</v>
      </c>
      <c r="F158" s="137" t="s">
        <v>77</v>
      </c>
      <c r="G158" s="136">
        <v>45736</v>
      </c>
      <c r="H158" s="137" t="s">
        <v>79</v>
      </c>
      <c r="I158" s="137" t="s">
        <v>217</v>
      </c>
      <c r="J158" s="137" t="s">
        <v>2364</v>
      </c>
      <c r="K158" s="137"/>
      <c r="L158" s="137"/>
      <c r="M158" s="137"/>
      <c r="N158" s="135"/>
      <c r="O158" s="135" t="s">
        <v>704</v>
      </c>
      <c r="Q158" s="3">
        <f t="shared" si="2"/>
        <v>92.71</v>
      </c>
    </row>
    <row r="159" spans="1:19" x14ac:dyDescent="0.35">
      <c r="A159" s="137" t="s">
        <v>27</v>
      </c>
      <c r="B159" s="137" t="s">
        <v>496</v>
      </c>
      <c r="C159" s="137" t="s">
        <v>1</v>
      </c>
      <c r="D159" s="137" t="s">
        <v>2</v>
      </c>
      <c r="E159" s="137">
        <v>92.45</v>
      </c>
      <c r="F159" s="137" t="s">
        <v>77</v>
      </c>
      <c r="G159" s="136">
        <v>45740</v>
      </c>
      <c r="H159" s="137" t="s">
        <v>79</v>
      </c>
      <c r="I159" s="137" t="s">
        <v>233</v>
      </c>
      <c r="J159" s="137" t="s">
        <v>2372</v>
      </c>
      <c r="K159" s="137"/>
      <c r="L159" s="137"/>
      <c r="M159" s="137"/>
      <c r="N159" s="135"/>
      <c r="O159" s="135" t="s">
        <v>285</v>
      </c>
      <c r="Q159" s="3">
        <f t="shared" si="2"/>
        <v>92.45</v>
      </c>
    </row>
    <row r="160" spans="1:19" x14ac:dyDescent="0.35">
      <c r="A160" s="137" t="s">
        <v>27</v>
      </c>
      <c r="B160" s="137" t="s">
        <v>588</v>
      </c>
      <c r="C160" s="137" t="s">
        <v>1</v>
      </c>
      <c r="D160" s="137" t="s">
        <v>2</v>
      </c>
      <c r="E160" s="137">
        <v>91.82</v>
      </c>
      <c r="F160" s="137" t="s">
        <v>77</v>
      </c>
      <c r="G160" s="136">
        <v>45737</v>
      </c>
      <c r="H160" s="137" t="s">
        <v>79</v>
      </c>
      <c r="I160" s="137" t="s">
        <v>722</v>
      </c>
      <c r="J160" s="137" t="s">
        <v>2366</v>
      </c>
      <c r="K160" s="137"/>
      <c r="L160" s="137"/>
      <c r="M160" s="137"/>
      <c r="N160" s="135"/>
      <c r="O160" s="135" t="s">
        <v>2367</v>
      </c>
      <c r="Q160" s="3">
        <f t="shared" si="2"/>
        <v>91.82</v>
      </c>
    </row>
    <row r="161" spans="1:19" x14ac:dyDescent="0.35">
      <c r="A161" s="137" t="s">
        <v>27</v>
      </c>
      <c r="B161" s="137" t="s">
        <v>378</v>
      </c>
      <c r="C161" s="137" t="s">
        <v>1</v>
      </c>
      <c r="D161" s="137" t="s">
        <v>2</v>
      </c>
      <c r="E161" s="137">
        <v>91.35</v>
      </c>
      <c r="F161" s="137" t="s">
        <v>77</v>
      </c>
      <c r="G161" s="136">
        <v>45687</v>
      </c>
      <c r="H161" s="137" t="s">
        <v>79</v>
      </c>
      <c r="I161" s="137" t="s">
        <v>157</v>
      </c>
      <c r="J161" s="137" t="s">
        <v>2175</v>
      </c>
      <c r="K161" s="137"/>
      <c r="L161" s="137"/>
      <c r="M161" s="137"/>
      <c r="N161" s="137"/>
      <c r="O161" s="137" t="s">
        <v>2176</v>
      </c>
      <c r="Q161" s="3">
        <f t="shared" si="2"/>
        <v>91.35</v>
      </c>
      <c r="S161" s="48" t="s">
        <v>2504</v>
      </c>
    </row>
    <row r="162" spans="1:19" x14ac:dyDescent="0.35">
      <c r="A162" s="137" t="s">
        <v>0</v>
      </c>
      <c r="B162" s="137" t="s">
        <v>399</v>
      </c>
      <c r="C162" s="137" t="s">
        <v>1</v>
      </c>
      <c r="D162" s="137" t="s">
        <v>2</v>
      </c>
      <c r="E162" s="137">
        <v>90.8</v>
      </c>
      <c r="F162" s="137" t="s">
        <v>77</v>
      </c>
      <c r="G162" s="136">
        <v>45693</v>
      </c>
      <c r="H162" s="137" t="s">
        <v>78</v>
      </c>
      <c r="I162" s="137" t="s">
        <v>2066</v>
      </c>
      <c r="J162" s="137"/>
      <c r="K162" s="137" t="s">
        <v>193</v>
      </c>
      <c r="L162" s="137" t="s">
        <v>2403</v>
      </c>
      <c r="M162" s="137" t="s">
        <v>194</v>
      </c>
      <c r="N162" s="135"/>
      <c r="O162" s="135"/>
      <c r="Q162" s="3">
        <f t="shared" si="2"/>
        <v>90.8</v>
      </c>
    </row>
    <row r="163" spans="1:19" x14ac:dyDescent="0.35">
      <c r="A163" s="137" t="s">
        <v>27</v>
      </c>
      <c r="B163" s="137" t="s">
        <v>557</v>
      </c>
      <c r="C163" s="137" t="s">
        <v>1</v>
      </c>
      <c r="D163" s="137" t="s">
        <v>2</v>
      </c>
      <c r="E163" s="137">
        <v>90.02000000000001</v>
      </c>
      <c r="F163" s="137" t="s">
        <v>77</v>
      </c>
      <c r="G163" s="136">
        <v>45729</v>
      </c>
      <c r="H163" s="137" t="s">
        <v>79</v>
      </c>
      <c r="I163" s="137" t="s">
        <v>258</v>
      </c>
      <c r="J163" s="137" t="s">
        <v>259</v>
      </c>
      <c r="K163" s="137"/>
      <c r="L163" s="137"/>
      <c r="M163" s="137"/>
      <c r="N163" s="135"/>
      <c r="O163" s="135" t="s">
        <v>714</v>
      </c>
      <c r="Q163" s="3">
        <f t="shared" si="2"/>
        <v>90.02000000000001</v>
      </c>
    </row>
    <row r="164" spans="1:19" x14ac:dyDescent="0.35">
      <c r="A164" s="137" t="s">
        <v>27</v>
      </c>
      <c r="B164" s="137" t="s">
        <v>382</v>
      </c>
      <c r="C164" s="137" t="s">
        <v>1</v>
      </c>
      <c r="D164" s="137" t="s">
        <v>2</v>
      </c>
      <c r="E164" s="137">
        <v>89.5</v>
      </c>
      <c r="F164" s="137" t="s">
        <v>77</v>
      </c>
      <c r="G164" s="136">
        <v>45694</v>
      </c>
      <c r="H164" s="137" t="s">
        <v>79</v>
      </c>
      <c r="I164" s="137" t="s">
        <v>234</v>
      </c>
      <c r="J164" s="137" t="s">
        <v>715</v>
      </c>
      <c r="K164" s="137"/>
      <c r="L164" s="137"/>
      <c r="M164" s="137"/>
      <c r="N164" s="137"/>
      <c r="O164" s="137" t="s">
        <v>299</v>
      </c>
      <c r="Q164" s="3">
        <f t="shared" si="2"/>
        <v>89.5</v>
      </c>
    </row>
    <row r="165" spans="1:19" x14ac:dyDescent="0.35">
      <c r="A165" s="137" t="s">
        <v>0</v>
      </c>
      <c r="B165" s="137" t="s">
        <v>382</v>
      </c>
      <c r="C165" s="137" t="s">
        <v>1</v>
      </c>
      <c r="D165" s="137" t="s">
        <v>2</v>
      </c>
      <c r="E165" s="137">
        <v>89.13</v>
      </c>
      <c r="F165" s="137" t="s">
        <v>77</v>
      </c>
      <c r="G165" s="136">
        <v>45677</v>
      </c>
      <c r="H165" s="137" t="s">
        <v>78</v>
      </c>
      <c r="I165" s="137" t="s">
        <v>2053</v>
      </c>
      <c r="J165" s="137"/>
      <c r="K165" s="137" t="s">
        <v>735</v>
      </c>
      <c r="L165" s="137" t="s">
        <v>2054</v>
      </c>
      <c r="M165" s="137" t="s">
        <v>195</v>
      </c>
      <c r="N165" s="135"/>
      <c r="O165" s="135"/>
      <c r="Q165" s="3">
        <f t="shared" si="2"/>
        <v>89.13</v>
      </c>
    </row>
    <row r="166" spans="1:19" x14ac:dyDescent="0.35">
      <c r="A166" s="137" t="s">
        <v>27</v>
      </c>
      <c r="B166" s="137" t="s">
        <v>505</v>
      </c>
      <c r="C166" s="137" t="s">
        <v>1</v>
      </c>
      <c r="D166" s="137" t="s">
        <v>2</v>
      </c>
      <c r="E166" s="137">
        <v>88.45</v>
      </c>
      <c r="F166" s="137" t="s">
        <v>77</v>
      </c>
      <c r="G166" s="136">
        <v>45740</v>
      </c>
      <c r="H166" s="137" t="s">
        <v>79</v>
      </c>
      <c r="I166" s="137" t="s">
        <v>1957</v>
      </c>
      <c r="J166" s="137" t="s">
        <v>2373</v>
      </c>
      <c r="K166" s="137"/>
      <c r="L166" s="137"/>
      <c r="M166" s="137"/>
      <c r="N166" s="135"/>
      <c r="O166" s="135" t="s">
        <v>269</v>
      </c>
      <c r="Q166" s="3">
        <f t="shared" si="2"/>
        <v>88.45</v>
      </c>
    </row>
    <row r="167" spans="1:19" x14ac:dyDescent="0.35">
      <c r="A167" s="137" t="s">
        <v>0</v>
      </c>
      <c r="B167" s="137" t="s">
        <v>382</v>
      </c>
      <c r="C167" s="137" t="s">
        <v>1</v>
      </c>
      <c r="D167" s="137" t="s">
        <v>2</v>
      </c>
      <c r="E167" s="137">
        <v>86.85</v>
      </c>
      <c r="F167" s="137" t="s">
        <v>77</v>
      </c>
      <c r="G167" s="136">
        <v>45712</v>
      </c>
      <c r="H167" s="137" t="s">
        <v>78</v>
      </c>
      <c r="I167" s="137" t="s">
        <v>2082</v>
      </c>
      <c r="J167" s="137"/>
      <c r="K167" s="137" t="s">
        <v>2080</v>
      </c>
      <c r="L167" s="137" t="s">
        <v>2083</v>
      </c>
      <c r="M167" s="137" t="s">
        <v>195</v>
      </c>
      <c r="N167" s="137"/>
      <c r="O167" s="137"/>
      <c r="Q167" s="3">
        <f t="shared" si="2"/>
        <v>86.85</v>
      </c>
    </row>
    <row r="168" spans="1:19" x14ac:dyDescent="0.35">
      <c r="A168" s="137" t="s">
        <v>0</v>
      </c>
      <c r="B168" s="137" t="s">
        <v>342</v>
      </c>
      <c r="C168" s="137" t="s">
        <v>1</v>
      </c>
      <c r="D168" s="137" t="s">
        <v>2</v>
      </c>
      <c r="E168" s="137">
        <v>86.66</v>
      </c>
      <c r="F168" s="137" t="s">
        <v>77</v>
      </c>
      <c r="G168" s="136">
        <v>45712</v>
      </c>
      <c r="H168" s="137" t="s">
        <v>78</v>
      </c>
      <c r="I168" s="137" t="s">
        <v>2082</v>
      </c>
      <c r="J168" s="137"/>
      <c r="K168" s="137" t="s">
        <v>2080</v>
      </c>
      <c r="L168" s="137" t="s">
        <v>2083</v>
      </c>
      <c r="M168" s="137" t="s">
        <v>195</v>
      </c>
      <c r="N168" s="135"/>
      <c r="O168" s="135"/>
      <c r="Q168" s="3">
        <f t="shared" si="2"/>
        <v>86.66</v>
      </c>
    </row>
    <row r="169" spans="1:19" x14ac:dyDescent="0.35">
      <c r="A169" s="137" t="s">
        <v>0</v>
      </c>
      <c r="B169" s="137" t="s">
        <v>529</v>
      </c>
      <c r="C169" s="137" t="s">
        <v>1</v>
      </c>
      <c r="D169" s="137" t="s">
        <v>2</v>
      </c>
      <c r="E169" s="137">
        <v>86.009999999999991</v>
      </c>
      <c r="F169" s="137" t="s">
        <v>77</v>
      </c>
      <c r="G169" s="136">
        <v>45712</v>
      </c>
      <c r="H169" s="137" t="s">
        <v>78</v>
      </c>
      <c r="I169" s="137" t="s">
        <v>2082</v>
      </c>
      <c r="J169" s="137"/>
      <c r="K169" s="137" t="s">
        <v>2080</v>
      </c>
      <c r="L169" s="137" t="s">
        <v>2083</v>
      </c>
      <c r="M169" s="137" t="s">
        <v>195</v>
      </c>
      <c r="N169" s="135"/>
      <c r="O169" s="135"/>
      <c r="Q169" s="3">
        <f t="shared" si="2"/>
        <v>86.009999999999991</v>
      </c>
    </row>
    <row r="170" spans="1:19" x14ac:dyDescent="0.35">
      <c r="A170" s="137" t="s">
        <v>27</v>
      </c>
      <c r="B170" s="137" t="s">
        <v>427</v>
      </c>
      <c r="C170" s="137" t="s">
        <v>1</v>
      </c>
      <c r="D170" s="137" t="s">
        <v>2</v>
      </c>
      <c r="E170" s="137">
        <v>84.59</v>
      </c>
      <c r="F170" s="137" t="s">
        <v>77</v>
      </c>
      <c r="G170" s="136">
        <v>45729</v>
      </c>
      <c r="H170" s="137" t="s">
        <v>79</v>
      </c>
      <c r="I170" s="137" t="s">
        <v>695</v>
      </c>
      <c r="J170" s="137" t="s">
        <v>2311</v>
      </c>
      <c r="K170" s="137"/>
      <c r="L170" s="137"/>
      <c r="M170" s="137"/>
      <c r="N170" s="135"/>
      <c r="O170" s="135" t="s">
        <v>2312</v>
      </c>
      <c r="Q170" s="3">
        <f t="shared" si="2"/>
        <v>84.59</v>
      </c>
    </row>
    <row r="171" spans="1:19" x14ac:dyDescent="0.35">
      <c r="A171" s="137" t="s">
        <v>0</v>
      </c>
      <c r="B171" s="137" t="s">
        <v>317</v>
      </c>
      <c r="C171" s="137" t="s">
        <v>1</v>
      </c>
      <c r="D171" s="137" t="s">
        <v>2</v>
      </c>
      <c r="E171" s="137">
        <v>84.42</v>
      </c>
      <c r="F171" s="137" t="s">
        <v>77</v>
      </c>
      <c r="G171" s="136">
        <v>45726</v>
      </c>
      <c r="H171" s="137" t="s">
        <v>78</v>
      </c>
      <c r="I171" s="137" t="s">
        <v>2092</v>
      </c>
      <c r="J171" s="137"/>
      <c r="K171" s="137" t="s">
        <v>2090</v>
      </c>
      <c r="L171" s="137" t="s">
        <v>2093</v>
      </c>
      <c r="M171" s="137" t="s">
        <v>195</v>
      </c>
      <c r="N171" s="135"/>
      <c r="O171" s="135"/>
      <c r="Q171" s="3">
        <f t="shared" si="2"/>
        <v>84.42</v>
      </c>
    </row>
    <row r="172" spans="1:19" x14ac:dyDescent="0.35">
      <c r="A172" s="137" t="s">
        <v>0</v>
      </c>
      <c r="B172" s="137" t="s">
        <v>529</v>
      </c>
      <c r="C172" s="137" t="s">
        <v>1</v>
      </c>
      <c r="D172" s="137" t="s">
        <v>2</v>
      </c>
      <c r="E172" s="137">
        <v>83.65</v>
      </c>
      <c r="F172" s="137" t="s">
        <v>77</v>
      </c>
      <c r="G172" s="136">
        <v>45726</v>
      </c>
      <c r="H172" s="137" t="s">
        <v>78</v>
      </c>
      <c r="I172" s="137" t="s">
        <v>2092</v>
      </c>
      <c r="J172" s="137"/>
      <c r="K172" s="137" t="s">
        <v>2090</v>
      </c>
      <c r="L172" s="137" t="s">
        <v>2093</v>
      </c>
      <c r="M172" s="137" t="s">
        <v>195</v>
      </c>
      <c r="N172" s="135"/>
      <c r="O172" s="135"/>
      <c r="Q172" s="3">
        <f t="shared" si="2"/>
        <v>83.65</v>
      </c>
    </row>
    <row r="173" spans="1:19" x14ac:dyDescent="0.35">
      <c r="A173" s="137" t="s">
        <v>0</v>
      </c>
      <c r="B173" s="137" t="s">
        <v>481</v>
      </c>
      <c r="C173" s="137" t="s">
        <v>1</v>
      </c>
      <c r="D173" s="137" t="s">
        <v>2</v>
      </c>
      <c r="E173" s="137">
        <v>81.88</v>
      </c>
      <c r="F173" s="137" t="s">
        <v>77</v>
      </c>
      <c r="G173" s="136">
        <v>45726</v>
      </c>
      <c r="H173" s="137" t="s">
        <v>78</v>
      </c>
      <c r="I173" s="137" t="s">
        <v>2092</v>
      </c>
      <c r="J173" s="137"/>
      <c r="K173" s="137" t="s">
        <v>2090</v>
      </c>
      <c r="L173" s="137" t="s">
        <v>2093</v>
      </c>
      <c r="M173" s="137" t="s">
        <v>195</v>
      </c>
      <c r="N173" s="135"/>
      <c r="O173" s="135"/>
      <c r="Q173" s="3">
        <f t="shared" si="2"/>
        <v>81.88</v>
      </c>
    </row>
    <row r="174" spans="1:19" x14ac:dyDescent="0.35">
      <c r="A174" s="137" t="s">
        <v>27</v>
      </c>
      <c r="B174" s="137" t="s">
        <v>588</v>
      </c>
      <c r="C174" s="137" t="s">
        <v>1</v>
      </c>
      <c r="D174" s="137" t="s">
        <v>2</v>
      </c>
      <c r="E174" s="137">
        <v>81.819999999999993</v>
      </c>
      <c r="F174" s="137" t="s">
        <v>77</v>
      </c>
      <c r="G174" s="136">
        <v>45735</v>
      </c>
      <c r="H174" s="137" t="s">
        <v>79</v>
      </c>
      <c r="I174" s="137" t="s">
        <v>246</v>
      </c>
      <c r="J174" s="137" t="s">
        <v>2329</v>
      </c>
      <c r="K174" s="137"/>
      <c r="L174" s="137"/>
      <c r="M174" s="135" t="s">
        <v>738</v>
      </c>
      <c r="N174" s="135"/>
      <c r="Q174" s="3">
        <f t="shared" si="2"/>
        <v>81.819999999999993</v>
      </c>
    </row>
    <row r="175" spans="1:19" x14ac:dyDescent="0.35">
      <c r="A175" s="137" t="s">
        <v>0</v>
      </c>
      <c r="B175" s="137" t="s">
        <v>560</v>
      </c>
      <c r="C175" s="137" t="s">
        <v>1</v>
      </c>
      <c r="D175" s="137" t="s">
        <v>2</v>
      </c>
      <c r="E175" s="137">
        <v>81.459999999999994</v>
      </c>
      <c r="F175" s="137" t="s">
        <v>77</v>
      </c>
      <c r="G175" s="136">
        <v>45712</v>
      </c>
      <c r="H175" s="137" t="s">
        <v>78</v>
      </c>
      <c r="I175" s="137" t="s">
        <v>2079</v>
      </c>
      <c r="J175" s="137"/>
      <c r="K175" s="137" t="s">
        <v>2080</v>
      </c>
      <c r="L175" s="137" t="s">
        <v>2081</v>
      </c>
      <c r="M175" s="137" t="s">
        <v>195</v>
      </c>
      <c r="Q175" s="3">
        <f t="shared" si="2"/>
        <v>81.459999999999994</v>
      </c>
    </row>
    <row r="176" spans="1:19" x14ac:dyDescent="0.35">
      <c r="A176" s="137" t="s">
        <v>0</v>
      </c>
      <c r="B176" s="137" t="s">
        <v>560</v>
      </c>
      <c r="C176" s="137" t="s">
        <v>1</v>
      </c>
      <c r="D176" s="137" t="s">
        <v>2</v>
      </c>
      <c r="E176" s="137">
        <v>81.459999999999994</v>
      </c>
      <c r="F176" s="137" t="s">
        <v>77</v>
      </c>
      <c r="G176" s="136">
        <v>45726</v>
      </c>
      <c r="H176" s="137" t="s">
        <v>78</v>
      </c>
      <c r="I176" s="137" t="s">
        <v>2089</v>
      </c>
      <c r="J176" s="137"/>
      <c r="K176" s="137" t="s">
        <v>2090</v>
      </c>
      <c r="L176" s="137" t="s">
        <v>2091</v>
      </c>
      <c r="M176" s="137" t="s">
        <v>195</v>
      </c>
      <c r="Q176" s="3">
        <f t="shared" si="2"/>
        <v>81.459999999999994</v>
      </c>
    </row>
    <row r="177" spans="1:17" x14ac:dyDescent="0.35">
      <c r="A177" s="137" t="s">
        <v>0</v>
      </c>
      <c r="B177" s="137" t="s">
        <v>560</v>
      </c>
      <c r="C177" s="137" t="s">
        <v>1</v>
      </c>
      <c r="D177" s="137" t="s">
        <v>2</v>
      </c>
      <c r="E177" s="137">
        <v>81.430000000000007</v>
      </c>
      <c r="F177" s="137" t="s">
        <v>77</v>
      </c>
      <c r="G177" s="136">
        <v>45677</v>
      </c>
      <c r="H177" s="137" t="s">
        <v>78</v>
      </c>
      <c r="I177" s="137" t="s">
        <v>2051</v>
      </c>
      <c r="J177" s="137"/>
      <c r="K177" s="137" t="s">
        <v>735</v>
      </c>
      <c r="L177" s="137" t="s">
        <v>2052</v>
      </c>
      <c r="M177" s="137" t="s">
        <v>195</v>
      </c>
      <c r="Q177" s="3">
        <f t="shared" si="2"/>
        <v>81.430000000000007</v>
      </c>
    </row>
    <row r="178" spans="1:17" x14ac:dyDescent="0.35">
      <c r="A178" s="137" t="s">
        <v>27</v>
      </c>
      <c r="B178" s="137" t="s">
        <v>615</v>
      </c>
      <c r="C178" s="137" t="s">
        <v>1</v>
      </c>
      <c r="D178" s="137" t="s">
        <v>2</v>
      </c>
      <c r="E178" s="137">
        <v>80.91</v>
      </c>
      <c r="F178" s="137" t="s">
        <v>77</v>
      </c>
      <c r="G178" s="136">
        <v>45694</v>
      </c>
      <c r="H178" s="137" t="s">
        <v>79</v>
      </c>
      <c r="I178" s="137" t="s">
        <v>825</v>
      </c>
      <c r="J178" s="137" t="s">
        <v>2206</v>
      </c>
      <c r="K178" s="137"/>
      <c r="L178" s="137"/>
      <c r="M178" s="137" t="s">
        <v>674</v>
      </c>
      <c r="N178" s="137"/>
      <c r="Q178" s="3">
        <f t="shared" si="2"/>
        <v>80.91</v>
      </c>
    </row>
    <row r="179" spans="1:17" x14ac:dyDescent="0.35">
      <c r="A179" s="137" t="s">
        <v>27</v>
      </c>
      <c r="B179" s="137" t="s">
        <v>496</v>
      </c>
      <c r="C179" s="137" t="s">
        <v>1</v>
      </c>
      <c r="D179" s="137" t="s">
        <v>2</v>
      </c>
      <c r="E179" s="137">
        <v>78.180000000000007</v>
      </c>
      <c r="F179" s="137" t="s">
        <v>77</v>
      </c>
      <c r="G179" s="136">
        <v>45722</v>
      </c>
      <c r="H179" s="137" t="s">
        <v>79</v>
      </c>
      <c r="I179" s="137" t="s">
        <v>689</v>
      </c>
      <c r="J179" s="137" t="s">
        <v>2276</v>
      </c>
      <c r="K179" s="137"/>
      <c r="L179" s="137"/>
      <c r="M179" s="135" t="s">
        <v>2277</v>
      </c>
      <c r="N179" s="135"/>
      <c r="Q179" s="3">
        <f t="shared" si="2"/>
        <v>78.180000000000007</v>
      </c>
    </row>
    <row r="180" spans="1:17" x14ac:dyDescent="0.35">
      <c r="A180" s="137" t="s">
        <v>27</v>
      </c>
      <c r="B180" s="137" t="s">
        <v>382</v>
      </c>
      <c r="C180" s="137" t="s">
        <v>1</v>
      </c>
      <c r="D180" s="137" t="s">
        <v>2</v>
      </c>
      <c r="E180" s="137">
        <v>77.95</v>
      </c>
      <c r="F180" s="137" t="s">
        <v>77</v>
      </c>
      <c r="G180" s="136">
        <v>45705</v>
      </c>
      <c r="H180" s="137" t="s">
        <v>79</v>
      </c>
      <c r="I180" s="137" t="s">
        <v>234</v>
      </c>
      <c r="J180" s="137" t="s">
        <v>715</v>
      </c>
      <c r="K180" s="137"/>
      <c r="L180" s="137"/>
      <c r="M180" s="135" t="s">
        <v>299</v>
      </c>
      <c r="N180" s="135"/>
      <c r="Q180" s="3">
        <f t="shared" si="2"/>
        <v>77.95</v>
      </c>
    </row>
    <row r="181" spans="1:17" x14ac:dyDescent="0.35">
      <c r="A181" s="137" t="s">
        <v>27</v>
      </c>
      <c r="B181" s="137" t="s">
        <v>321</v>
      </c>
      <c r="C181" s="137" t="s">
        <v>1</v>
      </c>
      <c r="D181" s="137" t="s">
        <v>2</v>
      </c>
      <c r="E181" s="137">
        <v>77.819999999999993</v>
      </c>
      <c r="F181" s="137" t="s">
        <v>77</v>
      </c>
      <c r="G181" s="136">
        <v>45694</v>
      </c>
      <c r="H181" s="137" t="s">
        <v>79</v>
      </c>
      <c r="I181" s="137" t="s">
        <v>213</v>
      </c>
      <c r="J181" s="137" t="s">
        <v>219</v>
      </c>
      <c r="K181" s="137"/>
      <c r="L181" s="137"/>
      <c r="M181" s="135" t="s">
        <v>282</v>
      </c>
      <c r="N181" s="135"/>
      <c r="Q181" s="3">
        <f t="shared" si="2"/>
        <v>77.819999999999993</v>
      </c>
    </row>
    <row r="182" spans="1:17" x14ac:dyDescent="0.35">
      <c r="A182" s="137" t="s">
        <v>0</v>
      </c>
      <c r="B182" s="137" t="s">
        <v>327</v>
      </c>
      <c r="C182" s="137" t="s">
        <v>1</v>
      </c>
      <c r="D182" s="137" t="s">
        <v>2</v>
      </c>
      <c r="E182" s="137">
        <v>76.08</v>
      </c>
      <c r="F182" s="137" t="s">
        <v>77</v>
      </c>
      <c r="G182" s="136">
        <v>45726</v>
      </c>
      <c r="H182" s="137" t="s">
        <v>78</v>
      </c>
      <c r="I182" s="137" t="s">
        <v>2092</v>
      </c>
      <c r="J182" s="137"/>
      <c r="K182" s="137" t="s">
        <v>2090</v>
      </c>
      <c r="L182" s="137" t="s">
        <v>2093</v>
      </c>
      <c r="M182" s="137" t="s">
        <v>195</v>
      </c>
      <c r="N182" s="135"/>
      <c r="O182" s="135"/>
      <c r="Q182" s="3">
        <f t="shared" si="2"/>
        <v>76.08</v>
      </c>
    </row>
    <row r="183" spans="1:17" x14ac:dyDescent="0.35">
      <c r="A183" s="137" t="s">
        <v>27</v>
      </c>
      <c r="B183" s="137" t="s">
        <v>496</v>
      </c>
      <c r="C183" s="137" t="s">
        <v>1</v>
      </c>
      <c r="D183" s="137" t="s">
        <v>2</v>
      </c>
      <c r="E183" s="137">
        <v>75.989999999999995</v>
      </c>
      <c r="F183" s="137" t="s">
        <v>77</v>
      </c>
      <c r="G183" s="136">
        <v>45744</v>
      </c>
      <c r="H183" s="137" t="s">
        <v>79</v>
      </c>
      <c r="I183" s="137" t="s">
        <v>224</v>
      </c>
      <c r="J183" s="137" t="s">
        <v>225</v>
      </c>
      <c r="K183" s="137"/>
      <c r="L183" s="137"/>
      <c r="M183" s="137"/>
      <c r="N183" s="137"/>
      <c r="O183" s="137" t="s">
        <v>301</v>
      </c>
      <c r="Q183" s="3">
        <f t="shared" si="2"/>
        <v>75.989999999999995</v>
      </c>
    </row>
    <row r="184" spans="1:17" x14ac:dyDescent="0.35">
      <c r="A184" s="137" t="s">
        <v>0</v>
      </c>
      <c r="B184" s="137" t="s">
        <v>663</v>
      </c>
      <c r="C184" s="137" t="s">
        <v>1</v>
      </c>
      <c r="D184" s="137" t="s">
        <v>2</v>
      </c>
      <c r="E184" s="137">
        <v>75.25</v>
      </c>
      <c r="F184" s="137" t="s">
        <v>77</v>
      </c>
      <c r="G184" s="136">
        <v>45712</v>
      </c>
      <c r="H184" s="137" t="s">
        <v>78</v>
      </c>
      <c r="I184" s="137" t="s">
        <v>2082</v>
      </c>
      <c r="J184" s="137"/>
      <c r="K184" s="137" t="s">
        <v>2080</v>
      </c>
      <c r="L184" s="137" t="s">
        <v>2083</v>
      </c>
      <c r="M184" s="137" t="s">
        <v>195</v>
      </c>
      <c r="N184" s="137"/>
      <c r="O184" s="137"/>
      <c r="Q184" s="3">
        <f t="shared" si="2"/>
        <v>75.25</v>
      </c>
    </row>
    <row r="185" spans="1:17" x14ac:dyDescent="0.35">
      <c r="A185" s="137" t="s">
        <v>27</v>
      </c>
      <c r="B185" s="137" t="s">
        <v>421</v>
      </c>
      <c r="C185" s="137" t="s">
        <v>1</v>
      </c>
      <c r="D185" s="137" t="s">
        <v>2</v>
      </c>
      <c r="E185" s="137">
        <v>75.239999999999995</v>
      </c>
      <c r="F185" s="137" t="s">
        <v>77</v>
      </c>
      <c r="G185" s="136">
        <v>45685</v>
      </c>
      <c r="H185" s="137" t="s">
        <v>79</v>
      </c>
      <c r="I185" s="137" t="s">
        <v>402</v>
      </c>
      <c r="J185" s="137" t="s">
        <v>2167</v>
      </c>
      <c r="K185" s="137"/>
      <c r="L185" s="137"/>
      <c r="M185" s="137"/>
      <c r="N185" s="135"/>
      <c r="O185" s="135" t="s">
        <v>2168</v>
      </c>
      <c r="Q185" s="3">
        <f t="shared" si="2"/>
        <v>75.239999999999995</v>
      </c>
    </row>
    <row r="186" spans="1:17" x14ac:dyDescent="0.35">
      <c r="A186" s="137" t="s">
        <v>27</v>
      </c>
      <c r="B186" s="137" t="s">
        <v>471</v>
      </c>
      <c r="C186" s="137" t="s">
        <v>1</v>
      </c>
      <c r="D186" s="137" t="s">
        <v>2</v>
      </c>
      <c r="E186" s="137">
        <v>74.91</v>
      </c>
      <c r="F186" s="137" t="s">
        <v>77</v>
      </c>
      <c r="G186" s="136">
        <v>45720</v>
      </c>
      <c r="H186" s="137" t="s">
        <v>79</v>
      </c>
      <c r="I186" s="137" t="s">
        <v>253</v>
      </c>
      <c r="J186" s="137" t="s">
        <v>193</v>
      </c>
      <c r="K186" s="137"/>
      <c r="L186" s="137"/>
      <c r="M186" s="137"/>
      <c r="N186" s="135"/>
      <c r="O186" s="135" t="s">
        <v>283</v>
      </c>
      <c r="Q186" s="3">
        <f t="shared" si="2"/>
        <v>74.91</v>
      </c>
    </row>
    <row r="187" spans="1:17" x14ac:dyDescent="0.35">
      <c r="A187" s="137" t="s">
        <v>27</v>
      </c>
      <c r="B187" s="137" t="s">
        <v>480</v>
      </c>
      <c r="C187" s="137" t="s">
        <v>1</v>
      </c>
      <c r="D187" s="137" t="s">
        <v>2</v>
      </c>
      <c r="E187" s="137">
        <v>74.239999999999995</v>
      </c>
      <c r="F187" s="137" t="s">
        <v>77</v>
      </c>
      <c r="G187" s="136">
        <v>45726</v>
      </c>
      <c r="H187" s="137" t="s">
        <v>79</v>
      </c>
      <c r="I187" s="137" t="s">
        <v>682</v>
      </c>
      <c r="J187" s="137" t="s">
        <v>683</v>
      </c>
      <c r="K187" s="137"/>
      <c r="L187" s="137"/>
      <c r="M187" s="137"/>
      <c r="N187" s="135"/>
      <c r="O187" s="135" t="s">
        <v>684</v>
      </c>
      <c r="Q187" s="3">
        <f t="shared" si="2"/>
        <v>74.239999999999995</v>
      </c>
    </row>
    <row r="188" spans="1:17" x14ac:dyDescent="0.35">
      <c r="A188" s="137" t="s">
        <v>0</v>
      </c>
      <c r="B188" s="137" t="s">
        <v>339</v>
      </c>
      <c r="C188" s="137" t="s">
        <v>1</v>
      </c>
      <c r="D188" s="137" t="s">
        <v>2</v>
      </c>
      <c r="E188" s="137">
        <v>74</v>
      </c>
      <c r="F188" s="137" t="s">
        <v>77</v>
      </c>
      <c r="G188" s="136">
        <v>45670</v>
      </c>
      <c r="H188" s="137" t="s">
        <v>78</v>
      </c>
      <c r="I188" s="137" t="s">
        <v>2043</v>
      </c>
      <c r="J188" s="137"/>
      <c r="K188" s="137" t="s">
        <v>2044</v>
      </c>
      <c r="L188" s="137" t="s">
        <v>2045</v>
      </c>
      <c r="M188" s="137" t="s">
        <v>232</v>
      </c>
      <c r="N188" s="135"/>
      <c r="O188" s="135"/>
      <c r="Q188" s="3">
        <f t="shared" si="2"/>
        <v>74</v>
      </c>
    </row>
    <row r="189" spans="1:17" x14ac:dyDescent="0.35">
      <c r="A189" s="137" t="s">
        <v>0</v>
      </c>
      <c r="B189" s="137" t="s">
        <v>342</v>
      </c>
      <c r="C189" s="137" t="s">
        <v>1</v>
      </c>
      <c r="D189" s="137" t="s">
        <v>2</v>
      </c>
      <c r="E189" s="137">
        <v>72.53</v>
      </c>
      <c r="F189" s="137" t="s">
        <v>77</v>
      </c>
      <c r="G189" s="136">
        <v>45677</v>
      </c>
      <c r="H189" s="137" t="s">
        <v>78</v>
      </c>
      <c r="I189" s="137" t="s">
        <v>2053</v>
      </c>
      <c r="J189" s="137"/>
      <c r="K189" s="137" t="s">
        <v>735</v>
      </c>
      <c r="L189" s="137" t="s">
        <v>2054</v>
      </c>
      <c r="M189" s="137" t="s">
        <v>195</v>
      </c>
      <c r="N189" s="31"/>
      <c r="O189" s="31"/>
      <c r="Q189" s="3">
        <f t="shared" si="2"/>
        <v>72.53</v>
      </c>
    </row>
    <row r="190" spans="1:17" x14ac:dyDescent="0.35">
      <c r="A190" s="137" t="s">
        <v>0</v>
      </c>
      <c r="B190" s="137" t="s">
        <v>317</v>
      </c>
      <c r="C190" s="137" t="s">
        <v>1</v>
      </c>
      <c r="D190" s="137" t="s">
        <v>2</v>
      </c>
      <c r="E190" s="137">
        <v>72.48</v>
      </c>
      <c r="F190" s="137" t="s">
        <v>77</v>
      </c>
      <c r="G190" s="136">
        <v>45677</v>
      </c>
      <c r="H190" s="137" t="s">
        <v>78</v>
      </c>
      <c r="I190" s="137" t="s">
        <v>2051</v>
      </c>
      <c r="J190" s="137"/>
      <c r="K190" s="137" t="s">
        <v>735</v>
      </c>
      <c r="L190" s="137" t="s">
        <v>2052</v>
      </c>
      <c r="M190" s="137" t="s">
        <v>195</v>
      </c>
      <c r="N190" s="135"/>
      <c r="O190" s="135"/>
      <c r="Q190" s="3">
        <f t="shared" si="2"/>
        <v>72.48</v>
      </c>
    </row>
    <row r="191" spans="1:17" x14ac:dyDescent="0.35">
      <c r="A191" s="137" t="s">
        <v>27</v>
      </c>
      <c r="B191" s="137" t="s">
        <v>382</v>
      </c>
      <c r="C191" s="137" t="s">
        <v>1</v>
      </c>
      <c r="D191" s="137" t="s">
        <v>2</v>
      </c>
      <c r="E191" s="137">
        <v>71.05</v>
      </c>
      <c r="F191" s="137" t="s">
        <v>77</v>
      </c>
      <c r="G191" s="136">
        <v>45667</v>
      </c>
      <c r="H191" s="137" t="s">
        <v>79</v>
      </c>
      <c r="I191" s="137" t="s">
        <v>234</v>
      </c>
      <c r="J191" s="137" t="s">
        <v>235</v>
      </c>
      <c r="K191" s="137"/>
      <c r="L191" s="137"/>
      <c r="M191" s="137"/>
      <c r="N191" s="135"/>
      <c r="O191" s="135" t="s">
        <v>299</v>
      </c>
      <c r="Q191" s="3">
        <f t="shared" si="2"/>
        <v>71.05</v>
      </c>
    </row>
    <row r="192" spans="1:17" x14ac:dyDescent="0.35">
      <c r="A192" s="137" t="s">
        <v>0</v>
      </c>
      <c r="B192" s="137" t="s">
        <v>663</v>
      </c>
      <c r="C192" s="137" t="s">
        <v>1</v>
      </c>
      <c r="D192" s="137" t="s">
        <v>2</v>
      </c>
      <c r="E192" s="137">
        <v>70.790000000000006</v>
      </c>
      <c r="F192" s="137" t="s">
        <v>77</v>
      </c>
      <c r="G192" s="136">
        <v>45677</v>
      </c>
      <c r="H192" s="137" t="s">
        <v>78</v>
      </c>
      <c r="I192" s="137" t="s">
        <v>2053</v>
      </c>
      <c r="J192" s="137"/>
      <c r="K192" s="137" t="s">
        <v>735</v>
      </c>
      <c r="L192" s="137" t="s">
        <v>2054</v>
      </c>
      <c r="M192" s="137" t="s">
        <v>195</v>
      </c>
      <c r="N192" s="135"/>
      <c r="O192" s="135"/>
      <c r="Q192" s="3">
        <f t="shared" si="2"/>
        <v>70.790000000000006</v>
      </c>
    </row>
    <row r="193" spans="1:19" x14ac:dyDescent="0.35">
      <c r="A193" s="137" t="s">
        <v>27</v>
      </c>
      <c r="B193" s="137" t="s">
        <v>347</v>
      </c>
      <c r="C193" s="137" t="s">
        <v>1</v>
      </c>
      <c r="D193" s="137" t="s">
        <v>2</v>
      </c>
      <c r="E193" s="137">
        <v>70.040000000000006</v>
      </c>
      <c r="F193" s="137" t="s">
        <v>77</v>
      </c>
      <c r="G193" s="136">
        <v>45712</v>
      </c>
      <c r="H193" s="137" t="s">
        <v>79</v>
      </c>
      <c r="I193" s="137" t="s">
        <v>157</v>
      </c>
      <c r="J193" s="137" t="s">
        <v>2175</v>
      </c>
      <c r="K193" s="137"/>
      <c r="L193" s="137"/>
      <c r="M193" s="137"/>
      <c r="N193" s="135"/>
      <c r="O193" s="135" t="s">
        <v>2176</v>
      </c>
      <c r="Q193" s="3">
        <f t="shared" si="2"/>
        <v>70.040000000000006</v>
      </c>
    </row>
    <row r="194" spans="1:19" x14ac:dyDescent="0.35">
      <c r="A194" s="137" t="s">
        <v>0</v>
      </c>
      <c r="B194" s="137" t="s">
        <v>434</v>
      </c>
      <c r="C194" s="137" t="s">
        <v>1</v>
      </c>
      <c r="D194" s="137" t="s">
        <v>2</v>
      </c>
      <c r="E194" s="137">
        <v>68.23</v>
      </c>
      <c r="F194" s="137" t="s">
        <v>77</v>
      </c>
      <c r="G194" s="136">
        <v>45712</v>
      </c>
      <c r="H194" s="137" t="s">
        <v>78</v>
      </c>
      <c r="I194" s="137" t="s">
        <v>2079</v>
      </c>
      <c r="J194" s="137"/>
      <c r="K194" s="137" t="s">
        <v>2080</v>
      </c>
      <c r="L194" s="137" t="s">
        <v>2081</v>
      </c>
      <c r="M194" s="137" t="s">
        <v>195</v>
      </c>
      <c r="Q194" s="3">
        <f t="shared" si="2"/>
        <v>68.23</v>
      </c>
    </row>
    <row r="195" spans="1:19" x14ac:dyDescent="0.35">
      <c r="A195" s="137" t="s">
        <v>0</v>
      </c>
      <c r="B195" s="137" t="s">
        <v>434</v>
      </c>
      <c r="C195" s="137" t="s">
        <v>1</v>
      </c>
      <c r="D195" s="137" t="s">
        <v>2</v>
      </c>
      <c r="E195" s="137">
        <v>68.23</v>
      </c>
      <c r="F195" s="137" t="s">
        <v>77</v>
      </c>
      <c r="G195" s="136">
        <v>45726</v>
      </c>
      <c r="H195" s="137" t="s">
        <v>78</v>
      </c>
      <c r="I195" s="137" t="s">
        <v>2089</v>
      </c>
      <c r="J195" s="137"/>
      <c r="K195" s="137" t="s">
        <v>2090</v>
      </c>
      <c r="L195" s="137" t="s">
        <v>2091</v>
      </c>
      <c r="M195" s="137" t="s">
        <v>195</v>
      </c>
      <c r="Q195" s="3">
        <f t="shared" si="2"/>
        <v>68.23</v>
      </c>
    </row>
    <row r="196" spans="1:19" x14ac:dyDescent="0.35">
      <c r="A196" s="137" t="s">
        <v>0</v>
      </c>
      <c r="B196" s="137" t="s">
        <v>434</v>
      </c>
      <c r="C196" s="137" t="s">
        <v>1</v>
      </c>
      <c r="D196" s="137" t="s">
        <v>2</v>
      </c>
      <c r="E196" s="137">
        <v>68.2</v>
      </c>
      <c r="F196" s="137" t="s">
        <v>77</v>
      </c>
      <c r="G196" s="136">
        <v>45677</v>
      </c>
      <c r="H196" s="137" t="s">
        <v>78</v>
      </c>
      <c r="I196" s="137" t="s">
        <v>2051</v>
      </c>
      <c r="J196" s="137"/>
      <c r="K196" s="137" t="s">
        <v>735</v>
      </c>
      <c r="L196" s="137" t="s">
        <v>2052</v>
      </c>
      <c r="M196" s="137" t="s">
        <v>195</v>
      </c>
      <c r="Q196" s="3">
        <f t="shared" si="2"/>
        <v>68.2</v>
      </c>
    </row>
    <row r="197" spans="1:19" x14ac:dyDescent="0.35">
      <c r="A197" s="137" t="s">
        <v>0</v>
      </c>
      <c r="B197" s="137" t="s">
        <v>352</v>
      </c>
      <c r="C197" s="137" t="s">
        <v>1</v>
      </c>
      <c r="D197" s="137" t="s">
        <v>2</v>
      </c>
      <c r="E197" s="137">
        <v>67.67</v>
      </c>
      <c r="F197" s="137" t="s">
        <v>77</v>
      </c>
      <c r="G197" s="136">
        <v>45712</v>
      </c>
      <c r="H197" s="137" t="s">
        <v>78</v>
      </c>
      <c r="I197" s="137" t="s">
        <v>2082</v>
      </c>
      <c r="J197" s="137"/>
      <c r="K197" s="137" t="s">
        <v>2080</v>
      </c>
      <c r="L197" s="137" t="s">
        <v>2083</v>
      </c>
      <c r="M197" s="137" t="s">
        <v>195</v>
      </c>
      <c r="N197" s="135"/>
      <c r="O197" s="135"/>
      <c r="Q197" s="3">
        <f t="shared" si="2"/>
        <v>67.67</v>
      </c>
    </row>
    <row r="198" spans="1:19" ht="29" x14ac:dyDescent="0.35">
      <c r="A198" s="137" t="s">
        <v>27</v>
      </c>
      <c r="B198" s="137" t="s">
        <v>382</v>
      </c>
      <c r="C198" s="137" t="s">
        <v>1</v>
      </c>
      <c r="D198" s="137" t="s">
        <v>2</v>
      </c>
      <c r="E198" s="137">
        <v>66.22</v>
      </c>
      <c r="F198" s="137" t="s">
        <v>77</v>
      </c>
      <c r="G198" s="136">
        <v>45736</v>
      </c>
      <c r="H198" s="137" t="s">
        <v>79</v>
      </c>
      <c r="I198" s="137" t="s">
        <v>131</v>
      </c>
      <c r="J198" s="137" t="s">
        <v>2339</v>
      </c>
      <c r="K198" s="137"/>
      <c r="L198" s="137"/>
      <c r="M198" s="137"/>
      <c r="N198" s="135"/>
      <c r="O198" s="135" t="s">
        <v>2342</v>
      </c>
      <c r="Q198" s="3">
        <f t="shared" si="2"/>
        <v>66.22</v>
      </c>
      <c r="S198" s="48" t="s">
        <v>2452</v>
      </c>
    </row>
    <row r="199" spans="1:19" x14ac:dyDescent="0.35">
      <c r="A199" s="137" t="s">
        <v>0</v>
      </c>
      <c r="B199" s="137" t="s">
        <v>352</v>
      </c>
      <c r="C199" s="137" t="s">
        <v>1</v>
      </c>
      <c r="D199" s="137" t="s">
        <v>2</v>
      </c>
      <c r="E199" s="137">
        <v>64.989999999999995</v>
      </c>
      <c r="F199" s="137" t="s">
        <v>77</v>
      </c>
      <c r="G199" s="136">
        <v>45726</v>
      </c>
      <c r="H199" s="137" t="s">
        <v>78</v>
      </c>
      <c r="I199" s="137" t="s">
        <v>2092</v>
      </c>
      <c r="J199" s="137"/>
      <c r="K199" s="137" t="s">
        <v>2090</v>
      </c>
      <c r="L199" s="137" t="s">
        <v>2093</v>
      </c>
      <c r="M199" s="137" t="s">
        <v>195</v>
      </c>
      <c r="N199" s="135"/>
      <c r="O199" s="135"/>
      <c r="Q199" s="3">
        <f t="shared" si="2"/>
        <v>64.989999999999995</v>
      </c>
    </row>
    <row r="200" spans="1:19" x14ac:dyDescent="0.35">
      <c r="A200" s="137" t="s">
        <v>0</v>
      </c>
      <c r="B200" s="137" t="s">
        <v>379</v>
      </c>
      <c r="C200" s="137" t="s">
        <v>1</v>
      </c>
      <c r="D200" s="137" t="s">
        <v>2</v>
      </c>
      <c r="E200" s="137">
        <v>64.25</v>
      </c>
      <c r="F200" s="137" t="s">
        <v>77</v>
      </c>
      <c r="G200" s="136">
        <v>45712</v>
      </c>
      <c r="H200" s="137" t="s">
        <v>78</v>
      </c>
      <c r="I200" s="137" t="s">
        <v>2079</v>
      </c>
      <c r="J200" s="137"/>
      <c r="K200" s="137" t="s">
        <v>2080</v>
      </c>
      <c r="L200" s="137" t="s">
        <v>2081</v>
      </c>
      <c r="M200" s="137" t="s">
        <v>195</v>
      </c>
      <c r="Q200" s="3">
        <f t="shared" ref="Q200:Q263" si="3">ABS(E200)</f>
        <v>64.25</v>
      </c>
    </row>
    <row r="201" spans="1:19" x14ac:dyDescent="0.35">
      <c r="A201" s="137" t="s">
        <v>0</v>
      </c>
      <c r="B201" s="137" t="s">
        <v>379</v>
      </c>
      <c r="C201" s="137" t="s">
        <v>1</v>
      </c>
      <c r="D201" s="137" t="s">
        <v>2</v>
      </c>
      <c r="E201" s="137">
        <v>64.25</v>
      </c>
      <c r="F201" s="137" t="s">
        <v>77</v>
      </c>
      <c r="G201" s="136">
        <v>45726</v>
      </c>
      <c r="H201" s="137" t="s">
        <v>78</v>
      </c>
      <c r="I201" s="137" t="s">
        <v>2089</v>
      </c>
      <c r="J201" s="137"/>
      <c r="K201" s="137" t="s">
        <v>2090</v>
      </c>
      <c r="L201" s="137" t="s">
        <v>2091</v>
      </c>
      <c r="M201" s="137" t="s">
        <v>195</v>
      </c>
      <c r="N201" s="137"/>
      <c r="O201" s="137"/>
      <c r="Q201" s="3">
        <f t="shared" si="3"/>
        <v>64.25</v>
      </c>
    </row>
    <row r="202" spans="1:19" x14ac:dyDescent="0.35">
      <c r="A202" s="137" t="s">
        <v>0</v>
      </c>
      <c r="B202" s="137" t="s">
        <v>379</v>
      </c>
      <c r="C202" s="137" t="s">
        <v>1</v>
      </c>
      <c r="D202" s="137" t="s">
        <v>2</v>
      </c>
      <c r="E202" s="137">
        <v>64.22</v>
      </c>
      <c r="F202" s="137" t="s">
        <v>77</v>
      </c>
      <c r="G202" s="136">
        <v>45677</v>
      </c>
      <c r="H202" s="137" t="s">
        <v>78</v>
      </c>
      <c r="I202" s="137" t="s">
        <v>2051</v>
      </c>
      <c r="J202" s="137"/>
      <c r="K202" s="137" t="s">
        <v>735</v>
      </c>
      <c r="L202" s="137" t="s">
        <v>2052</v>
      </c>
      <c r="M202" s="137" t="s">
        <v>195</v>
      </c>
      <c r="Q202" s="3">
        <f t="shared" si="3"/>
        <v>64.22</v>
      </c>
    </row>
    <row r="203" spans="1:19" x14ac:dyDescent="0.35">
      <c r="A203" s="137" t="s">
        <v>0</v>
      </c>
      <c r="B203" s="137" t="s">
        <v>354</v>
      </c>
      <c r="C203" s="137" t="s">
        <v>1</v>
      </c>
      <c r="D203" s="137" t="s">
        <v>2</v>
      </c>
      <c r="E203" s="137">
        <v>63.94</v>
      </c>
      <c r="F203" s="137" t="s">
        <v>77</v>
      </c>
      <c r="G203" s="136">
        <v>45712</v>
      </c>
      <c r="H203" s="137" t="s">
        <v>78</v>
      </c>
      <c r="I203" s="137" t="s">
        <v>2082</v>
      </c>
      <c r="J203" s="137"/>
      <c r="K203" s="137" t="s">
        <v>2080</v>
      </c>
      <c r="L203" s="137" t="s">
        <v>2083</v>
      </c>
      <c r="M203" s="137" t="s">
        <v>195</v>
      </c>
      <c r="N203" s="135"/>
      <c r="O203" s="135"/>
      <c r="Q203" s="3">
        <f t="shared" si="3"/>
        <v>63.94</v>
      </c>
    </row>
    <row r="204" spans="1:19" x14ac:dyDescent="0.35">
      <c r="A204" s="137" t="s">
        <v>0</v>
      </c>
      <c r="B204" s="137" t="s">
        <v>391</v>
      </c>
      <c r="C204" s="137" t="s">
        <v>1</v>
      </c>
      <c r="D204" s="137" t="s">
        <v>2</v>
      </c>
      <c r="E204" s="137">
        <v>63.88</v>
      </c>
      <c r="F204" s="137" t="s">
        <v>77</v>
      </c>
      <c r="G204" s="136">
        <v>45712</v>
      </c>
      <c r="H204" s="137" t="s">
        <v>78</v>
      </c>
      <c r="I204" s="137" t="s">
        <v>2082</v>
      </c>
      <c r="J204" s="137"/>
      <c r="K204" s="137" t="s">
        <v>2080</v>
      </c>
      <c r="L204" s="137" t="s">
        <v>2083</v>
      </c>
      <c r="M204" s="137" t="s">
        <v>195</v>
      </c>
      <c r="N204" s="135"/>
      <c r="O204" s="135"/>
      <c r="Q204" s="3">
        <f t="shared" si="3"/>
        <v>63.88</v>
      </c>
    </row>
    <row r="205" spans="1:19" x14ac:dyDescent="0.35">
      <c r="A205" s="137" t="s">
        <v>0</v>
      </c>
      <c r="B205" s="137" t="s">
        <v>385</v>
      </c>
      <c r="C205" s="137" t="s">
        <v>1</v>
      </c>
      <c r="D205" s="137" t="s">
        <v>2</v>
      </c>
      <c r="E205" s="137">
        <v>63.8</v>
      </c>
      <c r="F205" s="137" t="s">
        <v>77</v>
      </c>
      <c r="G205" s="136">
        <v>45712</v>
      </c>
      <c r="H205" s="137" t="s">
        <v>78</v>
      </c>
      <c r="I205" s="137" t="s">
        <v>2082</v>
      </c>
      <c r="J205" s="137"/>
      <c r="K205" s="137" t="s">
        <v>2080</v>
      </c>
      <c r="L205" s="137" t="s">
        <v>2083</v>
      </c>
      <c r="M205" s="137" t="s">
        <v>195</v>
      </c>
      <c r="N205" s="135"/>
      <c r="O205" s="135"/>
      <c r="Q205" s="3">
        <f t="shared" si="3"/>
        <v>63.8</v>
      </c>
    </row>
    <row r="206" spans="1:19" x14ac:dyDescent="0.35">
      <c r="A206" s="137" t="s">
        <v>0</v>
      </c>
      <c r="B206" s="137" t="s">
        <v>505</v>
      </c>
      <c r="C206" s="137" t="s">
        <v>1</v>
      </c>
      <c r="D206" s="137" t="s">
        <v>2</v>
      </c>
      <c r="E206" s="137">
        <v>63.78</v>
      </c>
      <c r="F206" s="137" t="s">
        <v>77</v>
      </c>
      <c r="G206" s="136">
        <v>45712</v>
      </c>
      <c r="H206" s="137" t="s">
        <v>78</v>
      </c>
      <c r="I206" s="137" t="s">
        <v>2082</v>
      </c>
      <c r="J206" s="137"/>
      <c r="K206" s="137" t="s">
        <v>2080</v>
      </c>
      <c r="L206" s="137" t="s">
        <v>2083</v>
      </c>
      <c r="M206" s="137" t="s">
        <v>195</v>
      </c>
      <c r="N206" s="135"/>
      <c r="O206" s="135"/>
      <c r="Q206" s="3">
        <f t="shared" si="3"/>
        <v>63.78</v>
      </c>
    </row>
    <row r="207" spans="1:19" x14ac:dyDescent="0.35">
      <c r="A207" s="137" t="s">
        <v>0</v>
      </c>
      <c r="B207" s="137" t="s">
        <v>373</v>
      </c>
      <c r="C207" s="137" t="s">
        <v>1</v>
      </c>
      <c r="D207" s="137" t="s">
        <v>2</v>
      </c>
      <c r="E207" s="137">
        <v>63.76</v>
      </c>
      <c r="F207" s="137" t="s">
        <v>77</v>
      </c>
      <c r="G207" s="136">
        <v>45712</v>
      </c>
      <c r="H207" s="137" t="s">
        <v>78</v>
      </c>
      <c r="I207" s="137" t="s">
        <v>2082</v>
      </c>
      <c r="J207" s="137"/>
      <c r="K207" s="137" t="s">
        <v>2080</v>
      </c>
      <c r="L207" s="137" t="s">
        <v>2083</v>
      </c>
      <c r="M207" s="137" t="s">
        <v>195</v>
      </c>
      <c r="N207" s="137"/>
      <c r="O207" s="137"/>
      <c r="Q207" s="3">
        <f t="shared" si="3"/>
        <v>63.76</v>
      </c>
    </row>
    <row r="208" spans="1:19" x14ac:dyDescent="0.35">
      <c r="A208" s="137" t="s">
        <v>0</v>
      </c>
      <c r="B208" s="137" t="s">
        <v>352</v>
      </c>
      <c r="C208" s="137" t="s">
        <v>1</v>
      </c>
      <c r="D208" s="137" t="s">
        <v>2</v>
      </c>
      <c r="E208" s="137">
        <v>63.74</v>
      </c>
      <c r="F208" s="137" t="s">
        <v>77</v>
      </c>
      <c r="G208" s="136">
        <v>45677</v>
      </c>
      <c r="H208" s="137" t="s">
        <v>78</v>
      </c>
      <c r="I208" s="137" t="s">
        <v>2053</v>
      </c>
      <c r="J208" s="137"/>
      <c r="K208" s="137" t="s">
        <v>735</v>
      </c>
      <c r="L208" s="137" t="s">
        <v>2054</v>
      </c>
      <c r="M208" s="137" t="s">
        <v>195</v>
      </c>
      <c r="N208" s="135"/>
      <c r="O208" s="135"/>
      <c r="Q208" s="3">
        <f t="shared" si="3"/>
        <v>63.74</v>
      </c>
    </row>
    <row r="209" spans="1:17" x14ac:dyDescent="0.35">
      <c r="A209" s="137" t="s">
        <v>0</v>
      </c>
      <c r="B209" s="137" t="s">
        <v>588</v>
      </c>
      <c r="C209" s="137" t="s">
        <v>1</v>
      </c>
      <c r="D209" s="137" t="s">
        <v>2</v>
      </c>
      <c r="E209" s="137">
        <v>63.72</v>
      </c>
      <c r="F209" s="137" t="s">
        <v>77</v>
      </c>
      <c r="G209" s="136">
        <v>45712</v>
      </c>
      <c r="H209" s="137" t="s">
        <v>78</v>
      </c>
      <c r="I209" s="137" t="s">
        <v>2082</v>
      </c>
      <c r="J209" s="137"/>
      <c r="K209" s="137" t="s">
        <v>2080</v>
      </c>
      <c r="L209" s="137" t="s">
        <v>2083</v>
      </c>
      <c r="M209" s="137" t="s">
        <v>195</v>
      </c>
      <c r="N209" s="137"/>
      <c r="O209" s="137"/>
      <c r="Q209" s="3">
        <f t="shared" si="3"/>
        <v>63.72</v>
      </c>
    </row>
    <row r="210" spans="1:17" x14ac:dyDescent="0.35">
      <c r="A210" s="137" t="s">
        <v>0</v>
      </c>
      <c r="B210" s="137" t="s">
        <v>399</v>
      </c>
      <c r="C210" s="137" t="s">
        <v>1</v>
      </c>
      <c r="D210" s="137" t="s">
        <v>2</v>
      </c>
      <c r="E210" s="137">
        <v>63.08</v>
      </c>
      <c r="F210" s="137" t="s">
        <v>77</v>
      </c>
      <c r="G210" s="136">
        <v>45684</v>
      </c>
      <c r="H210" s="137" t="s">
        <v>78</v>
      </c>
      <c r="I210" s="137" t="s">
        <v>2059</v>
      </c>
      <c r="J210" s="137"/>
      <c r="K210" s="137" t="s">
        <v>193</v>
      </c>
      <c r="L210" s="137" t="s">
        <v>2399</v>
      </c>
      <c r="M210" s="137" t="s">
        <v>194</v>
      </c>
      <c r="N210" s="135"/>
      <c r="O210" s="135"/>
      <c r="Q210" s="3">
        <f t="shared" si="3"/>
        <v>63.08</v>
      </c>
    </row>
    <row r="211" spans="1:17" x14ac:dyDescent="0.35">
      <c r="A211" s="137" t="s">
        <v>0</v>
      </c>
      <c r="B211" s="137" t="s">
        <v>530</v>
      </c>
      <c r="C211" s="137" t="s">
        <v>1</v>
      </c>
      <c r="D211" s="137" t="s">
        <v>2</v>
      </c>
      <c r="E211" s="137">
        <v>61.69</v>
      </c>
      <c r="F211" s="137" t="s">
        <v>77</v>
      </c>
      <c r="G211" s="136">
        <v>45700</v>
      </c>
      <c r="H211" s="137" t="s">
        <v>78</v>
      </c>
      <c r="I211" s="137" t="s">
        <v>2068</v>
      </c>
      <c r="J211" s="137"/>
      <c r="K211" s="137" t="s">
        <v>708</v>
      </c>
      <c r="L211" s="137" t="s">
        <v>2405</v>
      </c>
      <c r="M211" s="137" t="s">
        <v>709</v>
      </c>
      <c r="Q211" s="3">
        <f t="shared" si="3"/>
        <v>61.69</v>
      </c>
    </row>
    <row r="212" spans="1:17" x14ac:dyDescent="0.35">
      <c r="A212" s="137" t="s">
        <v>0</v>
      </c>
      <c r="B212" s="137" t="s">
        <v>325</v>
      </c>
      <c r="C212" s="137" t="s">
        <v>1</v>
      </c>
      <c r="D212" s="137" t="s">
        <v>2</v>
      </c>
      <c r="E212" s="137">
        <v>61.57</v>
      </c>
      <c r="F212" s="137" t="s">
        <v>77</v>
      </c>
      <c r="G212" s="136">
        <v>45712</v>
      </c>
      <c r="H212" s="137" t="s">
        <v>78</v>
      </c>
      <c r="I212" s="137" t="s">
        <v>2079</v>
      </c>
      <c r="J212" s="137"/>
      <c r="K212" s="137" t="s">
        <v>2080</v>
      </c>
      <c r="L212" s="137" t="s">
        <v>2081</v>
      </c>
      <c r="M212" s="137" t="s">
        <v>195</v>
      </c>
      <c r="N212" s="135"/>
      <c r="O212" s="135"/>
      <c r="Q212" s="3">
        <f t="shared" si="3"/>
        <v>61.57</v>
      </c>
    </row>
    <row r="213" spans="1:17" x14ac:dyDescent="0.35">
      <c r="A213" s="137" t="s">
        <v>0</v>
      </c>
      <c r="B213" s="137" t="s">
        <v>325</v>
      </c>
      <c r="C213" s="137" t="s">
        <v>1</v>
      </c>
      <c r="D213" s="137" t="s">
        <v>2</v>
      </c>
      <c r="E213" s="137">
        <v>61.57</v>
      </c>
      <c r="F213" s="137" t="s">
        <v>77</v>
      </c>
      <c r="G213" s="136">
        <v>45726</v>
      </c>
      <c r="H213" s="137" t="s">
        <v>78</v>
      </c>
      <c r="I213" s="137" t="s">
        <v>2089</v>
      </c>
      <c r="J213" s="137"/>
      <c r="K213" s="137" t="s">
        <v>2090</v>
      </c>
      <c r="L213" s="137" t="s">
        <v>2091</v>
      </c>
      <c r="M213" s="137" t="s">
        <v>195</v>
      </c>
      <c r="N213" s="135"/>
      <c r="O213" s="135"/>
      <c r="Q213" s="3">
        <f t="shared" si="3"/>
        <v>61.57</v>
      </c>
    </row>
    <row r="214" spans="1:17" x14ac:dyDescent="0.35">
      <c r="A214" s="137" t="s">
        <v>0</v>
      </c>
      <c r="B214" s="137" t="s">
        <v>325</v>
      </c>
      <c r="C214" s="137" t="s">
        <v>1</v>
      </c>
      <c r="D214" s="137" t="s">
        <v>2</v>
      </c>
      <c r="E214" s="137">
        <v>61.54</v>
      </c>
      <c r="F214" s="137" t="s">
        <v>77</v>
      </c>
      <c r="G214" s="136">
        <v>45677</v>
      </c>
      <c r="H214" s="137" t="s">
        <v>78</v>
      </c>
      <c r="I214" s="137" t="s">
        <v>2051</v>
      </c>
      <c r="J214" s="137"/>
      <c r="K214" s="137" t="s">
        <v>735</v>
      </c>
      <c r="L214" s="137" t="s">
        <v>2052</v>
      </c>
      <c r="M214" s="137" t="s">
        <v>195</v>
      </c>
      <c r="Q214" s="3">
        <f t="shared" si="3"/>
        <v>61.54</v>
      </c>
    </row>
    <row r="215" spans="1:17" x14ac:dyDescent="0.35">
      <c r="A215" s="137" t="s">
        <v>0</v>
      </c>
      <c r="B215" s="137" t="s">
        <v>407</v>
      </c>
      <c r="C215" s="137" t="s">
        <v>1</v>
      </c>
      <c r="D215" s="137" t="s">
        <v>2</v>
      </c>
      <c r="E215" s="137">
        <v>61.36</v>
      </c>
      <c r="F215" s="137" t="s">
        <v>77</v>
      </c>
      <c r="G215" s="136">
        <v>45726</v>
      </c>
      <c r="H215" s="137" t="s">
        <v>78</v>
      </c>
      <c r="I215" s="137" t="s">
        <v>2092</v>
      </c>
      <c r="J215" s="137"/>
      <c r="K215" s="137" t="s">
        <v>2090</v>
      </c>
      <c r="L215" s="137" t="s">
        <v>2093</v>
      </c>
      <c r="M215" s="137" t="s">
        <v>195</v>
      </c>
      <c r="Q215" s="3">
        <f t="shared" si="3"/>
        <v>61.36</v>
      </c>
    </row>
    <row r="216" spans="1:17" x14ac:dyDescent="0.35">
      <c r="A216" s="137" t="s">
        <v>0</v>
      </c>
      <c r="B216" s="137" t="s">
        <v>354</v>
      </c>
      <c r="C216" s="137" t="s">
        <v>1</v>
      </c>
      <c r="D216" s="137" t="s">
        <v>2</v>
      </c>
      <c r="E216" s="137">
        <v>61.34</v>
      </c>
      <c r="F216" s="137" t="s">
        <v>77</v>
      </c>
      <c r="G216" s="136">
        <v>45726</v>
      </c>
      <c r="H216" s="137" t="s">
        <v>78</v>
      </c>
      <c r="I216" s="137" t="s">
        <v>2092</v>
      </c>
      <c r="J216" s="137"/>
      <c r="K216" s="137" t="s">
        <v>2090</v>
      </c>
      <c r="L216" s="137" t="s">
        <v>2093</v>
      </c>
      <c r="M216" s="137" t="s">
        <v>195</v>
      </c>
      <c r="N216" s="137"/>
      <c r="O216" s="137"/>
      <c r="Q216" s="3">
        <f t="shared" si="3"/>
        <v>61.34</v>
      </c>
    </row>
    <row r="217" spans="1:17" x14ac:dyDescent="0.35">
      <c r="A217" s="137" t="s">
        <v>0</v>
      </c>
      <c r="B217" s="137" t="s">
        <v>398</v>
      </c>
      <c r="C217" s="137" t="s">
        <v>1</v>
      </c>
      <c r="D217" s="137" t="s">
        <v>2</v>
      </c>
      <c r="E217" s="137">
        <v>61.3</v>
      </c>
      <c r="F217" s="137" t="s">
        <v>77</v>
      </c>
      <c r="G217" s="136">
        <v>45726</v>
      </c>
      <c r="H217" s="137" t="s">
        <v>78</v>
      </c>
      <c r="I217" s="137" t="s">
        <v>2092</v>
      </c>
      <c r="J217" s="137"/>
      <c r="K217" s="137" t="s">
        <v>2090</v>
      </c>
      <c r="L217" s="137" t="s">
        <v>2093</v>
      </c>
      <c r="M217" s="137" t="s">
        <v>195</v>
      </c>
      <c r="N217" s="137"/>
      <c r="O217" s="137"/>
      <c r="Q217" s="3">
        <f t="shared" si="3"/>
        <v>61.3</v>
      </c>
    </row>
    <row r="218" spans="1:17" x14ac:dyDescent="0.35">
      <c r="A218" s="137" t="s">
        <v>0</v>
      </c>
      <c r="B218" s="137" t="s">
        <v>391</v>
      </c>
      <c r="C218" s="137" t="s">
        <v>1</v>
      </c>
      <c r="D218" s="137" t="s">
        <v>2</v>
      </c>
      <c r="E218" s="137">
        <v>61.29</v>
      </c>
      <c r="F218" s="137" t="s">
        <v>77</v>
      </c>
      <c r="G218" s="136">
        <v>45726</v>
      </c>
      <c r="H218" s="137" t="s">
        <v>78</v>
      </c>
      <c r="I218" s="137" t="s">
        <v>2092</v>
      </c>
      <c r="J218" s="137"/>
      <c r="K218" s="137" t="s">
        <v>2090</v>
      </c>
      <c r="L218" s="137" t="s">
        <v>2093</v>
      </c>
      <c r="M218" s="137" t="s">
        <v>195</v>
      </c>
      <c r="N218" s="135"/>
      <c r="O218" s="135"/>
      <c r="Q218" s="3">
        <f t="shared" si="3"/>
        <v>61.29</v>
      </c>
    </row>
    <row r="219" spans="1:17" x14ac:dyDescent="0.35">
      <c r="A219" s="137" t="s">
        <v>0</v>
      </c>
      <c r="B219" s="137" t="s">
        <v>377</v>
      </c>
      <c r="C219" s="137" t="s">
        <v>1</v>
      </c>
      <c r="D219" s="137" t="s">
        <v>2</v>
      </c>
      <c r="E219" s="137">
        <v>61.22</v>
      </c>
      <c r="F219" s="137" t="s">
        <v>77</v>
      </c>
      <c r="G219" s="136">
        <v>45726</v>
      </c>
      <c r="H219" s="137" t="s">
        <v>78</v>
      </c>
      <c r="I219" s="137" t="s">
        <v>2092</v>
      </c>
      <c r="J219" s="137"/>
      <c r="K219" s="137" t="s">
        <v>2090</v>
      </c>
      <c r="L219" s="137" t="s">
        <v>2093</v>
      </c>
      <c r="M219" s="137" t="s">
        <v>195</v>
      </c>
      <c r="N219" s="137"/>
      <c r="O219" s="137"/>
      <c r="Q219" s="3">
        <f t="shared" si="3"/>
        <v>61.22</v>
      </c>
    </row>
    <row r="220" spans="1:17" x14ac:dyDescent="0.35">
      <c r="A220" s="137" t="s">
        <v>0</v>
      </c>
      <c r="B220" s="137" t="s">
        <v>423</v>
      </c>
      <c r="C220" s="137" t="s">
        <v>1</v>
      </c>
      <c r="D220" s="137" t="s">
        <v>2</v>
      </c>
      <c r="E220" s="137">
        <v>61.2</v>
      </c>
      <c r="F220" s="137" t="s">
        <v>77</v>
      </c>
      <c r="G220" s="136">
        <v>45726</v>
      </c>
      <c r="H220" s="137" t="s">
        <v>78</v>
      </c>
      <c r="I220" s="137" t="s">
        <v>2092</v>
      </c>
      <c r="J220" s="137"/>
      <c r="K220" s="137" t="s">
        <v>2090</v>
      </c>
      <c r="L220" s="137" t="s">
        <v>2093</v>
      </c>
      <c r="M220" s="137" t="s">
        <v>195</v>
      </c>
      <c r="Q220" s="3">
        <f t="shared" si="3"/>
        <v>61.2</v>
      </c>
    </row>
    <row r="221" spans="1:17" x14ac:dyDescent="0.35">
      <c r="A221" s="137" t="s">
        <v>0</v>
      </c>
      <c r="B221" s="137" t="s">
        <v>588</v>
      </c>
      <c r="C221" s="137" t="s">
        <v>1</v>
      </c>
      <c r="D221" s="137" t="s">
        <v>2</v>
      </c>
      <c r="E221" s="137">
        <v>61.13</v>
      </c>
      <c r="F221" s="137" t="s">
        <v>77</v>
      </c>
      <c r="G221" s="136">
        <v>45726</v>
      </c>
      <c r="H221" s="137" t="s">
        <v>78</v>
      </c>
      <c r="I221" s="137" t="s">
        <v>2092</v>
      </c>
      <c r="J221" s="137"/>
      <c r="K221" s="137" t="s">
        <v>2090</v>
      </c>
      <c r="L221" s="137" t="s">
        <v>2093</v>
      </c>
      <c r="M221" s="137" t="s">
        <v>195</v>
      </c>
      <c r="N221" s="135"/>
      <c r="O221" s="135"/>
      <c r="Q221" s="3">
        <f t="shared" si="3"/>
        <v>61.13</v>
      </c>
    </row>
    <row r="222" spans="1:17" x14ac:dyDescent="0.35">
      <c r="A222" s="137" t="s">
        <v>0</v>
      </c>
      <c r="B222" s="137" t="s">
        <v>354</v>
      </c>
      <c r="C222" s="137" t="s">
        <v>1</v>
      </c>
      <c r="D222" s="137" t="s">
        <v>2</v>
      </c>
      <c r="E222" s="137">
        <v>60.12</v>
      </c>
      <c r="F222" s="137" t="s">
        <v>77</v>
      </c>
      <c r="G222" s="136">
        <v>45677</v>
      </c>
      <c r="H222" s="137" t="s">
        <v>78</v>
      </c>
      <c r="I222" s="137" t="s">
        <v>2053</v>
      </c>
      <c r="J222" s="137"/>
      <c r="K222" s="137" t="s">
        <v>735</v>
      </c>
      <c r="L222" s="137" t="s">
        <v>2054</v>
      </c>
      <c r="M222" s="137" t="s">
        <v>195</v>
      </c>
      <c r="N222" s="135"/>
      <c r="O222" s="135"/>
      <c r="Q222" s="3">
        <f t="shared" si="3"/>
        <v>60.12</v>
      </c>
    </row>
    <row r="223" spans="1:17" x14ac:dyDescent="0.35">
      <c r="A223" s="137" t="s">
        <v>0</v>
      </c>
      <c r="B223" s="137" t="s">
        <v>391</v>
      </c>
      <c r="C223" s="137" t="s">
        <v>1</v>
      </c>
      <c r="D223" s="137" t="s">
        <v>2</v>
      </c>
      <c r="E223" s="137">
        <v>60.07</v>
      </c>
      <c r="F223" s="137" t="s">
        <v>77</v>
      </c>
      <c r="G223" s="136">
        <v>45677</v>
      </c>
      <c r="H223" s="137" t="s">
        <v>78</v>
      </c>
      <c r="I223" s="137" t="s">
        <v>2053</v>
      </c>
      <c r="J223" s="137"/>
      <c r="K223" s="137" t="s">
        <v>735</v>
      </c>
      <c r="L223" s="137" t="s">
        <v>2054</v>
      </c>
      <c r="M223" s="137" t="s">
        <v>195</v>
      </c>
      <c r="N223" s="135"/>
      <c r="O223" s="135"/>
      <c r="Q223" s="3">
        <f t="shared" si="3"/>
        <v>60.07</v>
      </c>
    </row>
    <row r="224" spans="1:17" x14ac:dyDescent="0.35">
      <c r="A224" s="137" t="s">
        <v>0</v>
      </c>
      <c r="B224" s="137" t="s">
        <v>385</v>
      </c>
      <c r="C224" s="137" t="s">
        <v>1</v>
      </c>
      <c r="D224" s="137" t="s">
        <v>2</v>
      </c>
      <c r="E224" s="137">
        <v>59.99</v>
      </c>
      <c r="F224" s="137" t="s">
        <v>77</v>
      </c>
      <c r="G224" s="136">
        <v>45677</v>
      </c>
      <c r="H224" s="137" t="s">
        <v>78</v>
      </c>
      <c r="I224" s="137" t="s">
        <v>2053</v>
      </c>
      <c r="J224" s="137"/>
      <c r="K224" s="137" t="s">
        <v>735</v>
      </c>
      <c r="L224" s="137" t="s">
        <v>2054</v>
      </c>
      <c r="M224" s="137" t="s">
        <v>195</v>
      </c>
      <c r="N224" s="135"/>
      <c r="O224" s="135"/>
      <c r="Q224" s="3">
        <f t="shared" si="3"/>
        <v>59.99</v>
      </c>
    </row>
    <row r="225" spans="1:17" x14ac:dyDescent="0.35">
      <c r="A225" s="137" t="s">
        <v>0</v>
      </c>
      <c r="B225" s="137" t="s">
        <v>423</v>
      </c>
      <c r="C225" s="137" t="s">
        <v>1</v>
      </c>
      <c r="D225" s="137" t="s">
        <v>2</v>
      </c>
      <c r="E225" s="137">
        <v>59.98</v>
      </c>
      <c r="F225" s="137" t="s">
        <v>77</v>
      </c>
      <c r="G225" s="136">
        <v>45677</v>
      </c>
      <c r="H225" s="137" t="s">
        <v>78</v>
      </c>
      <c r="I225" s="137" t="s">
        <v>2053</v>
      </c>
      <c r="J225" s="137"/>
      <c r="K225" s="137" t="s">
        <v>735</v>
      </c>
      <c r="L225" s="137" t="s">
        <v>2054</v>
      </c>
      <c r="M225" s="137" t="s">
        <v>195</v>
      </c>
      <c r="N225" s="135"/>
      <c r="O225" s="135"/>
      <c r="Q225" s="3">
        <f t="shared" si="3"/>
        <v>59.98</v>
      </c>
    </row>
    <row r="226" spans="1:17" x14ac:dyDescent="0.35">
      <c r="A226" s="137" t="s">
        <v>0</v>
      </c>
      <c r="B226" s="137" t="s">
        <v>560</v>
      </c>
      <c r="C226" s="137" t="s">
        <v>1</v>
      </c>
      <c r="D226" s="137" t="s">
        <v>2</v>
      </c>
      <c r="E226" s="137">
        <v>59.95</v>
      </c>
      <c r="F226" s="137" t="s">
        <v>77</v>
      </c>
      <c r="G226" s="136">
        <v>45677</v>
      </c>
      <c r="H226" s="137" t="s">
        <v>78</v>
      </c>
      <c r="I226" s="137" t="s">
        <v>2053</v>
      </c>
      <c r="J226" s="137"/>
      <c r="K226" s="137" t="s">
        <v>735</v>
      </c>
      <c r="L226" s="137" t="s">
        <v>2054</v>
      </c>
      <c r="M226" s="137" t="s">
        <v>195</v>
      </c>
      <c r="N226" s="135"/>
      <c r="O226" s="135"/>
      <c r="Q226" s="3">
        <f t="shared" si="3"/>
        <v>59.95</v>
      </c>
    </row>
    <row r="227" spans="1:17" x14ac:dyDescent="0.35">
      <c r="A227" s="137" t="s">
        <v>0</v>
      </c>
      <c r="B227" s="137" t="s">
        <v>588</v>
      </c>
      <c r="C227" s="137" t="s">
        <v>1</v>
      </c>
      <c r="D227" s="137" t="s">
        <v>2</v>
      </c>
      <c r="E227" s="137">
        <v>59.92</v>
      </c>
      <c r="F227" s="137" t="s">
        <v>77</v>
      </c>
      <c r="G227" s="136">
        <v>45677</v>
      </c>
      <c r="H227" s="137" t="s">
        <v>78</v>
      </c>
      <c r="I227" s="137" t="s">
        <v>2053</v>
      </c>
      <c r="J227" s="137"/>
      <c r="K227" s="137" t="s">
        <v>735</v>
      </c>
      <c r="L227" s="137" t="s">
        <v>2054</v>
      </c>
      <c r="M227" s="137" t="s">
        <v>195</v>
      </c>
      <c r="N227" s="137"/>
      <c r="O227" s="137"/>
      <c r="Q227" s="3">
        <f t="shared" si="3"/>
        <v>59.92</v>
      </c>
    </row>
    <row r="228" spans="1:17" x14ac:dyDescent="0.35">
      <c r="A228" s="137" t="s">
        <v>27</v>
      </c>
      <c r="B228" s="137" t="s">
        <v>382</v>
      </c>
      <c r="C228" s="137" t="s">
        <v>1</v>
      </c>
      <c r="D228" s="137" t="s">
        <v>2</v>
      </c>
      <c r="E228" s="137">
        <v>59.86</v>
      </c>
      <c r="F228" s="137" t="s">
        <v>77</v>
      </c>
      <c r="G228" s="136">
        <v>45736</v>
      </c>
      <c r="H228" s="137" t="s">
        <v>79</v>
      </c>
      <c r="I228" s="137" t="s">
        <v>383</v>
      </c>
      <c r="J228" s="137" t="s">
        <v>2348</v>
      </c>
      <c r="K228" s="137"/>
      <c r="L228" s="137"/>
      <c r="M228" s="137"/>
      <c r="N228" s="135"/>
      <c r="O228" s="135" t="s">
        <v>1419</v>
      </c>
      <c r="Q228" s="3">
        <f t="shared" si="3"/>
        <v>59.86</v>
      </c>
    </row>
    <row r="229" spans="1:17" x14ac:dyDescent="0.35">
      <c r="A229" s="137" t="s">
        <v>27</v>
      </c>
      <c r="B229" s="137" t="s">
        <v>339</v>
      </c>
      <c r="C229" s="137" t="s">
        <v>1</v>
      </c>
      <c r="D229" s="137" t="s">
        <v>2</v>
      </c>
      <c r="E229" s="137">
        <v>59.38</v>
      </c>
      <c r="F229" s="137" t="s">
        <v>77</v>
      </c>
      <c r="G229" s="136">
        <v>45672</v>
      </c>
      <c r="H229" s="137" t="s">
        <v>79</v>
      </c>
      <c r="I229" s="137" t="s">
        <v>500</v>
      </c>
      <c r="J229" s="137" t="s">
        <v>2129</v>
      </c>
      <c r="K229" s="137"/>
      <c r="L229" s="137"/>
      <c r="M229" s="137"/>
      <c r="N229" s="137"/>
      <c r="O229" s="137" t="s">
        <v>501</v>
      </c>
      <c r="Q229" s="3">
        <f t="shared" si="3"/>
        <v>59.38</v>
      </c>
    </row>
    <row r="230" spans="1:17" x14ac:dyDescent="0.35">
      <c r="A230" s="137" t="s">
        <v>0</v>
      </c>
      <c r="B230" s="137" t="s">
        <v>409</v>
      </c>
      <c r="C230" s="137" t="s">
        <v>1</v>
      </c>
      <c r="D230" s="137" t="s">
        <v>2</v>
      </c>
      <c r="E230" s="137">
        <v>59.28</v>
      </c>
      <c r="F230" s="137" t="s">
        <v>77</v>
      </c>
      <c r="G230" s="136">
        <v>45712</v>
      </c>
      <c r="H230" s="137" t="s">
        <v>78</v>
      </c>
      <c r="I230" s="137" t="s">
        <v>2079</v>
      </c>
      <c r="J230" s="137"/>
      <c r="K230" s="137" t="s">
        <v>2080</v>
      </c>
      <c r="L230" s="137" t="s">
        <v>2081</v>
      </c>
      <c r="M230" s="137" t="s">
        <v>195</v>
      </c>
      <c r="N230" s="135"/>
      <c r="O230" s="135"/>
      <c r="Q230" s="3">
        <f t="shared" si="3"/>
        <v>59.28</v>
      </c>
    </row>
    <row r="231" spans="1:17" x14ac:dyDescent="0.35">
      <c r="A231" s="137" t="s">
        <v>0</v>
      </c>
      <c r="B231" s="137" t="s">
        <v>409</v>
      </c>
      <c r="C231" s="137" t="s">
        <v>1</v>
      </c>
      <c r="D231" s="137" t="s">
        <v>2</v>
      </c>
      <c r="E231" s="137">
        <v>59.28</v>
      </c>
      <c r="F231" s="137" t="s">
        <v>77</v>
      </c>
      <c r="G231" s="136">
        <v>45726</v>
      </c>
      <c r="H231" s="137" t="s">
        <v>78</v>
      </c>
      <c r="I231" s="137" t="s">
        <v>2089</v>
      </c>
      <c r="J231" s="137"/>
      <c r="K231" s="137" t="s">
        <v>2090</v>
      </c>
      <c r="L231" s="137" t="s">
        <v>2091</v>
      </c>
      <c r="M231" s="137" t="s">
        <v>195</v>
      </c>
      <c r="N231" s="135"/>
      <c r="O231" s="135"/>
      <c r="Q231" s="3">
        <f t="shared" si="3"/>
        <v>59.28</v>
      </c>
    </row>
    <row r="232" spans="1:17" x14ac:dyDescent="0.35">
      <c r="A232" s="137" t="s">
        <v>27</v>
      </c>
      <c r="B232" s="137" t="s">
        <v>399</v>
      </c>
      <c r="C232" s="137" t="s">
        <v>1</v>
      </c>
      <c r="D232" s="137" t="s">
        <v>2</v>
      </c>
      <c r="E232" s="137">
        <v>59.25</v>
      </c>
      <c r="F232" s="137" t="s">
        <v>77</v>
      </c>
      <c r="G232" s="136">
        <v>45670</v>
      </c>
      <c r="H232" s="137" t="s">
        <v>78</v>
      </c>
      <c r="I232" s="137" t="s">
        <v>2125</v>
      </c>
      <c r="J232" s="137"/>
      <c r="K232" s="137" t="s">
        <v>193</v>
      </c>
      <c r="L232" s="137" t="s">
        <v>2423</v>
      </c>
      <c r="M232" s="137" t="s">
        <v>194</v>
      </c>
      <c r="N232" s="137"/>
      <c r="O232" s="137"/>
      <c r="Q232" s="3">
        <f t="shared" si="3"/>
        <v>59.25</v>
      </c>
    </row>
    <row r="233" spans="1:17" x14ac:dyDescent="0.35">
      <c r="A233" s="137" t="s">
        <v>0</v>
      </c>
      <c r="B233" s="137" t="s">
        <v>409</v>
      </c>
      <c r="C233" s="137" t="s">
        <v>1</v>
      </c>
      <c r="D233" s="137" t="s">
        <v>2</v>
      </c>
      <c r="E233" s="137">
        <v>59.24</v>
      </c>
      <c r="F233" s="137" t="s">
        <v>77</v>
      </c>
      <c r="G233" s="136">
        <v>45677</v>
      </c>
      <c r="H233" s="137" t="s">
        <v>78</v>
      </c>
      <c r="I233" s="137" t="s">
        <v>2051</v>
      </c>
      <c r="J233" s="137"/>
      <c r="K233" s="137" t="s">
        <v>735</v>
      </c>
      <c r="L233" s="137" t="s">
        <v>2052</v>
      </c>
      <c r="M233" s="137" t="s">
        <v>195</v>
      </c>
      <c r="N233" s="137"/>
      <c r="O233" s="137"/>
      <c r="Q233" s="3">
        <f t="shared" si="3"/>
        <v>59.24</v>
      </c>
    </row>
    <row r="234" spans="1:17" x14ac:dyDescent="0.35">
      <c r="A234" s="137" t="s">
        <v>27</v>
      </c>
      <c r="B234" s="137" t="s">
        <v>496</v>
      </c>
      <c r="C234" s="137" t="s">
        <v>1</v>
      </c>
      <c r="D234" s="137" t="s">
        <v>2</v>
      </c>
      <c r="E234" s="137">
        <v>59.17</v>
      </c>
      <c r="F234" s="137" t="s">
        <v>77</v>
      </c>
      <c r="G234" s="136">
        <v>45705</v>
      </c>
      <c r="H234" s="137" t="s">
        <v>79</v>
      </c>
      <c r="I234" s="137" t="s">
        <v>230</v>
      </c>
      <c r="J234" s="137" t="s">
        <v>193</v>
      </c>
      <c r="K234" s="137"/>
      <c r="L234" s="137"/>
      <c r="M234" s="137"/>
      <c r="N234" s="135"/>
      <c r="O234" s="135" t="s">
        <v>280</v>
      </c>
      <c r="Q234" s="3">
        <f t="shared" si="3"/>
        <v>59.17</v>
      </c>
    </row>
    <row r="235" spans="1:17" x14ac:dyDescent="0.35">
      <c r="A235" s="137" t="s">
        <v>0</v>
      </c>
      <c r="B235" s="137" t="s">
        <v>391</v>
      </c>
      <c r="C235" s="137" t="s">
        <v>1</v>
      </c>
      <c r="D235" s="137" t="s">
        <v>2</v>
      </c>
      <c r="E235" s="137">
        <v>59.16</v>
      </c>
      <c r="F235" s="137" t="s">
        <v>77</v>
      </c>
      <c r="G235" s="136">
        <v>45665</v>
      </c>
      <c r="H235" s="137" t="s">
        <v>78</v>
      </c>
      <c r="I235" s="137" t="s">
        <v>2037</v>
      </c>
      <c r="J235" s="137"/>
      <c r="K235" s="137" t="s">
        <v>733</v>
      </c>
      <c r="L235" s="137" t="s">
        <v>2038</v>
      </c>
      <c r="M235" s="137" t="s">
        <v>212</v>
      </c>
      <c r="N235" s="135"/>
      <c r="O235" s="135"/>
      <c r="Q235" s="3">
        <f t="shared" si="3"/>
        <v>59.16</v>
      </c>
    </row>
    <row r="236" spans="1:17" x14ac:dyDescent="0.35">
      <c r="A236" s="137" t="s">
        <v>27</v>
      </c>
      <c r="B236" s="137" t="s">
        <v>385</v>
      </c>
      <c r="C236" s="137" t="s">
        <v>1</v>
      </c>
      <c r="D236" s="137" t="s">
        <v>2</v>
      </c>
      <c r="E236" s="137">
        <v>58.62</v>
      </c>
      <c r="F236" s="137" t="s">
        <v>77</v>
      </c>
      <c r="G236" s="136">
        <v>45686</v>
      </c>
      <c r="H236" s="137" t="s">
        <v>79</v>
      </c>
      <c r="I236" s="137" t="s">
        <v>534</v>
      </c>
      <c r="J236" s="137" t="s">
        <v>2173</v>
      </c>
      <c r="K236" s="137"/>
      <c r="L236" s="137"/>
      <c r="M236" s="137"/>
      <c r="N236" s="135"/>
      <c r="O236" s="135" t="s">
        <v>2174</v>
      </c>
      <c r="Q236" s="3">
        <f t="shared" si="3"/>
        <v>58.62</v>
      </c>
    </row>
    <row r="237" spans="1:17" x14ac:dyDescent="0.35">
      <c r="A237" s="137" t="s">
        <v>0</v>
      </c>
      <c r="B237" s="137" t="s">
        <v>618</v>
      </c>
      <c r="C237" s="137" t="s">
        <v>1</v>
      </c>
      <c r="D237" s="137" t="s">
        <v>2</v>
      </c>
      <c r="E237" s="137">
        <v>58.34</v>
      </c>
      <c r="F237" s="137" t="s">
        <v>77</v>
      </c>
      <c r="G237" s="136">
        <v>45712</v>
      </c>
      <c r="H237" s="137" t="s">
        <v>78</v>
      </c>
      <c r="I237" s="137" t="s">
        <v>2079</v>
      </c>
      <c r="J237" s="137"/>
      <c r="K237" s="137" t="s">
        <v>2080</v>
      </c>
      <c r="L237" s="137" t="s">
        <v>2081</v>
      </c>
      <c r="M237" s="137" t="s">
        <v>195</v>
      </c>
      <c r="Q237" s="3">
        <f t="shared" si="3"/>
        <v>58.34</v>
      </c>
    </row>
    <row r="238" spans="1:17" x14ac:dyDescent="0.35">
      <c r="A238" s="137" t="s">
        <v>0</v>
      </c>
      <c r="B238" s="137" t="s">
        <v>618</v>
      </c>
      <c r="C238" s="137" t="s">
        <v>1</v>
      </c>
      <c r="D238" s="137" t="s">
        <v>2</v>
      </c>
      <c r="E238" s="137">
        <v>58.34</v>
      </c>
      <c r="F238" s="137" t="s">
        <v>77</v>
      </c>
      <c r="G238" s="136">
        <v>45726</v>
      </c>
      <c r="H238" s="137" t="s">
        <v>78</v>
      </c>
      <c r="I238" s="137" t="s">
        <v>2089</v>
      </c>
      <c r="J238" s="137"/>
      <c r="K238" s="137" t="s">
        <v>2090</v>
      </c>
      <c r="L238" s="137" t="s">
        <v>2091</v>
      </c>
      <c r="M238" s="137" t="s">
        <v>195</v>
      </c>
      <c r="N238" s="135"/>
      <c r="O238" s="135"/>
      <c r="Q238" s="3">
        <f t="shared" si="3"/>
        <v>58.34</v>
      </c>
    </row>
    <row r="239" spans="1:17" x14ac:dyDescent="0.35">
      <c r="A239" s="137" t="s">
        <v>0</v>
      </c>
      <c r="B239" s="137" t="s">
        <v>618</v>
      </c>
      <c r="C239" s="137" t="s">
        <v>1</v>
      </c>
      <c r="D239" s="137" t="s">
        <v>2</v>
      </c>
      <c r="E239" s="137">
        <v>58.31</v>
      </c>
      <c r="F239" s="137" t="s">
        <v>77</v>
      </c>
      <c r="G239" s="136">
        <v>45677</v>
      </c>
      <c r="H239" s="137" t="s">
        <v>78</v>
      </c>
      <c r="I239" s="137" t="s">
        <v>2051</v>
      </c>
      <c r="J239" s="137"/>
      <c r="K239" s="137" t="s">
        <v>735</v>
      </c>
      <c r="L239" s="137" t="s">
        <v>2052</v>
      </c>
      <c r="M239" s="137" t="s">
        <v>195</v>
      </c>
      <c r="N239" s="135"/>
      <c r="O239" s="135"/>
      <c r="Q239" s="3">
        <f t="shared" si="3"/>
        <v>58.31</v>
      </c>
    </row>
    <row r="240" spans="1:17" x14ac:dyDescent="0.35">
      <c r="A240" s="137" t="s">
        <v>0</v>
      </c>
      <c r="B240" s="137" t="s">
        <v>470</v>
      </c>
      <c r="C240" s="137" t="s">
        <v>1</v>
      </c>
      <c r="D240" s="137" t="s">
        <v>2</v>
      </c>
      <c r="E240" s="137">
        <v>57.62</v>
      </c>
      <c r="F240" s="137" t="s">
        <v>77</v>
      </c>
      <c r="G240" s="136">
        <v>45677</v>
      </c>
      <c r="H240" s="137" t="s">
        <v>78</v>
      </c>
      <c r="I240" s="137" t="s">
        <v>2053</v>
      </c>
      <c r="J240" s="137"/>
      <c r="K240" s="137" t="s">
        <v>735</v>
      </c>
      <c r="L240" s="137" t="s">
        <v>2054</v>
      </c>
      <c r="M240" s="137" t="s">
        <v>195</v>
      </c>
      <c r="Q240" s="3">
        <f t="shared" si="3"/>
        <v>57.62</v>
      </c>
    </row>
    <row r="241" spans="1:32" x14ac:dyDescent="0.35">
      <c r="A241" s="137" t="s">
        <v>0</v>
      </c>
      <c r="B241" s="137" t="s">
        <v>530</v>
      </c>
      <c r="C241" s="137" t="s">
        <v>1</v>
      </c>
      <c r="D241" s="137" t="s">
        <v>2</v>
      </c>
      <c r="E241" s="137">
        <v>57.61</v>
      </c>
      <c r="F241" s="137" t="s">
        <v>77</v>
      </c>
      <c r="G241" s="136">
        <v>45706</v>
      </c>
      <c r="H241" s="137" t="s">
        <v>78</v>
      </c>
      <c r="I241" s="137" t="s">
        <v>2070</v>
      </c>
      <c r="J241" s="137"/>
      <c r="K241" s="137" t="s">
        <v>708</v>
      </c>
      <c r="L241" s="137" t="s">
        <v>2407</v>
      </c>
      <c r="M241" s="137" t="s">
        <v>709</v>
      </c>
      <c r="N241" s="135"/>
      <c r="O241" s="135"/>
      <c r="Q241" s="3">
        <f t="shared" si="3"/>
        <v>57.61</v>
      </c>
    </row>
    <row r="242" spans="1:32" x14ac:dyDescent="0.35">
      <c r="A242" s="137" t="s">
        <v>0</v>
      </c>
      <c r="B242" s="137" t="s">
        <v>365</v>
      </c>
      <c r="C242" s="137" t="s">
        <v>1</v>
      </c>
      <c r="D242" s="137" t="s">
        <v>2</v>
      </c>
      <c r="E242" s="137">
        <v>57.12</v>
      </c>
      <c r="F242" s="137" t="s">
        <v>77</v>
      </c>
      <c r="G242" s="136">
        <v>45677</v>
      </c>
      <c r="H242" s="137" t="s">
        <v>78</v>
      </c>
      <c r="I242" s="137" t="s">
        <v>2053</v>
      </c>
      <c r="J242" s="137"/>
      <c r="K242" s="137" t="s">
        <v>735</v>
      </c>
      <c r="L242" s="137" t="s">
        <v>2054</v>
      </c>
      <c r="M242" s="137" t="s">
        <v>195</v>
      </c>
      <c r="Q242" s="3">
        <f t="shared" si="3"/>
        <v>57.12</v>
      </c>
    </row>
    <row r="243" spans="1:32" x14ac:dyDescent="0.35">
      <c r="A243" s="137" t="s">
        <v>0</v>
      </c>
      <c r="B243" s="137" t="s">
        <v>530</v>
      </c>
      <c r="C243" s="137" t="s">
        <v>1</v>
      </c>
      <c r="D243" s="137" t="s">
        <v>2</v>
      </c>
      <c r="E243" s="137">
        <v>56.89</v>
      </c>
      <c r="F243" s="137" t="s">
        <v>77</v>
      </c>
      <c r="G243" s="136">
        <v>45691</v>
      </c>
      <c r="H243" s="137" t="s">
        <v>78</v>
      </c>
      <c r="I243" s="137" t="s">
        <v>2061</v>
      </c>
      <c r="J243" s="137"/>
      <c r="K243" s="137" t="s">
        <v>708</v>
      </c>
      <c r="L243" s="137" t="s">
        <v>2401</v>
      </c>
      <c r="M243" s="137" t="s">
        <v>709</v>
      </c>
      <c r="N243" s="135"/>
      <c r="O243" s="135"/>
      <c r="Q243" s="3">
        <f t="shared" si="3"/>
        <v>56.89</v>
      </c>
    </row>
    <row r="244" spans="1:32" x14ac:dyDescent="0.35">
      <c r="A244" s="137" t="s">
        <v>27</v>
      </c>
      <c r="B244" s="137" t="s">
        <v>529</v>
      </c>
      <c r="C244" s="137" t="s">
        <v>1</v>
      </c>
      <c r="D244" s="137" t="s">
        <v>2</v>
      </c>
      <c r="E244" s="137">
        <v>56.55</v>
      </c>
      <c r="F244" s="137" t="s">
        <v>77</v>
      </c>
      <c r="G244" s="136">
        <v>45740</v>
      </c>
      <c r="H244" s="137" t="s">
        <v>79</v>
      </c>
      <c r="I244" s="137" t="s">
        <v>552</v>
      </c>
      <c r="J244" s="137" t="s">
        <v>660</v>
      </c>
      <c r="K244" s="137"/>
      <c r="L244" s="137"/>
      <c r="M244" s="137"/>
      <c r="N244" s="135"/>
      <c r="O244" s="135" t="s">
        <v>281</v>
      </c>
      <c r="Q244" s="3">
        <f t="shared" si="3"/>
        <v>56.55</v>
      </c>
    </row>
    <row r="245" spans="1:32" x14ac:dyDescent="0.35">
      <c r="A245" s="137" t="s">
        <v>0</v>
      </c>
      <c r="B245" s="137" t="s">
        <v>317</v>
      </c>
      <c r="C245" s="137" t="s">
        <v>1</v>
      </c>
      <c r="D245" s="137" t="s">
        <v>2</v>
      </c>
      <c r="E245" s="137">
        <v>56.19</v>
      </c>
      <c r="F245" s="137" t="s">
        <v>77</v>
      </c>
      <c r="G245" s="136">
        <v>45712</v>
      </c>
      <c r="H245" s="137" t="s">
        <v>78</v>
      </c>
      <c r="I245" s="137" t="s">
        <v>2079</v>
      </c>
      <c r="J245" s="137"/>
      <c r="K245" s="137" t="s">
        <v>2080</v>
      </c>
      <c r="L245" s="137" t="s">
        <v>2081</v>
      </c>
      <c r="M245" s="137" t="s">
        <v>195</v>
      </c>
      <c r="N245" s="135"/>
      <c r="O245" s="135"/>
      <c r="Q245" s="3">
        <f t="shared" si="3"/>
        <v>56.19</v>
      </c>
    </row>
    <row r="246" spans="1:32" x14ac:dyDescent="0.35">
      <c r="A246" s="137" t="s">
        <v>0</v>
      </c>
      <c r="B246" s="137" t="s">
        <v>317</v>
      </c>
      <c r="C246" s="137" t="s">
        <v>1</v>
      </c>
      <c r="D246" s="137" t="s">
        <v>2</v>
      </c>
      <c r="E246" s="137">
        <v>56.19</v>
      </c>
      <c r="F246" s="137" t="s">
        <v>77</v>
      </c>
      <c r="G246" s="136">
        <v>45726</v>
      </c>
      <c r="H246" s="137" t="s">
        <v>78</v>
      </c>
      <c r="I246" s="137" t="s">
        <v>2089</v>
      </c>
      <c r="J246" s="137"/>
      <c r="K246" s="137" t="s">
        <v>2090</v>
      </c>
      <c r="L246" s="137" t="s">
        <v>2091</v>
      </c>
      <c r="M246" s="137" t="s">
        <v>195</v>
      </c>
      <c r="N246" s="137"/>
      <c r="O246" s="137"/>
      <c r="Q246" s="3">
        <f t="shared" si="3"/>
        <v>56.19</v>
      </c>
    </row>
    <row r="247" spans="1:32" x14ac:dyDescent="0.35">
      <c r="A247" s="137" t="s">
        <v>27</v>
      </c>
      <c r="B247" s="137" t="s">
        <v>339</v>
      </c>
      <c r="C247" s="137" t="s">
        <v>1</v>
      </c>
      <c r="D247" s="137" t="s">
        <v>2</v>
      </c>
      <c r="E247" s="137">
        <v>55.91</v>
      </c>
      <c r="F247" s="137" t="s">
        <v>77</v>
      </c>
      <c r="G247" s="136">
        <v>45734</v>
      </c>
      <c r="H247" s="137" t="s">
        <v>79</v>
      </c>
      <c r="I247" s="137" t="s">
        <v>729</v>
      </c>
      <c r="J247" s="137" t="s">
        <v>2321</v>
      </c>
      <c r="K247" s="137"/>
      <c r="L247" s="137"/>
      <c r="M247" s="137"/>
      <c r="N247" s="135"/>
      <c r="O247" s="135" t="s">
        <v>553</v>
      </c>
      <c r="Q247" s="3">
        <f t="shared" si="3"/>
        <v>55.91</v>
      </c>
    </row>
    <row r="248" spans="1:32" x14ac:dyDescent="0.35">
      <c r="A248" s="137" t="s">
        <v>27</v>
      </c>
      <c r="B248" s="137" t="s">
        <v>471</v>
      </c>
      <c r="C248" s="137" t="s">
        <v>1</v>
      </c>
      <c r="D248" s="137" t="s">
        <v>2</v>
      </c>
      <c r="E248" s="137">
        <v>55.64</v>
      </c>
      <c r="F248" s="137" t="s">
        <v>77</v>
      </c>
      <c r="G248" s="136">
        <v>45723</v>
      </c>
      <c r="H248" s="137" t="s">
        <v>79</v>
      </c>
      <c r="I248" s="137" t="s">
        <v>228</v>
      </c>
      <c r="J248" s="137" t="s">
        <v>2283</v>
      </c>
      <c r="K248" s="137"/>
      <c r="L248" s="137"/>
      <c r="M248" s="137"/>
      <c r="N248" s="135"/>
      <c r="O248" s="135" t="s">
        <v>474</v>
      </c>
      <c r="Q248" s="3">
        <f t="shared" si="3"/>
        <v>55.64</v>
      </c>
    </row>
    <row r="249" spans="1:32" x14ac:dyDescent="0.35">
      <c r="A249" s="137" t="s">
        <v>27</v>
      </c>
      <c r="B249" s="137" t="s">
        <v>530</v>
      </c>
      <c r="C249" s="137" t="s">
        <v>1</v>
      </c>
      <c r="D249" s="137" t="s">
        <v>2</v>
      </c>
      <c r="E249" s="137">
        <v>54.72</v>
      </c>
      <c r="F249" s="137" t="s">
        <v>77</v>
      </c>
      <c r="G249" s="136">
        <v>45698</v>
      </c>
      <c r="H249" s="137" t="s">
        <v>79</v>
      </c>
      <c r="I249" s="137" t="s">
        <v>242</v>
      </c>
      <c r="J249" s="137" t="s">
        <v>243</v>
      </c>
      <c r="K249" s="137"/>
      <c r="L249" s="137"/>
      <c r="M249" s="137"/>
      <c r="N249" s="135"/>
      <c r="O249" s="135" t="s">
        <v>290</v>
      </c>
      <c r="Q249" s="3">
        <f t="shared" si="3"/>
        <v>54.72</v>
      </c>
    </row>
    <row r="250" spans="1:32" x14ac:dyDescent="0.35">
      <c r="A250" s="137" t="s">
        <v>27</v>
      </c>
      <c r="B250" s="137" t="s">
        <v>505</v>
      </c>
      <c r="C250" s="137" t="s">
        <v>1</v>
      </c>
      <c r="D250" s="137" t="s">
        <v>2</v>
      </c>
      <c r="E250" s="137">
        <v>54.55</v>
      </c>
      <c r="F250" s="137" t="s">
        <v>77</v>
      </c>
      <c r="G250" s="136">
        <v>45740</v>
      </c>
      <c r="H250" s="137" t="s">
        <v>79</v>
      </c>
      <c r="I250" s="137" t="s">
        <v>1957</v>
      </c>
      <c r="J250" s="137" t="s">
        <v>2374</v>
      </c>
      <c r="K250" s="137"/>
      <c r="L250" s="137"/>
      <c r="M250" s="137"/>
      <c r="N250" s="135"/>
      <c r="O250" s="135" t="s">
        <v>269</v>
      </c>
      <c r="Q250" s="3">
        <f t="shared" si="3"/>
        <v>54.55</v>
      </c>
    </row>
    <row r="251" spans="1:32" x14ac:dyDescent="0.35">
      <c r="A251" s="137" t="s">
        <v>27</v>
      </c>
      <c r="B251" s="137" t="s">
        <v>347</v>
      </c>
      <c r="C251" s="137" t="s">
        <v>1</v>
      </c>
      <c r="D251" s="137" t="s">
        <v>2</v>
      </c>
      <c r="E251" s="137">
        <v>54.53</v>
      </c>
      <c r="F251" s="137" t="s">
        <v>77</v>
      </c>
      <c r="G251" s="136">
        <v>45736</v>
      </c>
      <c r="H251" s="137" t="s">
        <v>79</v>
      </c>
      <c r="I251" s="137" t="s">
        <v>216</v>
      </c>
      <c r="J251" s="137" t="s">
        <v>2357</v>
      </c>
      <c r="K251" s="137"/>
      <c r="L251" s="137"/>
      <c r="M251" s="137"/>
      <c r="N251" s="135"/>
      <c r="O251" s="135" t="s">
        <v>498</v>
      </c>
      <c r="Q251" s="3">
        <f t="shared" si="3"/>
        <v>54.53</v>
      </c>
    </row>
    <row r="252" spans="1:32" x14ac:dyDescent="0.35">
      <c r="A252" s="137" t="s">
        <v>0</v>
      </c>
      <c r="B252" s="137" t="s">
        <v>530</v>
      </c>
      <c r="C252" s="137" t="s">
        <v>1</v>
      </c>
      <c r="D252" s="137" t="s">
        <v>2</v>
      </c>
      <c r="E252" s="137">
        <v>53.84</v>
      </c>
      <c r="F252" s="137" t="s">
        <v>77</v>
      </c>
      <c r="G252" s="136">
        <v>45735</v>
      </c>
      <c r="H252" s="137" t="s">
        <v>78</v>
      </c>
      <c r="I252" s="137" t="s">
        <v>2100</v>
      </c>
      <c r="J252" s="137"/>
      <c r="K252" s="137" t="s">
        <v>708</v>
      </c>
      <c r="L252" s="137" t="s">
        <v>2417</v>
      </c>
      <c r="M252" s="137" t="s">
        <v>709</v>
      </c>
      <c r="N252" s="135"/>
      <c r="O252" s="135"/>
      <c r="Q252" s="3">
        <f t="shared" si="3"/>
        <v>53.84</v>
      </c>
    </row>
    <row r="253" spans="1:32" ht="29" x14ac:dyDescent="0.35">
      <c r="A253" s="137" t="s">
        <v>27</v>
      </c>
      <c r="B253" s="137" t="s">
        <v>382</v>
      </c>
      <c r="C253" s="137" t="s">
        <v>1</v>
      </c>
      <c r="D253" s="137" t="s">
        <v>2</v>
      </c>
      <c r="E253" s="137">
        <v>53.55</v>
      </c>
      <c r="F253" s="137" t="s">
        <v>77</v>
      </c>
      <c r="G253" s="136">
        <v>45736</v>
      </c>
      <c r="H253" s="137" t="s">
        <v>79</v>
      </c>
      <c r="I253" s="137" t="s">
        <v>131</v>
      </c>
      <c r="J253" s="137" t="s">
        <v>2339</v>
      </c>
      <c r="K253" s="137"/>
      <c r="L253" s="137"/>
      <c r="M253" s="137"/>
      <c r="N253" s="135"/>
      <c r="O253" s="135" t="s">
        <v>2343</v>
      </c>
      <c r="Q253" s="3">
        <f t="shared" si="3"/>
        <v>53.55</v>
      </c>
      <c r="S253" s="48" t="s">
        <v>2452</v>
      </c>
    </row>
    <row r="254" spans="1:32" x14ac:dyDescent="0.35">
      <c r="A254" s="137" t="s">
        <v>27</v>
      </c>
      <c r="B254" s="137" t="s">
        <v>496</v>
      </c>
      <c r="C254" s="137" t="s">
        <v>1</v>
      </c>
      <c r="D254" s="137" t="s">
        <v>2</v>
      </c>
      <c r="E254" s="137">
        <v>53.18</v>
      </c>
      <c r="F254" s="137" t="s">
        <v>77</v>
      </c>
      <c r="G254" s="136">
        <v>45681</v>
      </c>
      <c r="H254" s="137" t="s">
        <v>79</v>
      </c>
      <c r="I254" s="137" t="s">
        <v>263</v>
      </c>
      <c r="J254" s="137" t="s">
        <v>266</v>
      </c>
      <c r="K254" s="137"/>
      <c r="L254" s="137"/>
      <c r="M254" s="137"/>
      <c r="N254" s="135"/>
      <c r="O254" s="135" t="s">
        <v>280</v>
      </c>
      <c r="Q254" s="3">
        <f t="shared" si="3"/>
        <v>53.18</v>
      </c>
      <c r="S254" s="48" t="s">
        <v>743</v>
      </c>
    </row>
    <row r="255" spans="1:32" x14ac:dyDescent="0.35">
      <c r="A255" s="137" t="s">
        <v>0</v>
      </c>
      <c r="B255" s="137" t="s">
        <v>317</v>
      </c>
      <c r="C255" s="137" t="s">
        <v>1</v>
      </c>
      <c r="D255" s="137" t="s">
        <v>2</v>
      </c>
      <c r="E255" s="137">
        <v>52.79</v>
      </c>
      <c r="F255" s="137" t="s">
        <v>77</v>
      </c>
      <c r="G255" s="136">
        <v>45677</v>
      </c>
      <c r="H255" s="137" t="s">
        <v>78</v>
      </c>
      <c r="I255" s="137" t="s">
        <v>2053</v>
      </c>
      <c r="J255" s="137"/>
      <c r="K255" s="137" t="s">
        <v>735</v>
      </c>
      <c r="L255" s="137" t="s">
        <v>2054</v>
      </c>
      <c r="M255" s="137" t="s">
        <v>195</v>
      </c>
      <c r="N255" s="137"/>
      <c r="O255" s="137"/>
      <c r="Q255" s="3">
        <f t="shared" si="3"/>
        <v>52.79</v>
      </c>
    </row>
    <row r="256" spans="1:32" x14ac:dyDescent="0.35">
      <c r="A256" s="137" t="s">
        <v>27</v>
      </c>
      <c r="B256" s="137" t="s">
        <v>496</v>
      </c>
      <c r="C256" s="137" t="s">
        <v>1</v>
      </c>
      <c r="D256" s="137" t="s">
        <v>2</v>
      </c>
      <c r="E256" s="137">
        <v>52.730000000000004</v>
      </c>
      <c r="F256" s="137" t="s">
        <v>77</v>
      </c>
      <c r="G256" s="136">
        <v>45670</v>
      </c>
      <c r="H256" s="137" t="s">
        <v>79</v>
      </c>
      <c r="I256" s="137" t="s">
        <v>230</v>
      </c>
      <c r="J256" s="137" t="s">
        <v>193</v>
      </c>
      <c r="K256" s="137"/>
      <c r="L256" s="137"/>
      <c r="M256" s="137"/>
      <c r="N256" s="137"/>
      <c r="O256" s="137" t="s">
        <v>280</v>
      </c>
      <c r="P256" s="79"/>
      <c r="Q256" s="80">
        <f t="shared" si="3"/>
        <v>52.730000000000004</v>
      </c>
      <c r="R256" s="78"/>
      <c r="S256" s="78"/>
      <c r="T256" s="81"/>
      <c r="U256" s="81"/>
      <c r="V256" s="80"/>
      <c r="W256" s="81"/>
      <c r="X256" s="81"/>
      <c r="Y256" s="81"/>
      <c r="Z256" s="81"/>
      <c r="AA256" s="81"/>
      <c r="AB256" s="81"/>
      <c r="AC256" s="81"/>
      <c r="AD256" s="81"/>
      <c r="AE256" s="81"/>
      <c r="AF256" s="81"/>
    </row>
    <row r="257" spans="1:17" x14ac:dyDescent="0.35">
      <c r="A257" s="137" t="s">
        <v>0</v>
      </c>
      <c r="B257" s="137" t="s">
        <v>617</v>
      </c>
      <c r="C257" s="137" t="s">
        <v>1</v>
      </c>
      <c r="D257" s="137" t="s">
        <v>2</v>
      </c>
      <c r="E257" s="137">
        <v>52.55</v>
      </c>
      <c r="F257" s="137" t="s">
        <v>77</v>
      </c>
      <c r="G257" s="136">
        <v>45712</v>
      </c>
      <c r="H257" s="137" t="s">
        <v>78</v>
      </c>
      <c r="I257" s="137" t="s">
        <v>2079</v>
      </c>
      <c r="J257" s="137"/>
      <c r="K257" s="137" t="s">
        <v>2080</v>
      </c>
      <c r="L257" s="137" t="s">
        <v>2081</v>
      </c>
      <c r="M257" s="137" t="s">
        <v>195</v>
      </c>
      <c r="N257" s="135"/>
      <c r="O257" s="135"/>
      <c r="Q257" s="3">
        <f t="shared" si="3"/>
        <v>52.55</v>
      </c>
    </row>
    <row r="258" spans="1:17" x14ac:dyDescent="0.35">
      <c r="A258" s="137" t="s">
        <v>0</v>
      </c>
      <c r="B258" s="137" t="s">
        <v>617</v>
      </c>
      <c r="C258" s="137" t="s">
        <v>1</v>
      </c>
      <c r="D258" s="137" t="s">
        <v>2</v>
      </c>
      <c r="E258" s="137">
        <v>52.55</v>
      </c>
      <c r="F258" s="137" t="s">
        <v>77</v>
      </c>
      <c r="G258" s="136">
        <v>45726</v>
      </c>
      <c r="H258" s="137" t="s">
        <v>78</v>
      </c>
      <c r="I258" s="137" t="s">
        <v>2089</v>
      </c>
      <c r="J258" s="137"/>
      <c r="K258" s="137" t="s">
        <v>2090</v>
      </c>
      <c r="L258" s="137" t="s">
        <v>2091</v>
      </c>
      <c r="M258" s="137" t="s">
        <v>195</v>
      </c>
      <c r="N258" s="135"/>
      <c r="O258" s="135"/>
      <c r="Q258" s="3">
        <f t="shared" si="3"/>
        <v>52.55</v>
      </c>
    </row>
    <row r="259" spans="1:17" x14ac:dyDescent="0.35">
      <c r="A259" s="137" t="s">
        <v>0</v>
      </c>
      <c r="B259" s="137" t="s">
        <v>617</v>
      </c>
      <c r="C259" s="137" t="s">
        <v>1</v>
      </c>
      <c r="D259" s="137" t="s">
        <v>2</v>
      </c>
      <c r="E259" s="137">
        <v>52.51</v>
      </c>
      <c r="F259" s="137" t="s">
        <v>77</v>
      </c>
      <c r="G259" s="136">
        <v>45677</v>
      </c>
      <c r="H259" s="137" t="s">
        <v>78</v>
      </c>
      <c r="I259" s="137" t="s">
        <v>2051</v>
      </c>
      <c r="J259" s="137"/>
      <c r="K259" s="137" t="s">
        <v>735</v>
      </c>
      <c r="L259" s="137" t="s">
        <v>2052</v>
      </c>
      <c r="M259" s="137" t="s">
        <v>195</v>
      </c>
      <c r="Q259" s="3">
        <f t="shared" si="3"/>
        <v>52.51</v>
      </c>
    </row>
    <row r="260" spans="1:17" x14ac:dyDescent="0.35">
      <c r="A260" s="137" t="s">
        <v>0</v>
      </c>
      <c r="B260" s="137" t="s">
        <v>385</v>
      </c>
      <c r="C260" s="137" t="s">
        <v>1</v>
      </c>
      <c r="D260" s="137" t="s">
        <v>2</v>
      </c>
      <c r="E260" s="137">
        <v>52.5</v>
      </c>
      <c r="F260" s="137" t="s">
        <v>77</v>
      </c>
      <c r="G260" s="136">
        <v>45712</v>
      </c>
      <c r="H260" s="137" t="s">
        <v>78</v>
      </c>
      <c r="I260" s="137" t="s">
        <v>2079</v>
      </c>
      <c r="J260" s="137"/>
      <c r="K260" s="137" t="s">
        <v>2080</v>
      </c>
      <c r="L260" s="137" t="s">
        <v>2081</v>
      </c>
      <c r="M260" s="137" t="s">
        <v>195</v>
      </c>
      <c r="Q260" s="3">
        <f t="shared" si="3"/>
        <v>52.5</v>
      </c>
    </row>
    <row r="261" spans="1:17" x14ac:dyDescent="0.35">
      <c r="A261" s="137" t="s">
        <v>0</v>
      </c>
      <c r="B261" s="137" t="s">
        <v>385</v>
      </c>
      <c r="C261" s="137" t="s">
        <v>1</v>
      </c>
      <c r="D261" s="137" t="s">
        <v>2</v>
      </c>
      <c r="E261" s="137">
        <v>52.5</v>
      </c>
      <c r="F261" s="137" t="s">
        <v>77</v>
      </c>
      <c r="G261" s="136">
        <v>45726</v>
      </c>
      <c r="H261" s="137" t="s">
        <v>78</v>
      </c>
      <c r="I261" s="137" t="s">
        <v>2089</v>
      </c>
      <c r="J261" s="137"/>
      <c r="K261" s="137" t="s">
        <v>2090</v>
      </c>
      <c r="L261" s="137" t="s">
        <v>2091</v>
      </c>
      <c r="M261" s="137" t="s">
        <v>195</v>
      </c>
      <c r="N261" s="135"/>
      <c r="O261" s="135"/>
      <c r="Q261" s="3">
        <f t="shared" si="3"/>
        <v>52.5</v>
      </c>
    </row>
    <row r="262" spans="1:17" x14ac:dyDescent="0.35">
      <c r="A262" s="137" t="s">
        <v>0</v>
      </c>
      <c r="B262" s="137" t="s">
        <v>385</v>
      </c>
      <c r="C262" s="137" t="s">
        <v>1</v>
      </c>
      <c r="D262" s="137" t="s">
        <v>2</v>
      </c>
      <c r="E262" s="137">
        <v>52.46</v>
      </c>
      <c r="F262" s="137" t="s">
        <v>77</v>
      </c>
      <c r="G262" s="136">
        <v>45677</v>
      </c>
      <c r="H262" s="137" t="s">
        <v>78</v>
      </c>
      <c r="I262" s="137" t="s">
        <v>2051</v>
      </c>
      <c r="J262" s="137"/>
      <c r="K262" s="137" t="s">
        <v>735</v>
      </c>
      <c r="L262" s="137" t="s">
        <v>2052</v>
      </c>
      <c r="M262" s="137" t="s">
        <v>195</v>
      </c>
      <c r="N262" s="31"/>
      <c r="O262" s="31"/>
      <c r="Q262" s="3">
        <f t="shared" si="3"/>
        <v>52.46</v>
      </c>
    </row>
    <row r="263" spans="1:17" x14ac:dyDescent="0.35">
      <c r="A263" s="137" t="s">
        <v>0</v>
      </c>
      <c r="B263" s="137" t="s">
        <v>400</v>
      </c>
      <c r="C263" s="137" t="s">
        <v>1</v>
      </c>
      <c r="D263" s="137" t="s">
        <v>2</v>
      </c>
      <c r="E263" s="137">
        <v>52.45</v>
      </c>
      <c r="F263" s="137" t="s">
        <v>77</v>
      </c>
      <c r="G263" s="136">
        <v>45677</v>
      </c>
      <c r="H263" s="137" t="s">
        <v>78</v>
      </c>
      <c r="I263" s="137" t="s">
        <v>2053</v>
      </c>
      <c r="J263" s="137"/>
      <c r="K263" s="137" t="s">
        <v>735</v>
      </c>
      <c r="L263" s="137" t="s">
        <v>2054</v>
      </c>
      <c r="M263" s="137" t="s">
        <v>195</v>
      </c>
      <c r="N263" s="135"/>
      <c r="O263" s="135"/>
      <c r="Q263" s="3">
        <f t="shared" si="3"/>
        <v>52.45</v>
      </c>
    </row>
    <row r="264" spans="1:17" x14ac:dyDescent="0.35">
      <c r="A264" s="137" t="s">
        <v>27</v>
      </c>
      <c r="B264" s="137" t="s">
        <v>416</v>
      </c>
      <c r="C264" s="137" t="s">
        <v>1</v>
      </c>
      <c r="D264" s="137" t="s">
        <v>2</v>
      </c>
      <c r="E264" s="137">
        <v>52.3</v>
      </c>
      <c r="F264" s="137" t="s">
        <v>77</v>
      </c>
      <c r="G264" s="136">
        <v>45680</v>
      </c>
      <c r="H264" s="137" t="s">
        <v>79</v>
      </c>
      <c r="I264" s="137" t="s">
        <v>2155</v>
      </c>
      <c r="J264" s="137" t="s">
        <v>2156</v>
      </c>
      <c r="K264" s="137"/>
      <c r="L264" s="137"/>
      <c r="M264" s="137"/>
      <c r="N264" s="135"/>
      <c r="O264" s="135" t="s">
        <v>2157</v>
      </c>
      <c r="Q264" s="3">
        <f t="shared" ref="Q264:Q327" si="4">ABS(E264)</f>
        <v>52.3</v>
      </c>
    </row>
    <row r="265" spans="1:17" x14ac:dyDescent="0.35">
      <c r="A265" s="137" t="s">
        <v>0</v>
      </c>
      <c r="B265" s="137" t="s">
        <v>389</v>
      </c>
      <c r="C265" s="137" t="s">
        <v>1</v>
      </c>
      <c r="D265" s="137" t="s">
        <v>2</v>
      </c>
      <c r="E265" s="137">
        <v>52.1</v>
      </c>
      <c r="F265" s="137" t="s">
        <v>77</v>
      </c>
      <c r="G265" s="136">
        <v>45664</v>
      </c>
      <c r="H265" s="137" t="s">
        <v>78</v>
      </c>
      <c r="I265" s="137" t="s">
        <v>2034</v>
      </c>
      <c r="J265" s="137"/>
      <c r="K265" s="137" t="s">
        <v>2035</v>
      </c>
      <c r="L265" s="137" t="s">
        <v>2036</v>
      </c>
      <c r="M265" s="137" t="s">
        <v>165</v>
      </c>
      <c r="N265" s="135"/>
      <c r="O265" s="135"/>
      <c r="Q265" s="3">
        <f t="shared" si="4"/>
        <v>52.1</v>
      </c>
    </row>
    <row r="266" spans="1:17" x14ac:dyDescent="0.35">
      <c r="A266" s="137" t="s">
        <v>27</v>
      </c>
      <c r="B266" s="137" t="s">
        <v>496</v>
      </c>
      <c r="C266" s="137" t="s">
        <v>1</v>
      </c>
      <c r="D266" s="137" t="s">
        <v>2</v>
      </c>
      <c r="E266" s="137">
        <v>51.91</v>
      </c>
      <c r="F266" s="137" t="s">
        <v>77</v>
      </c>
      <c r="G266" s="136">
        <v>45693</v>
      </c>
      <c r="H266" s="137" t="s">
        <v>79</v>
      </c>
      <c r="I266" s="137" t="s">
        <v>224</v>
      </c>
      <c r="J266" s="137" t="s">
        <v>225</v>
      </c>
      <c r="K266" s="137"/>
      <c r="L266" s="137"/>
      <c r="M266" s="137"/>
      <c r="N266" s="135"/>
      <c r="O266" s="135" t="s">
        <v>280</v>
      </c>
      <c r="Q266" s="3">
        <f t="shared" si="4"/>
        <v>51.91</v>
      </c>
    </row>
    <row r="267" spans="1:17" x14ac:dyDescent="0.35">
      <c r="A267" s="137" t="s">
        <v>0</v>
      </c>
      <c r="B267" s="137" t="s">
        <v>423</v>
      </c>
      <c r="C267" s="137" t="s">
        <v>1</v>
      </c>
      <c r="D267" s="137" t="s">
        <v>2</v>
      </c>
      <c r="E267" s="137">
        <v>51.9</v>
      </c>
      <c r="F267" s="137" t="s">
        <v>77</v>
      </c>
      <c r="G267" s="136">
        <v>45677</v>
      </c>
      <c r="H267" s="137" t="s">
        <v>78</v>
      </c>
      <c r="I267" s="137" t="s">
        <v>2050</v>
      </c>
      <c r="J267" s="137"/>
      <c r="K267" s="137" t="s">
        <v>196</v>
      </c>
      <c r="L267" s="137" t="s">
        <v>2397</v>
      </c>
      <c r="M267" s="137" t="s">
        <v>726</v>
      </c>
      <c r="N267" s="135"/>
      <c r="O267" s="135"/>
      <c r="Q267" s="3">
        <f t="shared" si="4"/>
        <v>51.9</v>
      </c>
    </row>
    <row r="268" spans="1:17" x14ac:dyDescent="0.35">
      <c r="A268" s="137" t="s">
        <v>27</v>
      </c>
      <c r="B268" s="137" t="s">
        <v>496</v>
      </c>
      <c r="C268" s="137" t="s">
        <v>1</v>
      </c>
      <c r="D268" s="137" t="s">
        <v>2</v>
      </c>
      <c r="E268" s="137">
        <v>51.8</v>
      </c>
      <c r="F268" s="137" t="s">
        <v>77</v>
      </c>
      <c r="G268" s="136">
        <v>45705</v>
      </c>
      <c r="H268" s="137" t="s">
        <v>79</v>
      </c>
      <c r="I268" s="137" t="s">
        <v>2227</v>
      </c>
      <c r="J268" s="137" t="s">
        <v>2228</v>
      </c>
      <c r="K268" s="137"/>
      <c r="L268" s="137"/>
      <c r="M268" s="137"/>
      <c r="N268" s="135"/>
      <c r="O268" s="135" t="s">
        <v>705</v>
      </c>
      <c r="Q268" s="3">
        <f t="shared" si="4"/>
        <v>51.8</v>
      </c>
    </row>
    <row r="269" spans="1:17" x14ac:dyDescent="0.35">
      <c r="A269" s="137" t="s">
        <v>0</v>
      </c>
      <c r="B269" s="137" t="s">
        <v>376</v>
      </c>
      <c r="C269" s="137" t="s">
        <v>1</v>
      </c>
      <c r="D269" s="137" t="s">
        <v>2</v>
      </c>
      <c r="E269" s="137">
        <v>51.74</v>
      </c>
      <c r="F269" s="137" t="s">
        <v>77</v>
      </c>
      <c r="G269" s="136">
        <v>45712</v>
      </c>
      <c r="H269" s="137" t="s">
        <v>78</v>
      </c>
      <c r="I269" s="137" t="s">
        <v>2079</v>
      </c>
      <c r="J269" s="137"/>
      <c r="K269" s="137" t="s">
        <v>2080</v>
      </c>
      <c r="L269" s="137" t="s">
        <v>2081</v>
      </c>
      <c r="M269" s="137" t="s">
        <v>195</v>
      </c>
      <c r="Q269" s="3">
        <f t="shared" si="4"/>
        <v>51.74</v>
      </c>
    </row>
    <row r="270" spans="1:17" x14ac:dyDescent="0.35">
      <c r="A270" s="137" t="s">
        <v>0</v>
      </c>
      <c r="B270" s="137" t="s">
        <v>376</v>
      </c>
      <c r="C270" s="137" t="s">
        <v>1</v>
      </c>
      <c r="D270" s="137" t="s">
        <v>2</v>
      </c>
      <c r="E270" s="137">
        <v>51.74</v>
      </c>
      <c r="F270" s="137" t="s">
        <v>77</v>
      </c>
      <c r="G270" s="136">
        <v>45726</v>
      </c>
      <c r="H270" s="137" t="s">
        <v>78</v>
      </c>
      <c r="I270" s="137" t="s">
        <v>2089</v>
      </c>
      <c r="J270" s="137"/>
      <c r="K270" s="137" t="s">
        <v>2090</v>
      </c>
      <c r="L270" s="137" t="s">
        <v>2091</v>
      </c>
      <c r="M270" s="137" t="s">
        <v>195</v>
      </c>
      <c r="Q270" s="3">
        <f t="shared" si="4"/>
        <v>51.74</v>
      </c>
    </row>
    <row r="271" spans="1:17" x14ac:dyDescent="0.35">
      <c r="A271" s="137" t="s">
        <v>0</v>
      </c>
      <c r="B271" s="137" t="s">
        <v>376</v>
      </c>
      <c r="C271" s="137" t="s">
        <v>1</v>
      </c>
      <c r="D271" s="137" t="s">
        <v>2</v>
      </c>
      <c r="E271" s="137">
        <v>51.71</v>
      </c>
      <c r="F271" s="137" t="s">
        <v>77</v>
      </c>
      <c r="G271" s="136">
        <v>45677</v>
      </c>
      <c r="H271" s="137" t="s">
        <v>78</v>
      </c>
      <c r="I271" s="137" t="s">
        <v>2051</v>
      </c>
      <c r="J271" s="137"/>
      <c r="K271" s="137" t="s">
        <v>735</v>
      </c>
      <c r="L271" s="137" t="s">
        <v>2052</v>
      </c>
      <c r="M271" s="137" t="s">
        <v>195</v>
      </c>
      <c r="Q271" s="3">
        <f t="shared" si="4"/>
        <v>51.71</v>
      </c>
    </row>
    <row r="272" spans="1:17" x14ac:dyDescent="0.35">
      <c r="A272" s="137" t="s">
        <v>27</v>
      </c>
      <c r="B272" s="137" t="s">
        <v>382</v>
      </c>
      <c r="C272" s="137" t="s">
        <v>1</v>
      </c>
      <c r="D272" s="137" t="s">
        <v>2</v>
      </c>
      <c r="E272" s="137">
        <v>51.67</v>
      </c>
      <c r="F272" s="137" t="s">
        <v>77</v>
      </c>
      <c r="G272" s="136">
        <v>45736</v>
      </c>
      <c r="H272" s="137" t="s">
        <v>79</v>
      </c>
      <c r="I272" s="137" t="s">
        <v>131</v>
      </c>
      <c r="J272" s="137" t="s">
        <v>2348</v>
      </c>
      <c r="K272" s="137"/>
      <c r="L272" s="137"/>
      <c r="M272" s="137"/>
      <c r="N272" s="135"/>
      <c r="O272" s="135" t="s">
        <v>542</v>
      </c>
      <c r="Q272" s="3">
        <f t="shared" si="4"/>
        <v>51.67</v>
      </c>
    </row>
    <row r="273" spans="1:22" x14ac:dyDescent="0.35">
      <c r="A273" s="137" t="s">
        <v>27</v>
      </c>
      <c r="B273" s="137" t="s">
        <v>401</v>
      </c>
      <c r="C273" s="137" t="s">
        <v>1</v>
      </c>
      <c r="D273" s="137" t="s">
        <v>2</v>
      </c>
      <c r="E273" s="137">
        <v>51.23</v>
      </c>
      <c r="F273" s="137" t="s">
        <v>77</v>
      </c>
      <c r="G273" s="136">
        <v>45736</v>
      </c>
      <c r="H273" s="137" t="s">
        <v>79</v>
      </c>
      <c r="I273" s="137" t="s">
        <v>2331</v>
      </c>
      <c r="J273" s="137" t="s">
        <v>2332</v>
      </c>
      <c r="K273" s="137"/>
      <c r="L273" s="137"/>
      <c r="M273" s="137"/>
      <c r="N273" s="135"/>
      <c r="O273" s="135" t="s">
        <v>2334</v>
      </c>
      <c r="Q273" s="3">
        <f t="shared" si="4"/>
        <v>51.23</v>
      </c>
    </row>
    <row r="274" spans="1:22" x14ac:dyDescent="0.35">
      <c r="A274" s="137" t="s">
        <v>0</v>
      </c>
      <c r="B274" s="137" t="s">
        <v>423</v>
      </c>
      <c r="C274" s="137" t="s">
        <v>1</v>
      </c>
      <c r="D274" s="137" t="s">
        <v>2</v>
      </c>
      <c r="E274" s="137">
        <v>51.11</v>
      </c>
      <c r="F274" s="137" t="s">
        <v>77</v>
      </c>
      <c r="G274" s="136">
        <v>45664</v>
      </c>
      <c r="H274" s="137" t="s">
        <v>78</v>
      </c>
      <c r="I274" s="137" t="s">
        <v>2024</v>
      </c>
      <c r="J274" s="137"/>
      <c r="K274" s="137" t="s">
        <v>196</v>
      </c>
      <c r="L274" s="137" t="s">
        <v>2394</v>
      </c>
      <c r="M274" s="137" t="s">
        <v>726</v>
      </c>
      <c r="N274" s="137"/>
      <c r="O274" s="137"/>
      <c r="Q274" s="3">
        <f t="shared" si="4"/>
        <v>51.11</v>
      </c>
    </row>
    <row r="275" spans="1:22" x14ac:dyDescent="0.35">
      <c r="A275" s="137" t="s">
        <v>0</v>
      </c>
      <c r="B275" s="137" t="s">
        <v>530</v>
      </c>
      <c r="C275" s="137" t="s">
        <v>1</v>
      </c>
      <c r="D275" s="137" t="s">
        <v>2</v>
      </c>
      <c r="E275" s="137">
        <v>51.01</v>
      </c>
      <c r="F275" s="137" t="s">
        <v>77</v>
      </c>
      <c r="G275" s="136">
        <v>45721</v>
      </c>
      <c r="H275" s="137" t="s">
        <v>78</v>
      </c>
      <c r="I275" s="137" t="s">
        <v>2085</v>
      </c>
      <c r="J275" s="137"/>
      <c r="K275" s="137" t="s">
        <v>708</v>
      </c>
      <c r="L275" s="137" t="s">
        <v>2411</v>
      </c>
      <c r="M275" s="137" t="s">
        <v>709</v>
      </c>
      <c r="N275" s="137"/>
      <c r="O275" s="137"/>
      <c r="Q275" s="3">
        <f t="shared" si="4"/>
        <v>51.01</v>
      </c>
    </row>
    <row r="276" spans="1:22" x14ac:dyDescent="0.35">
      <c r="A276" s="137" t="s">
        <v>0</v>
      </c>
      <c r="B276" s="137" t="s">
        <v>335</v>
      </c>
      <c r="C276" s="137" t="s">
        <v>1</v>
      </c>
      <c r="D276" s="137" t="s">
        <v>2</v>
      </c>
      <c r="E276" s="137">
        <v>50.97</v>
      </c>
      <c r="F276" s="137" t="s">
        <v>77</v>
      </c>
      <c r="G276" s="136">
        <v>45712</v>
      </c>
      <c r="H276" s="137" t="s">
        <v>78</v>
      </c>
      <c r="I276" s="137" t="s">
        <v>2082</v>
      </c>
      <c r="J276" s="137"/>
      <c r="K276" s="137" t="s">
        <v>2080</v>
      </c>
      <c r="L276" s="137" t="s">
        <v>2083</v>
      </c>
      <c r="M276" s="137" t="s">
        <v>195</v>
      </c>
      <c r="Q276" s="3">
        <f t="shared" si="4"/>
        <v>50.97</v>
      </c>
    </row>
    <row r="277" spans="1:22" x14ac:dyDescent="0.35">
      <c r="A277" s="137" t="s">
        <v>0</v>
      </c>
      <c r="B277" s="137" t="s">
        <v>422</v>
      </c>
      <c r="C277" s="137" t="s">
        <v>1</v>
      </c>
      <c r="D277" s="137" t="s">
        <v>2</v>
      </c>
      <c r="E277" s="137">
        <v>50.91</v>
      </c>
      <c r="F277" s="137" t="s">
        <v>77</v>
      </c>
      <c r="G277" s="136">
        <v>45712</v>
      </c>
      <c r="H277" s="137" t="s">
        <v>78</v>
      </c>
      <c r="I277" s="137" t="s">
        <v>2082</v>
      </c>
      <c r="J277" s="137"/>
      <c r="K277" s="137" t="s">
        <v>2080</v>
      </c>
      <c r="L277" s="137" t="s">
        <v>2083</v>
      </c>
      <c r="M277" s="137" t="s">
        <v>195</v>
      </c>
      <c r="N277" s="135"/>
      <c r="O277" s="135"/>
      <c r="Q277" s="3">
        <f t="shared" si="4"/>
        <v>50.91</v>
      </c>
    </row>
    <row r="278" spans="1:22" x14ac:dyDescent="0.35">
      <c r="A278" s="137" t="s">
        <v>27</v>
      </c>
      <c r="B278" s="137" t="s">
        <v>471</v>
      </c>
      <c r="C278" s="137" t="s">
        <v>1</v>
      </c>
      <c r="D278" s="137" t="s">
        <v>2</v>
      </c>
      <c r="E278" s="137">
        <v>50.91</v>
      </c>
      <c r="F278" s="137" t="s">
        <v>77</v>
      </c>
      <c r="G278" s="136">
        <v>45723</v>
      </c>
      <c r="H278" s="137" t="s">
        <v>79</v>
      </c>
      <c r="I278" s="137" t="s">
        <v>472</v>
      </c>
      <c r="J278" s="137" t="s">
        <v>2282</v>
      </c>
      <c r="K278" s="137"/>
      <c r="L278" s="137"/>
      <c r="M278" s="137"/>
      <c r="N278" s="135"/>
      <c r="O278" s="135" t="s">
        <v>473</v>
      </c>
      <c r="Q278" s="3">
        <f t="shared" si="4"/>
        <v>50.91</v>
      </c>
      <c r="S278" s="48" t="s">
        <v>44</v>
      </c>
      <c r="T278" t="s">
        <v>54</v>
      </c>
      <c r="U278" s="3" t="str">
        <f>B278</f>
        <v>AU030512</v>
      </c>
      <c r="V278" s="3">
        <f>E278</f>
        <v>50.91</v>
      </c>
    </row>
    <row r="279" spans="1:22" x14ac:dyDescent="0.35">
      <c r="A279" s="137" t="s">
        <v>27</v>
      </c>
      <c r="B279" s="137" t="s">
        <v>347</v>
      </c>
      <c r="C279" s="137" t="s">
        <v>1</v>
      </c>
      <c r="D279" s="137" t="s">
        <v>2</v>
      </c>
      <c r="E279" s="137">
        <v>-50.91</v>
      </c>
      <c r="F279" s="137" t="s">
        <v>77</v>
      </c>
      <c r="G279" s="136">
        <v>45736</v>
      </c>
      <c r="H279" s="137" t="s">
        <v>79</v>
      </c>
      <c r="I279" s="137" t="s">
        <v>217</v>
      </c>
      <c r="J279" s="137" t="s">
        <v>2360</v>
      </c>
      <c r="K279" s="137"/>
      <c r="L279" s="137"/>
      <c r="M279" s="137"/>
      <c r="N279" s="137"/>
      <c r="O279" s="137" t="s">
        <v>284</v>
      </c>
      <c r="Q279" s="3">
        <f t="shared" si="4"/>
        <v>50.91</v>
      </c>
    </row>
    <row r="280" spans="1:22" x14ac:dyDescent="0.35">
      <c r="A280" s="137" t="s">
        <v>27</v>
      </c>
      <c r="B280" s="137" t="s">
        <v>378</v>
      </c>
      <c r="C280" s="137" t="s">
        <v>1</v>
      </c>
      <c r="D280" s="137" t="s">
        <v>2</v>
      </c>
      <c r="E280" s="137">
        <v>50.82</v>
      </c>
      <c r="F280" s="137" t="s">
        <v>77</v>
      </c>
      <c r="G280" s="136">
        <v>45733</v>
      </c>
      <c r="H280" s="137" t="s">
        <v>79</v>
      </c>
      <c r="I280" s="137" t="s">
        <v>695</v>
      </c>
      <c r="J280" s="137" t="s">
        <v>2319</v>
      </c>
      <c r="K280" s="137"/>
      <c r="L280" s="137"/>
      <c r="M280" s="137"/>
      <c r="N280" s="137"/>
      <c r="O280" s="137" t="s">
        <v>2320</v>
      </c>
      <c r="Q280" s="3">
        <f t="shared" si="4"/>
        <v>50.82</v>
      </c>
    </row>
    <row r="281" spans="1:22" x14ac:dyDescent="0.35">
      <c r="A281" s="137" t="s">
        <v>27</v>
      </c>
      <c r="B281" s="137" t="s">
        <v>377</v>
      </c>
      <c r="C281" s="137" t="s">
        <v>1</v>
      </c>
      <c r="D281" s="137" t="s">
        <v>2</v>
      </c>
      <c r="E281" s="137">
        <v>50.27</v>
      </c>
      <c r="F281" s="137" t="s">
        <v>77</v>
      </c>
      <c r="G281" s="136">
        <v>45734</v>
      </c>
      <c r="H281" s="137" t="s">
        <v>79</v>
      </c>
      <c r="I281" s="137" t="s">
        <v>659</v>
      </c>
      <c r="J281" s="137" t="s">
        <v>193</v>
      </c>
      <c r="K281" s="137"/>
      <c r="L281" s="137"/>
      <c r="M281" s="137"/>
      <c r="N281" s="137"/>
      <c r="O281" s="137" t="s">
        <v>691</v>
      </c>
      <c r="Q281" s="3">
        <f t="shared" si="4"/>
        <v>50.27</v>
      </c>
    </row>
    <row r="282" spans="1:22" x14ac:dyDescent="0.35">
      <c r="A282" s="137" t="s">
        <v>27</v>
      </c>
      <c r="B282" s="137" t="s">
        <v>588</v>
      </c>
      <c r="C282" s="137" t="s">
        <v>1</v>
      </c>
      <c r="D282" s="137" t="s">
        <v>2</v>
      </c>
      <c r="E282" s="137">
        <v>49.95</v>
      </c>
      <c r="F282" s="137" t="s">
        <v>77</v>
      </c>
      <c r="G282" s="136">
        <v>45693</v>
      </c>
      <c r="H282" s="137" t="s">
        <v>79</v>
      </c>
      <c r="I282" s="137" t="s">
        <v>201</v>
      </c>
      <c r="J282" s="137" t="s">
        <v>202</v>
      </c>
      <c r="K282" s="137"/>
      <c r="L282" s="137"/>
      <c r="M282" s="137"/>
      <c r="N282" s="137"/>
      <c r="O282" s="137" t="s">
        <v>268</v>
      </c>
      <c r="Q282" s="3">
        <f t="shared" si="4"/>
        <v>49.95</v>
      </c>
    </row>
    <row r="283" spans="1:22" x14ac:dyDescent="0.35">
      <c r="A283" s="137" t="s">
        <v>0</v>
      </c>
      <c r="B283" s="137" t="s">
        <v>530</v>
      </c>
      <c r="C283" s="137" t="s">
        <v>1</v>
      </c>
      <c r="D283" s="137" t="s">
        <v>2</v>
      </c>
      <c r="E283" s="137">
        <v>49.79</v>
      </c>
      <c r="F283" s="137" t="s">
        <v>77</v>
      </c>
      <c r="G283" s="136">
        <v>45728</v>
      </c>
      <c r="H283" s="137" t="s">
        <v>78</v>
      </c>
      <c r="I283" s="137" t="s">
        <v>2094</v>
      </c>
      <c r="J283" s="137"/>
      <c r="K283" s="137" t="s">
        <v>708</v>
      </c>
      <c r="L283" s="137" t="s">
        <v>2414</v>
      </c>
      <c r="M283" s="137" t="s">
        <v>709</v>
      </c>
      <c r="N283" s="137"/>
      <c r="O283" s="137"/>
      <c r="Q283" s="3">
        <f t="shared" si="4"/>
        <v>49.79</v>
      </c>
    </row>
    <row r="284" spans="1:22" x14ac:dyDescent="0.35">
      <c r="A284" s="137" t="s">
        <v>27</v>
      </c>
      <c r="B284" s="137" t="s">
        <v>496</v>
      </c>
      <c r="C284" s="137" t="s">
        <v>1</v>
      </c>
      <c r="D284" s="137" t="s">
        <v>2</v>
      </c>
      <c r="E284" s="137">
        <v>48.61</v>
      </c>
      <c r="F284" s="137" t="s">
        <v>77</v>
      </c>
      <c r="G284" s="136">
        <v>45740</v>
      </c>
      <c r="H284" s="137" t="s">
        <v>79</v>
      </c>
      <c r="I284" s="137" t="s">
        <v>230</v>
      </c>
      <c r="J284" s="137" t="s">
        <v>193</v>
      </c>
      <c r="K284" s="137"/>
      <c r="L284" s="137"/>
      <c r="M284" s="137"/>
      <c r="N284" s="137"/>
      <c r="O284" s="137" t="s">
        <v>280</v>
      </c>
      <c r="Q284" s="3">
        <f t="shared" si="4"/>
        <v>48.61</v>
      </c>
    </row>
    <row r="285" spans="1:22" x14ac:dyDescent="0.35">
      <c r="A285" s="137" t="s">
        <v>0</v>
      </c>
      <c r="B285" s="137" t="s">
        <v>400</v>
      </c>
      <c r="C285" s="137" t="s">
        <v>1</v>
      </c>
      <c r="D285" s="137" t="s">
        <v>2</v>
      </c>
      <c r="E285" s="137">
        <v>48.37</v>
      </c>
      <c r="F285" s="137" t="s">
        <v>77</v>
      </c>
      <c r="G285" s="136">
        <v>45726</v>
      </c>
      <c r="H285" s="137" t="s">
        <v>78</v>
      </c>
      <c r="I285" s="137" t="s">
        <v>2092</v>
      </c>
      <c r="J285" s="137"/>
      <c r="K285" s="137" t="s">
        <v>2090</v>
      </c>
      <c r="L285" s="137" t="s">
        <v>2093</v>
      </c>
      <c r="M285" s="137" t="s">
        <v>195</v>
      </c>
      <c r="N285" s="31"/>
      <c r="O285" s="31"/>
      <c r="Q285" s="3">
        <f t="shared" si="4"/>
        <v>48.37</v>
      </c>
    </row>
    <row r="286" spans="1:22" x14ac:dyDescent="0.35">
      <c r="A286" s="137" t="s">
        <v>27</v>
      </c>
      <c r="B286" s="137" t="s">
        <v>496</v>
      </c>
      <c r="C286" s="137" t="s">
        <v>1</v>
      </c>
      <c r="D286" s="137" t="s">
        <v>2</v>
      </c>
      <c r="E286" s="137">
        <v>48.26</v>
      </c>
      <c r="F286" s="137" t="s">
        <v>77</v>
      </c>
      <c r="G286" s="136">
        <v>45693</v>
      </c>
      <c r="H286" s="137" t="s">
        <v>79</v>
      </c>
      <c r="I286" s="137" t="s">
        <v>230</v>
      </c>
      <c r="J286" s="137" t="s">
        <v>193</v>
      </c>
      <c r="K286" s="137"/>
      <c r="L286" s="137"/>
      <c r="M286" s="137"/>
      <c r="N286" s="137"/>
      <c r="O286" s="137" t="s">
        <v>280</v>
      </c>
      <c r="Q286" s="3">
        <f t="shared" si="4"/>
        <v>48.26</v>
      </c>
    </row>
    <row r="287" spans="1:22" x14ac:dyDescent="0.35">
      <c r="A287" s="137" t="s">
        <v>0</v>
      </c>
      <c r="B287" s="137" t="s">
        <v>486</v>
      </c>
      <c r="C287" s="137" t="s">
        <v>1</v>
      </c>
      <c r="D287" s="137" t="s">
        <v>2</v>
      </c>
      <c r="E287" s="137">
        <v>48.07</v>
      </c>
      <c r="F287" s="137" t="s">
        <v>77</v>
      </c>
      <c r="G287" s="136">
        <v>45712</v>
      </c>
      <c r="H287" s="137" t="s">
        <v>78</v>
      </c>
      <c r="I287" s="137" t="s">
        <v>2079</v>
      </c>
      <c r="J287" s="137"/>
      <c r="K287" s="137" t="s">
        <v>2080</v>
      </c>
      <c r="L287" s="137" t="s">
        <v>2081</v>
      </c>
      <c r="M287" s="137" t="s">
        <v>195</v>
      </c>
      <c r="Q287" s="3">
        <f t="shared" si="4"/>
        <v>48.07</v>
      </c>
    </row>
    <row r="288" spans="1:22" x14ac:dyDescent="0.35">
      <c r="A288" s="137" t="s">
        <v>0</v>
      </c>
      <c r="B288" s="137" t="s">
        <v>486</v>
      </c>
      <c r="C288" s="137" t="s">
        <v>1</v>
      </c>
      <c r="D288" s="137" t="s">
        <v>2</v>
      </c>
      <c r="E288" s="137">
        <v>48.07</v>
      </c>
      <c r="F288" s="137" t="s">
        <v>77</v>
      </c>
      <c r="G288" s="136">
        <v>45726</v>
      </c>
      <c r="H288" s="137" t="s">
        <v>78</v>
      </c>
      <c r="I288" s="137" t="s">
        <v>2089</v>
      </c>
      <c r="J288" s="137"/>
      <c r="K288" s="137" t="s">
        <v>2090</v>
      </c>
      <c r="L288" s="137" t="s">
        <v>2091</v>
      </c>
      <c r="M288" s="137" t="s">
        <v>195</v>
      </c>
      <c r="Q288" s="3">
        <f t="shared" si="4"/>
        <v>48.07</v>
      </c>
    </row>
    <row r="289" spans="1:17" x14ac:dyDescent="0.35">
      <c r="A289" s="137" t="s">
        <v>0</v>
      </c>
      <c r="B289" s="137" t="s">
        <v>486</v>
      </c>
      <c r="C289" s="137" t="s">
        <v>1</v>
      </c>
      <c r="D289" s="137" t="s">
        <v>2</v>
      </c>
      <c r="E289" s="137">
        <v>48.04</v>
      </c>
      <c r="F289" s="137" t="s">
        <v>77</v>
      </c>
      <c r="G289" s="136">
        <v>45677</v>
      </c>
      <c r="H289" s="137" t="s">
        <v>78</v>
      </c>
      <c r="I289" s="137" t="s">
        <v>2051</v>
      </c>
      <c r="J289" s="137"/>
      <c r="K289" s="137" t="s">
        <v>735</v>
      </c>
      <c r="L289" s="137" t="s">
        <v>2052</v>
      </c>
      <c r="M289" s="137" t="s">
        <v>195</v>
      </c>
      <c r="Q289" s="3">
        <f t="shared" si="4"/>
        <v>48.04</v>
      </c>
    </row>
    <row r="290" spans="1:17" x14ac:dyDescent="0.35">
      <c r="A290" s="137" t="s">
        <v>27</v>
      </c>
      <c r="B290" s="137" t="s">
        <v>530</v>
      </c>
      <c r="C290" s="137" t="s">
        <v>1</v>
      </c>
      <c r="D290" s="137" t="s">
        <v>2</v>
      </c>
      <c r="E290" s="137">
        <v>47</v>
      </c>
      <c r="F290" s="137" t="s">
        <v>77</v>
      </c>
      <c r="G290" s="136">
        <v>45671</v>
      </c>
      <c r="H290" s="137" t="s">
        <v>79</v>
      </c>
      <c r="I290" s="137" t="s">
        <v>575</v>
      </c>
      <c r="J290" s="137" t="s">
        <v>2128</v>
      </c>
      <c r="K290" s="137"/>
      <c r="L290" s="137"/>
      <c r="M290" s="137"/>
      <c r="N290" s="137"/>
      <c r="O290" s="137" t="s">
        <v>297</v>
      </c>
      <c r="Q290" s="3">
        <f t="shared" si="4"/>
        <v>47</v>
      </c>
    </row>
    <row r="291" spans="1:17" x14ac:dyDescent="0.35">
      <c r="A291" s="137" t="s">
        <v>27</v>
      </c>
      <c r="B291" s="137" t="s">
        <v>529</v>
      </c>
      <c r="C291" s="137" t="s">
        <v>1</v>
      </c>
      <c r="D291" s="137" t="s">
        <v>2</v>
      </c>
      <c r="E291" s="137">
        <v>46.05</v>
      </c>
      <c r="F291" s="137" t="s">
        <v>77</v>
      </c>
      <c r="G291" s="136">
        <v>45677</v>
      </c>
      <c r="H291" s="137" t="s">
        <v>79</v>
      </c>
      <c r="I291" s="137" t="s">
        <v>549</v>
      </c>
      <c r="J291" s="137" t="s">
        <v>2141</v>
      </c>
      <c r="K291" s="137"/>
      <c r="L291" s="137"/>
      <c r="M291" s="137"/>
      <c r="N291" s="137"/>
      <c r="O291" s="137" t="s">
        <v>281</v>
      </c>
      <c r="Q291" s="3">
        <f t="shared" si="4"/>
        <v>46.05</v>
      </c>
    </row>
    <row r="292" spans="1:17" x14ac:dyDescent="0.35">
      <c r="A292" s="137" t="s">
        <v>27</v>
      </c>
      <c r="B292" s="137" t="s">
        <v>496</v>
      </c>
      <c r="C292" s="137" t="s">
        <v>1</v>
      </c>
      <c r="D292" s="137" t="s">
        <v>2</v>
      </c>
      <c r="E292" s="137">
        <v>45.45</v>
      </c>
      <c r="F292" s="137" t="s">
        <v>77</v>
      </c>
      <c r="G292" s="136">
        <v>45705</v>
      </c>
      <c r="H292" s="137" t="s">
        <v>79</v>
      </c>
      <c r="I292" s="137" t="s">
        <v>2233</v>
      </c>
      <c r="J292" s="137" t="s">
        <v>2231</v>
      </c>
      <c r="K292" s="137"/>
      <c r="L292" s="137"/>
      <c r="M292" s="137"/>
      <c r="N292" s="137"/>
      <c r="O292" s="137" t="s">
        <v>2234</v>
      </c>
      <c r="Q292" s="3">
        <f t="shared" si="4"/>
        <v>45.45</v>
      </c>
    </row>
    <row r="293" spans="1:17" x14ac:dyDescent="0.35">
      <c r="A293" s="137" t="s">
        <v>0</v>
      </c>
      <c r="B293" s="137" t="s">
        <v>530</v>
      </c>
      <c r="C293" s="137" t="s">
        <v>1</v>
      </c>
      <c r="D293" s="137" t="s">
        <v>2</v>
      </c>
      <c r="E293" s="137">
        <v>45.23</v>
      </c>
      <c r="F293" s="137" t="s">
        <v>77</v>
      </c>
      <c r="G293" s="136">
        <v>45680</v>
      </c>
      <c r="H293" s="137" t="s">
        <v>78</v>
      </c>
      <c r="I293" s="137" t="s">
        <v>2055</v>
      </c>
      <c r="J293" s="137"/>
      <c r="K293" s="137" t="s">
        <v>708</v>
      </c>
      <c r="L293" s="137" t="s">
        <v>2398</v>
      </c>
      <c r="M293" s="137" t="s">
        <v>709</v>
      </c>
      <c r="N293" s="137"/>
      <c r="O293" s="137"/>
      <c r="Q293" s="3">
        <f t="shared" si="4"/>
        <v>45.23</v>
      </c>
    </row>
    <row r="294" spans="1:17" x14ac:dyDescent="0.35">
      <c r="A294" s="137" t="s">
        <v>27</v>
      </c>
      <c r="B294" s="137" t="s">
        <v>496</v>
      </c>
      <c r="C294" s="137" t="s">
        <v>1</v>
      </c>
      <c r="D294" s="137" t="s">
        <v>2</v>
      </c>
      <c r="E294" s="137">
        <v>45.21</v>
      </c>
      <c r="F294" s="137" t="s">
        <v>77</v>
      </c>
      <c r="G294" s="136">
        <v>45722</v>
      </c>
      <c r="H294" s="137" t="s">
        <v>79</v>
      </c>
      <c r="I294" s="137" t="s">
        <v>2274</v>
      </c>
      <c r="J294" s="137" t="s">
        <v>2275</v>
      </c>
      <c r="K294" s="137"/>
      <c r="L294" s="137"/>
      <c r="M294" s="137"/>
      <c r="N294" s="137"/>
      <c r="O294" s="137" t="s">
        <v>280</v>
      </c>
      <c r="Q294" s="3">
        <f t="shared" si="4"/>
        <v>45.21</v>
      </c>
    </row>
    <row r="295" spans="1:17" x14ac:dyDescent="0.35">
      <c r="A295" s="137" t="s">
        <v>0</v>
      </c>
      <c r="B295" s="137" t="s">
        <v>391</v>
      </c>
      <c r="C295" s="137" t="s">
        <v>1</v>
      </c>
      <c r="D295" s="137" t="s">
        <v>2</v>
      </c>
      <c r="E295" s="137">
        <v>45.06</v>
      </c>
      <c r="F295" s="137" t="s">
        <v>77</v>
      </c>
      <c r="G295" s="136">
        <v>45673</v>
      </c>
      <c r="H295" s="137" t="s">
        <v>78</v>
      </c>
      <c r="I295" s="137" t="s">
        <v>2046</v>
      </c>
      <c r="J295" s="137"/>
      <c r="K295" s="137" t="s">
        <v>2026</v>
      </c>
      <c r="L295" s="137" t="s">
        <v>2047</v>
      </c>
      <c r="M295" s="137" t="s">
        <v>212</v>
      </c>
      <c r="N295" s="137"/>
      <c r="O295" s="137"/>
      <c r="Q295" s="3">
        <f t="shared" si="4"/>
        <v>45.06</v>
      </c>
    </row>
    <row r="296" spans="1:17" x14ac:dyDescent="0.35">
      <c r="A296" s="137" t="s">
        <v>27</v>
      </c>
      <c r="B296" s="137" t="s">
        <v>588</v>
      </c>
      <c r="C296" s="137" t="s">
        <v>1</v>
      </c>
      <c r="D296" s="137" t="s">
        <v>2</v>
      </c>
      <c r="E296" s="137">
        <v>45</v>
      </c>
      <c r="F296" s="137" t="s">
        <v>77</v>
      </c>
      <c r="G296" s="136">
        <v>45736</v>
      </c>
      <c r="H296" s="137" t="s">
        <v>79</v>
      </c>
      <c r="I296" s="137" t="s">
        <v>2335</v>
      </c>
      <c r="J296" s="137" t="s">
        <v>2336</v>
      </c>
      <c r="K296" s="137"/>
      <c r="L296" s="137"/>
      <c r="M296" s="137"/>
      <c r="N296" s="137"/>
      <c r="O296" s="137" t="s">
        <v>2337</v>
      </c>
      <c r="Q296" s="3">
        <f t="shared" si="4"/>
        <v>45</v>
      </c>
    </row>
    <row r="297" spans="1:17" x14ac:dyDescent="0.35">
      <c r="A297" s="137" t="s">
        <v>27</v>
      </c>
      <c r="B297" s="137" t="s">
        <v>588</v>
      </c>
      <c r="C297" s="137" t="s">
        <v>1</v>
      </c>
      <c r="D297" s="137" t="s">
        <v>2</v>
      </c>
      <c r="E297" s="137">
        <v>45</v>
      </c>
      <c r="F297" s="137" t="s">
        <v>77</v>
      </c>
      <c r="G297" s="136">
        <v>45736</v>
      </c>
      <c r="H297" s="137" t="s">
        <v>79</v>
      </c>
      <c r="I297" s="137" t="s">
        <v>2335</v>
      </c>
      <c r="J297" s="137" t="s">
        <v>2338</v>
      </c>
      <c r="K297" s="137"/>
      <c r="L297" s="137"/>
      <c r="M297" s="137"/>
      <c r="N297" s="137"/>
      <c r="O297" s="137" t="s">
        <v>2337</v>
      </c>
      <c r="Q297" s="3">
        <f t="shared" si="4"/>
        <v>45</v>
      </c>
    </row>
    <row r="298" spans="1:17" x14ac:dyDescent="0.35">
      <c r="A298" s="137" t="s">
        <v>0</v>
      </c>
      <c r="B298" s="137" t="s">
        <v>333</v>
      </c>
      <c r="C298" s="137" t="s">
        <v>1</v>
      </c>
      <c r="D298" s="137" t="s">
        <v>2</v>
      </c>
      <c r="E298" s="137">
        <v>44.99</v>
      </c>
      <c r="F298" s="137" t="s">
        <v>77</v>
      </c>
      <c r="G298" s="136">
        <v>45677</v>
      </c>
      <c r="H298" s="137" t="s">
        <v>78</v>
      </c>
      <c r="I298" s="137" t="s">
        <v>2051</v>
      </c>
      <c r="J298" s="137"/>
      <c r="K298" s="137" t="s">
        <v>735</v>
      </c>
      <c r="L298" s="137" t="s">
        <v>2052</v>
      </c>
      <c r="M298" s="137" t="s">
        <v>195</v>
      </c>
      <c r="N298" s="137"/>
      <c r="O298" s="137"/>
      <c r="Q298" s="3">
        <f t="shared" si="4"/>
        <v>44.99</v>
      </c>
    </row>
    <row r="299" spans="1:17" x14ac:dyDescent="0.35">
      <c r="A299" s="137" t="s">
        <v>27</v>
      </c>
      <c r="B299" s="137" t="s">
        <v>529</v>
      </c>
      <c r="C299" s="137" t="s">
        <v>1</v>
      </c>
      <c r="D299" s="137" t="s">
        <v>2</v>
      </c>
      <c r="E299" s="137">
        <v>44.86</v>
      </c>
      <c r="F299" s="137" t="s">
        <v>77</v>
      </c>
      <c r="G299" s="136">
        <v>45733</v>
      </c>
      <c r="H299" s="137" t="s">
        <v>79</v>
      </c>
      <c r="I299" s="137" t="s">
        <v>552</v>
      </c>
      <c r="J299" s="137" t="s">
        <v>660</v>
      </c>
      <c r="K299" s="137"/>
      <c r="L299" s="137"/>
      <c r="M299" s="137"/>
      <c r="N299" s="137"/>
      <c r="O299" s="137" t="s">
        <v>281</v>
      </c>
      <c r="Q299" s="3">
        <f t="shared" si="4"/>
        <v>44.86</v>
      </c>
    </row>
    <row r="300" spans="1:17" x14ac:dyDescent="0.35">
      <c r="A300" s="137" t="s">
        <v>27</v>
      </c>
      <c r="B300" s="137" t="s">
        <v>401</v>
      </c>
      <c r="C300" s="137" t="s">
        <v>1</v>
      </c>
      <c r="D300" s="137" t="s">
        <v>2</v>
      </c>
      <c r="E300" s="137">
        <v>44.730000000000004</v>
      </c>
      <c r="F300" s="137" t="s">
        <v>77</v>
      </c>
      <c r="G300" s="136">
        <v>45736</v>
      </c>
      <c r="H300" s="137" t="s">
        <v>79</v>
      </c>
      <c r="I300" s="137" t="s">
        <v>2331</v>
      </c>
      <c r="J300" s="137" t="s">
        <v>2332</v>
      </c>
      <c r="K300" s="137"/>
      <c r="L300" s="137"/>
      <c r="M300" s="137"/>
      <c r="N300" s="137"/>
      <c r="O300" s="137" t="s">
        <v>2333</v>
      </c>
      <c r="Q300" s="3">
        <f t="shared" si="4"/>
        <v>44.730000000000004</v>
      </c>
    </row>
    <row r="301" spans="1:17" x14ac:dyDescent="0.35">
      <c r="A301" s="137" t="s">
        <v>0</v>
      </c>
      <c r="B301" s="137" t="s">
        <v>529</v>
      </c>
      <c r="C301" s="137" t="s">
        <v>1</v>
      </c>
      <c r="D301" s="137" t="s">
        <v>2</v>
      </c>
      <c r="E301" s="137">
        <v>43.96</v>
      </c>
      <c r="F301" s="137" t="s">
        <v>77</v>
      </c>
      <c r="G301" s="136">
        <v>45677</v>
      </c>
      <c r="H301" s="137" t="s">
        <v>78</v>
      </c>
      <c r="I301" s="137" t="s">
        <v>2053</v>
      </c>
      <c r="J301" s="137"/>
      <c r="K301" s="137" t="s">
        <v>735</v>
      </c>
      <c r="L301" s="137" t="s">
        <v>2054</v>
      </c>
      <c r="M301" s="137" t="s">
        <v>195</v>
      </c>
      <c r="Q301" s="3">
        <f t="shared" si="4"/>
        <v>43.96</v>
      </c>
    </row>
    <row r="302" spans="1:17" x14ac:dyDescent="0.35">
      <c r="A302" s="137" t="s">
        <v>27</v>
      </c>
      <c r="B302" s="137" t="s">
        <v>360</v>
      </c>
      <c r="C302" s="137" t="s">
        <v>1</v>
      </c>
      <c r="D302" s="137" t="s">
        <v>2</v>
      </c>
      <c r="E302" s="137">
        <v>43.68</v>
      </c>
      <c r="F302" s="137" t="s">
        <v>77</v>
      </c>
      <c r="G302" s="136">
        <v>45694</v>
      </c>
      <c r="H302" s="137" t="s">
        <v>79</v>
      </c>
      <c r="I302" s="137" t="s">
        <v>261</v>
      </c>
      <c r="J302" s="137" t="s">
        <v>2210</v>
      </c>
      <c r="K302" s="137"/>
      <c r="L302" s="137"/>
      <c r="M302" s="137"/>
      <c r="N302" s="137"/>
      <c r="O302" s="137" t="s">
        <v>296</v>
      </c>
      <c r="Q302" s="3">
        <f t="shared" si="4"/>
        <v>43.68</v>
      </c>
    </row>
    <row r="303" spans="1:17" x14ac:dyDescent="0.35">
      <c r="A303" s="137" t="s">
        <v>0</v>
      </c>
      <c r="B303" s="137" t="s">
        <v>382</v>
      </c>
      <c r="C303" s="137" t="s">
        <v>1</v>
      </c>
      <c r="D303" s="137" t="s">
        <v>2</v>
      </c>
      <c r="E303" s="137">
        <v>43.58</v>
      </c>
      <c r="F303" s="137" t="s">
        <v>77</v>
      </c>
      <c r="G303" s="136">
        <v>45712</v>
      </c>
      <c r="H303" s="137" t="s">
        <v>78</v>
      </c>
      <c r="I303" s="137" t="s">
        <v>2079</v>
      </c>
      <c r="J303" s="137"/>
      <c r="K303" s="137" t="s">
        <v>2080</v>
      </c>
      <c r="L303" s="137" t="s">
        <v>2081</v>
      </c>
      <c r="M303" s="137" t="s">
        <v>195</v>
      </c>
      <c r="N303" s="137"/>
      <c r="O303" s="137"/>
      <c r="Q303" s="3">
        <f t="shared" si="4"/>
        <v>43.58</v>
      </c>
    </row>
    <row r="304" spans="1:17" x14ac:dyDescent="0.35">
      <c r="A304" s="137" t="s">
        <v>0</v>
      </c>
      <c r="B304" s="137" t="s">
        <v>382</v>
      </c>
      <c r="C304" s="137" t="s">
        <v>1</v>
      </c>
      <c r="D304" s="137" t="s">
        <v>2</v>
      </c>
      <c r="E304" s="137">
        <v>43.58</v>
      </c>
      <c r="F304" s="137" t="s">
        <v>77</v>
      </c>
      <c r="G304" s="136">
        <v>45726</v>
      </c>
      <c r="H304" s="137" t="s">
        <v>78</v>
      </c>
      <c r="I304" s="137" t="s">
        <v>2089</v>
      </c>
      <c r="J304" s="137"/>
      <c r="K304" s="137" t="s">
        <v>2090</v>
      </c>
      <c r="L304" s="137" t="s">
        <v>2091</v>
      </c>
      <c r="M304" s="137" t="s">
        <v>195</v>
      </c>
      <c r="Q304" s="3">
        <f t="shared" si="4"/>
        <v>43.58</v>
      </c>
    </row>
    <row r="305" spans="1:33" x14ac:dyDescent="0.35">
      <c r="A305" s="137" t="s">
        <v>0</v>
      </c>
      <c r="B305" s="137" t="s">
        <v>382</v>
      </c>
      <c r="C305" s="137" t="s">
        <v>1</v>
      </c>
      <c r="D305" s="137" t="s">
        <v>2</v>
      </c>
      <c r="E305" s="137">
        <v>43.55</v>
      </c>
      <c r="F305" s="137" t="s">
        <v>77</v>
      </c>
      <c r="G305" s="136">
        <v>45677</v>
      </c>
      <c r="H305" s="137" t="s">
        <v>78</v>
      </c>
      <c r="I305" s="137" t="s">
        <v>2051</v>
      </c>
      <c r="J305" s="137"/>
      <c r="K305" s="137" t="s">
        <v>735</v>
      </c>
      <c r="L305" s="137" t="s">
        <v>2052</v>
      </c>
      <c r="M305" s="137" t="s">
        <v>195</v>
      </c>
      <c r="N305" s="137"/>
      <c r="O305" s="137"/>
      <c r="Q305" s="3">
        <f t="shared" si="4"/>
        <v>43.55</v>
      </c>
    </row>
    <row r="306" spans="1:33" x14ac:dyDescent="0.35">
      <c r="A306" s="137" t="s">
        <v>27</v>
      </c>
      <c r="B306" s="137" t="s">
        <v>382</v>
      </c>
      <c r="C306" s="137" t="s">
        <v>1</v>
      </c>
      <c r="D306" s="137" t="s">
        <v>2</v>
      </c>
      <c r="E306" s="137">
        <v>43.5</v>
      </c>
      <c r="F306" s="137" t="s">
        <v>77</v>
      </c>
      <c r="G306" s="136">
        <v>45736</v>
      </c>
      <c r="H306" s="137" t="s">
        <v>79</v>
      </c>
      <c r="I306" s="137" t="s">
        <v>383</v>
      </c>
      <c r="J306" s="137" t="s">
        <v>2339</v>
      </c>
      <c r="K306" s="137"/>
      <c r="L306" s="137"/>
      <c r="M306" s="137"/>
      <c r="N306" s="137"/>
      <c r="O306" s="137" t="s">
        <v>1419</v>
      </c>
      <c r="Q306" s="3">
        <f t="shared" si="4"/>
        <v>43.5</v>
      </c>
    </row>
    <row r="307" spans="1:33" x14ac:dyDescent="0.35">
      <c r="A307" s="137" t="s">
        <v>0</v>
      </c>
      <c r="B307" s="137" t="s">
        <v>335</v>
      </c>
      <c r="C307" s="137" t="s">
        <v>1</v>
      </c>
      <c r="D307" s="137" t="s">
        <v>2</v>
      </c>
      <c r="E307" s="137">
        <v>43.2</v>
      </c>
      <c r="F307" s="137" t="s">
        <v>77</v>
      </c>
      <c r="G307" s="136">
        <v>45726</v>
      </c>
      <c r="H307" s="137" t="s">
        <v>78</v>
      </c>
      <c r="I307" s="137" t="s">
        <v>2092</v>
      </c>
      <c r="J307" s="137"/>
      <c r="K307" s="137" t="s">
        <v>2090</v>
      </c>
      <c r="L307" s="137" t="s">
        <v>2093</v>
      </c>
      <c r="M307" s="137" t="s">
        <v>195</v>
      </c>
      <c r="N307" s="137"/>
      <c r="O307" s="137"/>
      <c r="Q307" s="3">
        <f t="shared" si="4"/>
        <v>43.2</v>
      </c>
    </row>
    <row r="308" spans="1:33" x14ac:dyDescent="0.35">
      <c r="A308" s="137" t="s">
        <v>0</v>
      </c>
      <c r="B308" s="137" t="s">
        <v>422</v>
      </c>
      <c r="C308" s="137" t="s">
        <v>1</v>
      </c>
      <c r="D308" s="137" t="s">
        <v>2</v>
      </c>
      <c r="E308" s="137">
        <v>43.14</v>
      </c>
      <c r="F308" s="137" t="s">
        <v>77</v>
      </c>
      <c r="G308" s="136">
        <v>45726</v>
      </c>
      <c r="H308" s="137" t="s">
        <v>78</v>
      </c>
      <c r="I308" s="137" t="s">
        <v>2092</v>
      </c>
      <c r="J308" s="137"/>
      <c r="K308" s="137" t="s">
        <v>2090</v>
      </c>
      <c r="L308" s="137" t="s">
        <v>2093</v>
      </c>
      <c r="M308" s="137" t="s">
        <v>195</v>
      </c>
      <c r="N308" s="137"/>
      <c r="O308" s="137"/>
      <c r="Q308" s="3">
        <f t="shared" si="4"/>
        <v>43.14</v>
      </c>
    </row>
    <row r="309" spans="1:33" x14ac:dyDescent="0.35">
      <c r="A309" s="137" t="s">
        <v>0</v>
      </c>
      <c r="B309" s="137" t="s">
        <v>427</v>
      </c>
      <c r="C309" s="137" t="s">
        <v>1</v>
      </c>
      <c r="D309" s="137" t="s">
        <v>2</v>
      </c>
      <c r="E309" s="137">
        <v>43.11</v>
      </c>
      <c r="F309" s="137" t="s">
        <v>77</v>
      </c>
      <c r="G309" s="136">
        <v>45726</v>
      </c>
      <c r="H309" s="137" t="s">
        <v>78</v>
      </c>
      <c r="I309" s="137" t="s">
        <v>2092</v>
      </c>
      <c r="J309" s="137"/>
      <c r="K309" s="137" t="s">
        <v>2090</v>
      </c>
      <c r="L309" s="137" t="s">
        <v>2093</v>
      </c>
      <c r="M309" s="137" t="s">
        <v>195</v>
      </c>
      <c r="N309" s="137"/>
      <c r="O309" s="137"/>
      <c r="Q309" s="3">
        <f t="shared" si="4"/>
        <v>43.11</v>
      </c>
    </row>
    <row r="310" spans="1:33" x14ac:dyDescent="0.35">
      <c r="A310" s="137" t="s">
        <v>0</v>
      </c>
      <c r="B310" s="137" t="s">
        <v>430</v>
      </c>
      <c r="C310" s="137" t="s">
        <v>1</v>
      </c>
      <c r="D310" s="137" t="s">
        <v>2</v>
      </c>
      <c r="E310" s="137">
        <v>43.01</v>
      </c>
      <c r="F310" s="137" t="s">
        <v>77</v>
      </c>
      <c r="G310" s="136">
        <v>45726</v>
      </c>
      <c r="H310" s="137" t="s">
        <v>78</v>
      </c>
      <c r="I310" s="137" t="s">
        <v>2092</v>
      </c>
      <c r="J310" s="137"/>
      <c r="K310" s="137" t="s">
        <v>2090</v>
      </c>
      <c r="L310" s="137" t="s">
        <v>2093</v>
      </c>
      <c r="M310" s="137" t="s">
        <v>195</v>
      </c>
      <c r="N310" s="137"/>
      <c r="O310" s="137"/>
      <c r="Q310" s="3">
        <f t="shared" si="4"/>
        <v>43.01</v>
      </c>
    </row>
    <row r="311" spans="1:33" x14ac:dyDescent="0.35">
      <c r="A311" s="137" t="s">
        <v>27</v>
      </c>
      <c r="B311" s="137" t="s">
        <v>529</v>
      </c>
      <c r="C311" s="137" t="s">
        <v>1</v>
      </c>
      <c r="D311" s="137" t="s">
        <v>2</v>
      </c>
      <c r="E311" s="137">
        <v>42.63</v>
      </c>
      <c r="F311" s="137" t="s">
        <v>77</v>
      </c>
      <c r="G311" s="136">
        <v>45729</v>
      </c>
      <c r="H311" s="137" t="s">
        <v>79</v>
      </c>
      <c r="I311" s="137" t="s">
        <v>549</v>
      </c>
      <c r="J311" s="137" t="s">
        <v>2314</v>
      </c>
      <c r="K311" s="137"/>
      <c r="L311" s="137"/>
      <c r="M311" s="137"/>
      <c r="N311" s="137"/>
      <c r="O311" s="137" t="s">
        <v>419</v>
      </c>
      <c r="Q311" s="3">
        <f t="shared" si="4"/>
        <v>42.63</v>
      </c>
    </row>
    <row r="312" spans="1:33" s="81" customFormat="1" x14ac:dyDescent="0.35">
      <c r="A312" s="137" t="s">
        <v>0</v>
      </c>
      <c r="B312" s="137" t="s">
        <v>335</v>
      </c>
      <c r="C312" s="137" t="s">
        <v>1</v>
      </c>
      <c r="D312" s="137" t="s">
        <v>2</v>
      </c>
      <c r="E312" s="137">
        <v>42.3</v>
      </c>
      <c r="F312" s="137" t="s">
        <v>77</v>
      </c>
      <c r="G312" s="136">
        <v>45677</v>
      </c>
      <c r="H312" s="137" t="s">
        <v>78</v>
      </c>
      <c r="I312" s="137" t="s">
        <v>2053</v>
      </c>
      <c r="J312" s="137"/>
      <c r="K312" s="137" t="s">
        <v>735</v>
      </c>
      <c r="L312" s="137" t="s">
        <v>2054</v>
      </c>
      <c r="M312" s="137" t="s">
        <v>195</v>
      </c>
      <c r="N312"/>
      <c r="O312"/>
      <c r="P312" s="5"/>
      <c r="Q312" s="3">
        <f t="shared" si="4"/>
        <v>42.3</v>
      </c>
      <c r="R312" s="48"/>
      <c r="S312" s="48"/>
      <c r="T312"/>
      <c r="U312"/>
      <c r="V312" s="3"/>
      <c r="W312"/>
      <c r="X312"/>
      <c r="Y312"/>
      <c r="Z312"/>
      <c r="AA312"/>
      <c r="AB312"/>
      <c r="AC312"/>
      <c r="AD312"/>
      <c r="AE312"/>
      <c r="AF312"/>
      <c r="AG312" s="81">
        <f t="shared" ref="AG312" si="5">SUM(AG9:AG310)</f>
        <v>0</v>
      </c>
    </row>
    <row r="313" spans="1:33" x14ac:dyDescent="0.35">
      <c r="A313" s="137" t="s">
        <v>0</v>
      </c>
      <c r="B313" s="137" t="s">
        <v>422</v>
      </c>
      <c r="C313" s="137" t="s">
        <v>1</v>
      </c>
      <c r="D313" s="137" t="s">
        <v>2</v>
      </c>
      <c r="E313" s="137">
        <v>42.25</v>
      </c>
      <c r="F313" s="137" t="s">
        <v>77</v>
      </c>
      <c r="G313" s="136">
        <v>45677</v>
      </c>
      <c r="H313" s="137" t="s">
        <v>78</v>
      </c>
      <c r="I313" s="137" t="s">
        <v>2053</v>
      </c>
      <c r="J313" s="137"/>
      <c r="K313" s="137" t="s">
        <v>735</v>
      </c>
      <c r="L313" s="137" t="s">
        <v>2054</v>
      </c>
      <c r="M313" s="137" t="s">
        <v>195</v>
      </c>
      <c r="N313" s="137"/>
      <c r="O313" s="137"/>
      <c r="Q313" s="3">
        <f t="shared" si="4"/>
        <v>42.25</v>
      </c>
    </row>
    <row r="314" spans="1:33" x14ac:dyDescent="0.35">
      <c r="A314" s="137" t="s">
        <v>0</v>
      </c>
      <c r="B314" s="137" t="s">
        <v>618</v>
      </c>
      <c r="C314" s="137" t="s">
        <v>1</v>
      </c>
      <c r="D314" s="137" t="s">
        <v>2</v>
      </c>
      <c r="E314" s="137">
        <v>42.16</v>
      </c>
      <c r="F314" s="137" t="s">
        <v>77</v>
      </c>
      <c r="G314" s="136">
        <v>45677</v>
      </c>
      <c r="H314" s="137" t="s">
        <v>78</v>
      </c>
      <c r="I314" s="137" t="s">
        <v>2053</v>
      </c>
      <c r="J314" s="137"/>
      <c r="K314" s="137" t="s">
        <v>735</v>
      </c>
      <c r="L314" s="137" t="s">
        <v>2054</v>
      </c>
      <c r="M314" s="137" t="s">
        <v>195</v>
      </c>
      <c r="N314" s="137"/>
      <c r="O314" s="137"/>
      <c r="Q314" s="3">
        <f t="shared" si="4"/>
        <v>42.16</v>
      </c>
    </row>
    <row r="315" spans="1:33" x14ac:dyDescent="0.35">
      <c r="A315" s="137" t="s">
        <v>0</v>
      </c>
      <c r="B315" s="137" t="s">
        <v>430</v>
      </c>
      <c r="C315" s="137" t="s">
        <v>1</v>
      </c>
      <c r="D315" s="137" t="s">
        <v>2</v>
      </c>
      <c r="E315" s="137">
        <v>42.12</v>
      </c>
      <c r="F315" s="137" t="s">
        <v>77</v>
      </c>
      <c r="G315" s="136">
        <v>45677</v>
      </c>
      <c r="H315" s="137" t="s">
        <v>78</v>
      </c>
      <c r="I315" s="137" t="s">
        <v>2053</v>
      </c>
      <c r="J315" s="137"/>
      <c r="K315" s="137" t="s">
        <v>735</v>
      </c>
      <c r="L315" s="137" t="s">
        <v>2054</v>
      </c>
      <c r="M315" s="137" t="s">
        <v>195</v>
      </c>
      <c r="N315" s="137"/>
      <c r="O315" s="137"/>
      <c r="Q315" s="3">
        <f t="shared" si="4"/>
        <v>42.12</v>
      </c>
    </row>
    <row r="316" spans="1:33" x14ac:dyDescent="0.35">
      <c r="A316" s="137" t="s">
        <v>0</v>
      </c>
      <c r="B316" s="137" t="s">
        <v>615</v>
      </c>
      <c r="C316" s="137" t="s">
        <v>1</v>
      </c>
      <c r="D316" s="137" t="s">
        <v>2</v>
      </c>
      <c r="E316" s="137">
        <v>41.42</v>
      </c>
      <c r="F316" s="137" t="s">
        <v>77</v>
      </c>
      <c r="G316" s="136">
        <v>45712</v>
      </c>
      <c r="H316" s="137" t="s">
        <v>78</v>
      </c>
      <c r="I316" s="137" t="s">
        <v>2079</v>
      </c>
      <c r="J316" s="137"/>
      <c r="K316" s="137" t="s">
        <v>2080</v>
      </c>
      <c r="L316" s="137" t="s">
        <v>2081</v>
      </c>
      <c r="M316" s="137" t="s">
        <v>195</v>
      </c>
      <c r="Q316" s="3">
        <f t="shared" si="4"/>
        <v>41.42</v>
      </c>
    </row>
    <row r="317" spans="1:33" x14ac:dyDescent="0.35">
      <c r="A317" s="137" t="s">
        <v>0</v>
      </c>
      <c r="B317" s="137" t="s">
        <v>615</v>
      </c>
      <c r="C317" s="137" t="s">
        <v>1</v>
      </c>
      <c r="D317" s="137" t="s">
        <v>2</v>
      </c>
      <c r="E317" s="137">
        <v>41.42</v>
      </c>
      <c r="F317" s="137" t="s">
        <v>77</v>
      </c>
      <c r="G317" s="136">
        <v>45726</v>
      </c>
      <c r="H317" s="137" t="s">
        <v>78</v>
      </c>
      <c r="I317" s="137" t="s">
        <v>2089</v>
      </c>
      <c r="J317" s="137"/>
      <c r="K317" s="137" t="s">
        <v>2090</v>
      </c>
      <c r="L317" s="137" t="s">
        <v>2091</v>
      </c>
      <c r="M317" s="137" t="s">
        <v>195</v>
      </c>
      <c r="N317" s="137"/>
      <c r="O317" s="137"/>
      <c r="Q317" s="3">
        <f t="shared" si="4"/>
        <v>41.42</v>
      </c>
    </row>
    <row r="318" spans="1:33" x14ac:dyDescent="0.35">
      <c r="A318" s="137" t="s">
        <v>0</v>
      </c>
      <c r="B318" s="137" t="s">
        <v>615</v>
      </c>
      <c r="C318" s="137" t="s">
        <v>1</v>
      </c>
      <c r="D318" s="137" t="s">
        <v>2</v>
      </c>
      <c r="E318" s="137">
        <v>41.38</v>
      </c>
      <c r="F318" s="137" t="s">
        <v>77</v>
      </c>
      <c r="G318" s="136">
        <v>45677</v>
      </c>
      <c r="H318" s="137" t="s">
        <v>78</v>
      </c>
      <c r="I318" s="137" t="s">
        <v>2051</v>
      </c>
      <c r="J318" s="137"/>
      <c r="K318" s="137" t="s">
        <v>735</v>
      </c>
      <c r="L318" s="137" t="s">
        <v>2052</v>
      </c>
      <c r="M318" s="137" t="s">
        <v>195</v>
      </c>
      <c r="N318" s="137"/>
      <c r="O318" s="137"/>
      <c r="Q318" s="3">
        <f t="shared" si="4"/>
        <v>41.38</v>
      </c>
    </row>
    <row r="319" spans="1:33" x14ac:dyDescent="0.35">
      <c r="A319" s="137" t="s">
        <v>27</v>
      </c>
      <c r="B319" s="137" t="s">
        <v>382</v>
      </c>
      <c r="C319" s="137" t="s">
        <v>1</v>
      </c>
      <c r="D319" s="137" t="s">
        <v>2</v>
      </c>
      <c r="E319" s="137">
        <v>40.909999999999997</v>
      </c>
      <c r="F319" s="137" t="s">
        <v>77</v>
      </c>
      <c r="G319" s="136">
        <v>45736</v>
      </c>
      <c r="H319" s="137" t="s">
        <v>79</v>
      </c>
      <c r="I319" s="137" t="s">
        <v>234</v>
      </c>
      <c r="J319" s="137" t="s">
        <v>2348</v>
      </c>
      <c r="K319" s="137"/>
      <c r="L319" s="137"/>
      <c r="M319" s="137"/>
      <c r="N319" s="137"/>
      <c r="O319" s="137" t="s">
        <v>299</v>
      </c>
      <c r="Q319" s="3">
        <f t="shared" si="4"/>
        <v>40.909999999999997</v>
      </c>
    </row>
    <row r="320" spans="1:33" x14ac:dyDescent="0.35">
      <c r="A320" s="137" t="s">
        <v>27</v>
      </c>
      <c r="B320" s="137" t="s">
        <v>588</v>
      </c>
      <c r="C320" s="137" t="s">
        <v>1</v>
      </c>
      <c r="D320" s="137" t="s">
        <v>2</v>
      </c>
      <c r="E320" s="137">
        <v>40.82</v>
      </c>
      <c r="F320" s="137" t="s">
        <v>77</v>
      </c>
      <c r="G320" s="136">
        <v>45688</v>
      </c>
      <c r="H320" s="137" t="s">
        <v>79</v>
      </c>
      <c r="I320" s="137" t="s">
        <v>716</v>
      </c>
      <c r="J320" s="137" t="s">
        <v>171</v>
      </c>
      <c r="K320" s="137"/>
      <c r="L320" s="137"/>
      <c r="M320" s="137"/>
      <c r="N320" s="137"/>
      <c r="O320" s="137" t="s">
        <v>2178</v>
      </c>
      <c r="Q320" s="3">
        <f t="shared" si="4"/>
        <v>40.82</v>
      </c>
    </row>
    <row r="321" spans="1:17" x14ac:dyDescent="0.35">
      <c r="A321" s="137" t="s">
        <v>27</v>
      </c>
      <c r="B321" s="137" t="s">
        <v>339</v>
      </c>
      <c r="C321" s="137" t="s">
        <v>1</v>
      </c>
      <c r="D321" s="137" t="s">
        <v>2</v>
      </c>
      <c r="E321" s="137">
        <v>40.32</v>
      </c>
      <c r="F321" s="137" t="s">
        <v>77</v>
      </c>
      <c r="G321" s="136">
        <v>45694</v>
      </c>
      <c r="H321" s="137" t="s">
        <v>79</v>
      </c>
      <c r="I321" s="137" t="s">
        <v>729</v>
      </c>
      <c r="J321" s="137" t="s">
        <v>2201</v>
      </c>
      <c r="K321" s="137"/>
      <c r="L321" s="137"/>
      <c r="M321" s="137"/>
      <c r="N321" s="137"/>
      <c r="O321" s="137" t="s">
        <v>553</v>
      </c>
      <c r="Q321" s="3">
        <f t="shared" si="4"/>
        <v>40.32</v>
      </c>
    </row>
    <row r="322" spans="1:17" x14ac:dyDescent="0.35">
      <c r="A322" s="137" t="s">
        <v>0</v>
      </c>
      <c r="B322" s="137" t="s">
        <v>391</v>
      </c>
      <c r="C322" s="137" t="s">
        <v>1</v>
      </c>
      <c r="D322" s="137" t="s">
        <v>2</v>
      </c>
      <c r="E322" s="137">
        <v>39.160000000000004</v>
      </c>
      <c r="F322" s="137" t="s">
        <v>77</v>
      </c>
      <c r="G322" s="136">
        <v>45691</v>
      </c>
      <c r="H322" s="137" t="s">
        <v>78</v>
      </c>
      <c r="I322" s="137" t="s">
        <v>2062</v>
      </c>
      <c r="J322" s="137"/>
      <c r="K322" s="137" t="s">
        <v>2026</v>
      </c>
      <c r="L322" s="137" t="s">
        <v>2063</v>
      </c>
      <c r="M322" s="137" t="s">
        <v>212</v>
      </c>
      <c r="N322" s="137"/>
      <c r="O322" s="137"/>
      <c r="Q322" s="3">
        <f t="shared" si="4"/>
        <v>39.160000000000004</v>
      </c>
    </row>
    <row r="323" spans="1:17" x14ac:dyDescent="0.35">
      <c r="A323" s="137" t="s">
        <v>27</v>
      </c>
      <c r="B323" s="137" t="s">
        <v>499</v>
      </c>
      <c r="C323" s="137" t="s">
        <v>1</v>
      </c>
      <c r="D323" s="137" t="s">
        <v>2</v>
      </c>
      <c r="E323" s="137">
        <v>39.049999999999997</v>
      </c>
      <c r="F323" s="137" t="s">
        <v>77</v>
      </c>
      <c r="G323" s="136">
        <v>45744</v>
      </c>
      <c r="H323" s="137" t="s">
        <v>79</v>
      </c>
      <c r="I323" s="137" t="s">
        <v>2389</v>
      </c>
      <c r="J323" s="137" t="s">
        <v>171</v>
      </c>
      <c r="K323" s="137"/>
      <c r="L323" s="137"/>
      <c r="M323" s="137"/>
      <c r="N323" s="137"/>
      <c r="O323" s="137" t="s">
        <v>2390</v>
      </c>
      <c r="Q323" s="3">
        <f t="shared" si="4"/>
        <v>39.049999999999997</v>
      </c>
    </row>
    <row r="324" spans="1:17" x14ac:dyDescent="0.35">
      <c r="A324" s="137" t="s">
        <v>27</v>
      </c>
      <c r="B324" s="137" t="s">
        <v>377</v>
      </c>
      <c r="C324" s="137" t="s">
        <v>1</v>
      </c>
      <c r="D324" s="137" t="s">
        <v>2</v>
      </c>
      <c r="E324" s="137">
        <v>38.64</v>
      </c>
      <c r="F324" s="137" t="s">
        <v>77</v>
      </c>
      <c r="G324" s="136">
        <v>45705</v>
      </c>
      <c r="H324" s="137" t="s">
        <v>79</v>
      </c>
      <c r="I324" s="137" t="s">
        <v>2237</v>
      </c>
      <c r="J324" s="137" t="s">
        <v>2238</v>
      </c>
      <c r="K324" s="137"/>
      <c r="L324" s="137"/>
      <c r="M324" s="137"/>
      <c r="N324" s="137"/>
      <c r="O324" s="137" t="s">
        <v>2239</v>
      </c>
      <c r="Q324" s="3">
        <f t="shared" si="4"/>
        <v>38.64</v>
      </c>
    </row>
    <row r="325" spans="1:17" x14ac:dyDescent="0.35">
      <c r="A325" s="137" t="s">
        <v>0</v>
      </c>
      <c r="B325" s="137" t="s">
        <v>530</v>
      </c>
      <c r="C325" s="137" t="s">
        <v>1</v>
      </c>
      <c r="D325" s="137" t="s">
        <v>2</v>
      </c>
      <c r="E325" s="137">
        <v>38.369999999999997</v>
      </c>
      <c r="F325" s="137" t="s">
        <v>77</v>
      </c>
      <c r="G325" s="136">
        <v>45712</v>
      </c>
      <c r="H325" s="137" t="s">
        <v>78</v>
      </c>
      <c r="I325" s="137" t="s">
        <v>2079</v>
      </c>
      <c r="J325" s="137"/>
      <c r="K325" s="137" t="s">
        <v>2080</v>
      </c>
      <c r="L325" s="137" t="s">
        <v>2081</v>
      </c>
      <c r="M325" s="137" t="s">
        <v>195</v>
      </c>
      <c r="N325" s="137"/>
      <c r="O325" s="137"/>
      <c r="Q325" s="3">
        <f t="shared" si="4"/>
        <v>38.369999999999997</v>
      </c>
    </row>
    <row r="326" spans="1:17" x14ac:dyDescent="0.35">
      <c r="A326" s="137" t="s">
        <v>0</v>
      </c>
      <c r="B326" s="137" t="s">
        <v>530</v>
      </c>
      <c r="C326" s="137" t="s">
        <v>1</v>
      </c>
      <c r="D326" s="137" t="s">
        <v>2</v>
      </c>
      <c r="E326" s="137">
        <v>38.369999999999997</v>
      </c>
      <c r="F326" s="137" t="s">
        <v>77</v>
      </c>
      <c r="G326" s="136">
        <v>45726</v>
      </c>
      <c r="H326" s="137" t="s">
        <v>78</v>
      </c>
      <c r="I326" s="137" t="s">
        <v>2089</v>
      </c>
      <c r="J326" s="137"/>
      <c r="K326" s="137" t="s">
        <v>2090</v>
      </c>
      <c r="L326" s="137" t="s">
        <v>2091</v>
      </c>
      <c r="M326" s="137" t="s">
        <v>195</v>
      </c>
      <c r="Q326" s="3">
        <f t="shared" si="4"/>
        <v>38.369999999999997</v>
      </c>
    </row>
    <row r="327" spans="1:17" x14ac:dyDescent="0.35">
      <c r="A327" s="137" t="s">
        <v>0</v>
      </c>
      <c r="B327" s="137" t="s">
        <v>530</v>
      </c>
      <c r="C327" s="137" t="s">
        <v>1</v>
      </c>
      <c r="D327" s="137" t="s">
        <v>2</v>
      </c>
      <c r="E327" s="137">
        <v>38.33</v>
      </c>
      <c r="F327" s="137" t="s">
        <v>77</v>
      </c>
      <c r="G327" s="136">
        <v>45677</v>
      </c>
      <c r="H327" s="137" t="s">
        <v>78</v>
      </c>
      <c r="I327" s="137" t="s">
        <v>2051</v>
      </c>
      <c r="J327" s="137"/>
      <c r="K327" s="137" t="s">
        <v>735</v>
      </c>
      <c r="L327" s="137" t="s">
        <v>2052</v>
      </c>
      <c r="M327" s="137" t="s">
        <v>195</v>
      </c>
      <c r="N327" s="137"/>
      <c r="O327" s="137"/>
      <c r="Q327" s="3">
        <f t="shared" si="4"/>
        <v>38.33</v>
      </c>
    </row>
    <row r="328" spans="1:17" x14ac:dyDescent="0.35">
      <c r="A328" s="137" t="s">
        <v>0</v>
      </c>
      <c r="B328" s="137" t="s">
        <v>316</v>
      </c>
      <c r="C328" s="137" t="s">
        <v>1</v>
      </c>
      <c r="D328" s="137" t="s">
        <v>2</v>
      </c>
      <c r="E328" s="137">
        <v>37.93</v>
      </c>
      <c r="F328" s="137" t="s">
        <v>77</v>
      </c>
      <c r="G328" s="136">
        <v>45712</v>
      </c>
      <c r="H328" s="137" t="s">
        <v>78</v>
      </c>
      <c r="I328" s="137" t="s">
        <v>2082</v>
      </c>
      <c r="J328" s="137"/>
      <c r="K328" s="137" t="s">
        <v>2080</v>
      </c>
      <c r="L328" s="137" t="s">
        <v>2083</v>
      </c>
      <c r="M328" s="137" t="s">
        <v>195</v>
      </c>
      <c r="N328" s="137"/>
      <c r="O328" s="137"/>
      <c r="Q328" s="3">
        <f t="shared" ref="Q328:Q391" si="6">ABS(E328)</f>
        <v>37.93</v>
      </c>
    </row>
    <row r="329" spans="1:17" x14ac:dyDescent="0.35">
      <c r="A329" s="137" t="s">
        <v>27</v>
      </c>
      <c r="B329" s="137" t="s">
        <v>496</v>
      </c>
      <c r="C329" s="137" t="s">
        <v>1</v>
      </c>
      <c r="D329" s="137" t="s">
        <v>2</v>
      </c>
      <c r="E329" s="137">
        <v>37.83</v>
      </c>
      <c r="F329" s="137" t="s">
        <v>77</v>
      </c>
      <c r="G329" s="136">
        <v>45740</v>
      </c>
      <c r="H329" s="137" t="s">
        <v>79</v>
      </c>
      <c r="I329" s="137" t="s">
        <v>2274</v>
      </c>
      <c r="J329" s="137" t="s">
        <v>2371</v>
      </c>
      <c r="K329" s="137"/>
      <c r="L329" s="137"/>
      <c r="M329" s="137"/>
      <c r="N329" s="137"/>
      <c r="O329" s="137" t="s">
        <v>280</v>
      </c>
      <c r="Q329" s="3">
        <f t="shared" si="6"/>
        <v>37.83</v>
      </c>
    </row>
    <row r="330" spans="1:17" x14ac:dyDescent="0.35">
      <c r="A330" s="137" t="s">
        <v>27</v>
      </c>
      <c r="B330" s="137" t="s">
        <v>360</v>
      </c>
      <c r="C330" s="137" t="s">
        <v>1</v>
      </c>
      <c r="D330" s="137" t="s">
        <v>2</v>
      </c>
      <c r="E330" s="137">
        <v>37.590000000000003</v>
      </c>
      <c r="F330" s="137" t="s">
        <v>77</v>
      </c>
      <c r="G330" s="136">
        <v>45747</v>
      </c>
      <c r="H330" s="137" t="s">
        <v>79</v>
      </c>
      <c r="I330" s="137" t="s">
        <v>220</v>
      </c>
      <c r="J330" s="137" t="s">
        <v>2393</v>
      </c>
      <c r="K330" s="137"/>
      <c r="L330" s="137"/>
      <c r="M330" s="137"/>
      <c r="N330" s="137"/>
      <c r="O330" s="137" t="s">
        <v>278</v>
      </c>
      <c r="Q330" s="3">
        <f t="shared" si="6"/>
        <v>37.590000000000003</v>
      </c>
    </row>
    <row r="331" spans="1:17" x14ac:dyDescent="0.35">
      <c r="A331" s="137" t="s">
        <v>27</v>
      </c>
      <c r="B331" s="137" t="s">
        <v>421</v>
      </c>
      <c r="C331" s="137" t="s">
        <v>1</v>
      </c>
      <c r="D331" s="137" t="s">
        <v>2</v>
      </c>
      <c r="E331" s="137">
        <v>37.090000000000003</v>
      </c>
      <c r="F331" s="137" t="s">
        <v>77</v>
      </c>
      <c r="G331" s="136">
        <v>45734</v>
      </c>
      <c r="H331" s="137" t="s">
        <v>79</v>
      </c>
      <c r="I331" s="137" t="s">
        <v>223</v>
      </c>
      <c r="J331" s="137" t="s">
        <v>171</v>
      </c>
      <c r="K331" s="137"/>
      <c r="L331" s="137"/>
      <c r="M331" s="137"/>
      <c r="N331" s="137"/>
      <c r="O331" s="137" t="s">
        <v>279</v>
      </c>
      <c r="Q331" s="3">
        <f t="shared" si="6"/>
        <v>37.090000000000003</v>
      </c>
    </row>
    <row r="332" spans="1:17" x14ac:dyDescent="0.35">
      <c r="A332" s="137" t="s">
        <v>27</v>
      </c>
      <c r="B332" s="137" t="s">
        <v>339</v>
      </c>
      <c r="C332" s="137" t="s">
        <v>1</v>
      </c>
      <c r="D332" s="137" t="s">
        <v>2</v>
      </c>
      <c r="E332" s="137">
        <v>36.950000000000003</v>
      </c>
      <c r="F332" s="137" t="s">
        <v>77</v>
      </c>
      <c r="G332" s="136">
        <v>45678</v>
      </c>
      <c r="H332" s="137" t="s">
        <v>79</v>
      </c>
      <c r="I332" s="137" t="s">
        <v>729</v>
      </c>
      <c r="J332" s="137" t="s">
        <v>2146</v>
      </c>
      <c r="K332" s="137"/>
      <c r="L332" s="137"/>
      <c r="M332" s="137"/>
      <c r="N332" s="137"/>
      <c r="O332" s="137" t="s">
        <v>553</v>
      </c>
      <c r="Q332" s="3">
        <f t="shared" si="6"/>
        <v>36.950000000000003</v>
      </c>
    </row>
    <row r="333" spans="1:17" x14ac:dyDescent="0.35">
      <c r="A333" s="137" t="s">
        <v>0</v>
      </c>
      <c r="B333" s="137" t="s">
        <v>389</v>
      </c>
      <c r="C333" s="137" t="s">
        <v>1</v>
      </c>
      <c r="D333" s="137" t="s">
        <v>2</v>
      </c>
      <c r="E333" s="137">
        <v>36.4</v>
      </c>
      <c r="F333" s="137" t="s">
        <v>77</v>
      </c>
      <c r="G333" s="136">
        <v>45674</v>
      </c>
      <c r="H333" s="137" t="s">
        <v>78</v>
      </c>
      <c r="I333" s="137" t="s">
        <v>2048</v>
      </c>
      <c r="J333" s="137"/>
      <c r="K333" s="137" t="s">
        <v>198</v>
      </c>
      <c r="L333" s="137" t="s">
        <v>2049</v>
      </c>
      <c r="M333" s="137" t="s">
        <v>165</v>
      </c>
      <c r="N333" s="137"/>
      <c r="O333" s="137"/>
      <c r="Q333" s="3">
        <f t="shared" si="6"/>
        <v>36.4</v>
      </c>
    </row>
    <row r="334" spans="1:17" x14ac:dyDescent="0.35">
      <c r="A334" s="137" t="s">
        <v>27</v>
      </c>
      <c r="B334" s="137" t="s">
        <v>316</v>
      </c>
      <c r="C334" s="137" t="s">
        <v>1</v>
      </c>
      <c r="D334" s="137" t="s">
        <v>2</v>
      </c>
      <c r="E334" s="137">
        <v>35.5</v>
      </c>
      <c r="F334" s="137" t="s">
        <v>77</v>
      </c>
      <c r="G334" s="136">
        <v>45685</v>
      </c>
      <c r="H334" s="137" t="s">
        <v>79</v>
      </c>
      <c r="I334" s="137" t="s">
        <v>518</v>
      </c>
      <c r="J334" s="137" t="s">
        <v>2169</v>
      </c>
      <c r="K334" s="137"/>
      <c r="L334" s="137"/>
      <c r="M334" s="137"/>
      <c r="N334" s="137"/>
      <c r="O334" s="137" t="s">
        <v>291</v>
      </c>
      <c r="Q334" s="3">
        <f t="shared" si="6"/>
        <v>35.5</v>
      </c>
    </row>
    <row r="335" spans="1:17" x14ac:dyDescent="0.35">
      <c r="A335" s="137" t="s">
        <v>27</v>
      </c>
      <c r="B335" s="137" t="s">
        <v>384</v>
      </c>
      <c r="C335" s="137" t="s">
        <v>1</v>
      </c>
      <c r="D335" s="137" t="s">
        <v>2</v>
      </c>
      <c r="E335" s="137">
        <v>35.409999999999997</v>
      </c>
      <c r="F335" s="137" t="s">
        <v>77</v>
      </c>
      <c r="G335" s="136">
        <v>45673</v>
      </c>
      <c r="H335" s="137" t="s">
        <v>79</v>
      </c>
      <c r="I335" s="137" t="s">
        <v>240</v>
      </c>
      <c r="J335" s="137" t="s">
        <v>718</v>
      </c>
      <c r="K335" s="137"/>
      <c r="L335" s="137"/>
      <c r="M335" s="137"/>
      <c r="N335" s="137"/>
      <c r="O335" s="137" t="s">
        <v>289</v>
      </c>
      <c r="Q335" s="3">
        <f t="shared" si="6"/>
        <v>35.409999999999997</v>
      </c>
    </row>
    <row r="336" spans="1:17" x14ac:dyDescent="0.35">
      <c r="A336" s="137" t="s">
        <v>0</v>
      </c>
      <c r="B336" s="137" t="s">
        <v>480</v>
      </c>
      <c r="C336" s="137" t="s">
        <v>1</v>
      </c>
      <c r="D336" s="137" t="s">
        <v>2</v>
      </c>
      <c r="E336" s="137">
        <v>35.28</v>
      </c>
      <c r="F336" s="137" t="s">
        <v>77</v>
      </c>
      <c r="G336" s="136">
        <v>45677</v>
      </c>
      <c r="H336" s="137" t="s">
        <v>78</v>
      </c>
      <c r="I336" s="137" t="s">
        <v>2051</v>
      </c>
      <c r="J336" s="137"/>
      <c r="K336" s="137" t="s">
        <v>735</v>
      </c>
      <c r="L336" s="137" t="s">
        <v>2052</v>
      </c>
      <c r="M336" s="137" t="s">
        <v>195</v>
      </c>
      <c r="N336" s="137"/>
      <c r="O336" s="137"/>
      <c r="Q336" s="3">
        <f t="shared" si="6"/>
        <v>35.28</v>
      </c>
    </row>
    <row r="337" spans="1:17" x14ac:dyDescent="0.35">
      <c r="A337" s="137" t="s">
        <v>0</v>
      </c>
      <c r="B337" s="137" t="s">
        <v>480</v>
      </c>
      <c r="C337" s="137" t="s">
        <v>1</v>
      </c>
      <c r="D337" s="137" t="s">
        <v>2</v>
      </c>
      <c r="E337" s="137">
        <v>35.28</v>
      </c>
      <c r="F337" s="137" t="s">
        <v>77</v>
      </c>
      <c r="G337" s="136">
        <v>45712</v>
      </c>
      <c r="H337" s="137" t="s">
        <v>78</v>
      </c>
      <c r="I337" s="137" t="s">
        <v>2079</v>
      </c>
      <c r="J337" s="137"/>
      <c r="K337" s="137" t="s">
        <v>2080</v>
      </c>
      <c r="L337" s="137" t="s">
        <v>2081</v>
      </c>
      <c r="M337" s="137" t="s">
        <v>195</v>
      </c>
      <c r="N337" s="137"/>
      <c r="O337" s="137"/>
      <c r="Q337" s="3">
        <f t="shared" si="6"/>
        <v>35.28</v>
      </c>
    </row>
    <row r="338" spans="1:17" x14ac:dyDescent="0.35">
      <c r="A338" s="137" t="s">
        <v>0</v>
      </c>
      <c r="B338" s="137" t="s">
        <v>480</v>
      </c>
      <c r="C338" s="137" t="s">
        <v>1</v>
      </c>
      <c r="D338" s="137" t="s">
        <v>2</v>
      </c>
      <c r="E338" s="137">
        <v>35.28</v>
      </c>
      <c r="F338" s="137" t="s">
        <v>77</v>
      </c>
      <c r="G338" s="136">
        <v>45726</v>
      </c>
      <c r="H338" s="137" t="s">
        <v>78</v>
      </c>
      <c r="I338" s="137" t="s">
        <v>2089</v>
      </c>
      <c r="J338" s="137"/>
      <c r="K338" s="137" t="s">
        <v>2090</v>
      </c>
      <c r="L338" s="137" t="s">
        <v>2091</v>
      </c>
      <c r="M338" s="137" t="s">
        <v>195</v>
      </c>
      <c r="N338" s="137"/>
      <c r="O338" s="137"/>
      <c r="Q338" s="3">
        <f t="shared" si="6"/>
        <v>35.28</v>
      </c>
    </row>
    <row r="339" spans="1:17" x14ac:dyDescent="0.35">
      <c r="A339" s="137" t="s">
        <v>27</v>
      </c>
      <c r="B339" s="137" t="s">
        <v>492</v>
      </c>
      <c r="C339" s="137" t="s">
        <v>1</v>
      </c>
      <c r="D339" s="137" t="s">
        <v>2</v>
      </c>
      <c r="E339" s="137">
        <v>34.85</v>
      </c>
      <c r="F339" s="137" t="s">
        <v>77</v>
      </c>
      <c r="G339" s="136">
        <v>45665</v>
      </c>
      <c r="H339" s="137" t="s">
        <v>78</v>
      </c>
      <c r="I339" s="137" t="s">
        <v>2118</v>
      </c>
      <c r="J339" s="137"/>
      <c r="K339" s="137" t="s">
        <v>2121</v>
      </c>
      <c r="L339" s="137" t="s">
        <v>2120</v>
      </c>
      <c r="M339" s="137" t="s">
        <v>221</v>
      </c>
      <c r="N339" s="137"/>
      <c r="O339" s="137"/>
      <c r="Q339" s="3">
        <f t="shared" si="6"/>
        <v>34.85</v>
      </c>
    </row>
    <row r="340" spans="1:17" x14ac:dyDescent="0.35">
      <c r="A340" s="137" t="s">
        <v>27</v>
      </c>
      <c r="B340" s="137" t="s">
        <v>492</v>
      </c>
      <c r="C340" s="137" t="s">
        <v>1</v>
      </c>
      <c r="D340" s="137" t="s">
        <v>2</v>
      </c>
      <c r="E340" s="137">
        <v>34.85</v>
      </c>
      <c r="F340" s="137" t="s">
        <v>77</v>
      </c>
      <c r="G340" s="136">
        <v>45677</v>
      </c>
      <c r="H340" s="137" t="s">
        <v>78</v>
      </c>
      <c r="I340" s="137" t="s">
        <v>2137</v>
      </c>
      <c r="J340" s="137"/>
      <c r="K340" s="137" t="s">
        <v>2139</v>
      </c>
      <c r="L340" s="137" t="s">
        <v>2138</v>
      </c>
      <c r="M340" s="137" t="s">
        <v>221</v>
      </c>
      <c r="N340" s="137"/>
      <c r="O340" s="137"/>
      <c r="Q340" s="3">
        <f t="shared" si="6"/>
        <v>34.85</v>
      </c>
    </row>
    <row r="341" spans="1:17" x14ac:dyDescent="0.35">
      <c r="A341" s="137" t="s">
        <v>27</v>
      </c>
      <c r="B341" s="137" t="s">
        <v>492</v>
      </c>
      <c r="C341" s="137" t="s">
        <v>1</v>
      </c>
      <c r="D341" s="137" t="s">
        <v>2</v>
      </c>
      <c r="E341" s="137">
        <v>34.85</v>
      </c>
      <c r="F341" s="137" t="s">
        <v>77</v>
      </c>
      <c r="G341" s="136">
        <v>45682</v>
      </c>
      <c r="H341" s="137" t="s">
        <v>78</v>
      </c>
      <c r="I341" s="137" t="s">
        <v>2159</v>
      </c>
      <c r="J341" s="137"/>
      <c r="K341" s="137" t="s">
        <v>2139</v>
      </c>
      <c r="L341" s="137" t="s">
        <v>2160</v>
      </c>
      <c r="M341" s="137" t="s">
        <v>221</v>
      </c>
      <c r="N341" s="137"/>
      <c r="O341" s="137"/>
      <c r="Q341" s="3">
        <f t="shared" si="6"/>
        <v>34.85</v>
      </c>
    </row>
    <row r="342" spans="1:17" x14ac:dyDescent="0.35">
      <c r="A342" s="137" t="s">
        <v>27</v>
      </c>
      <c r="B342" s="137" t="s">
        <v>492</v>
      </c>
      <c r="C342" s="137" t="s">
        <v>1</v>
      </c>
      <c r="D342" s="137" t="s">
        <v>2</v>
      </c>
      <c r="E342" s="137">
        <v>34.85</v>
      </c>
      <c r="F342" s="137" t="s">
        <v>77</v>
      </c>
      <c r="G342" s="136">
        <v>45690</v>
      </c>
      <c r="H342" s="137" t="s">
        <v>78</v>
      </c>
      <c r="I342" s="137" t="s">
        <v>2179</v>
      </c>
      <c r="J342" s="137"/>
      <c r="K342" s="137" t="s">
        <v>2181</v>
      </c>
      <c r="L342" s="137" t="s">
        <v>2180</v>
      </c>
      <c r="M342" s="137" t="s">
        <v>221</v>
      </c>
      <c r="N342" s="137"/>
      <c r="O342" s="137"/>
      <c r="Q342" s="3">
        <f t="shared" si="6"/>
        <v>34.85</v>
      </c>
    </row>
    <row r="343" spans="1:17" x14ac:dyDescent="0.35">
      <c r="A343" s="137" t="s">
        <v>27</v>
      </c>
      <c r="B343" s="137" t="s">
        <v>492</v>
      </c>
      <c r="C343" s="137" t="s">
        <v>1</v>
      </c>
      <c r="D343" s="137" t="s">
        <v>2</v>
      </c>
      <c r="E343" s="137">
        <v>34.85</v>
      </c>
      <c r="F343" s="137" t="s">
        <v>77</v>
      </c>
      <c r="G343" s="136">
        <v>45697</v>
      </c>
      <c r="H343" s="137" t="s">
        <v>78</v>
      </c>
      <c r="I343" s="137" t="s">
        <v>2214</v>
      </c>
      <c r="J343" s="137"/>
      <c r="K343" s="137" t="s">
        <v>2181</v>
      </c>
      <c r="L343" s="137" t="s">
        <v>2215</v>
      </c>
      <c r="M343" s="137" t="s">
        <v>221</v>
      </c>
      <c r="N343" s="137"/>
      <c r="O343" s="137"/>
      <c r="Q343" s="3">
        <f t="shared" si="6"/>
        <v>34.85</v>
      </c>
    </row>
    <row r="344" spans="1:17" x14ac:dyDescent="0.35">
      <c r="A344" s="137" t="s">
        <v>27</v>
      </c>
      <c r="B344" s="137" t="s">
        <v>492</v>
      </c>
      <c r="C344" s="137" t="s">
        <v>1</v>
      </c>
      <c r="D344" s="137" t="s">
        <v>2</v>
      </c>
      <c r="E344" s="137">
        <v>34.85</v>
      </c>
      <c r="F344" s="137" t="s">
        <v>77</v>
      </c>
      <c r="G344" s="136">
        <v>45702</v>
      </c>
      <c r="H344" s="137" t="s">
        <v>78</v>
      </c>
      <c r="I344" s="137" t="s">
        <v>2225</v>
      </c>
      <c r="J344" s="137"/>
      <c r="K344" s="137" t="s">
        <v>2139</v>
      </c>
      <c r="L344" s="137" t="s">
        <v>2226</v>
      </c>
      <c r="M344" s="137" t="s">
        <v>221</v>
      </c>
      <c r="N344" s="137"/>
      <c r="O344" s="137"/>
      <c r="Q344" s="3">
        <f t="shared" si="6"/>
        <v>34.85</v>
      </c>
    </row>
    <row r="345" spans="1:17" x14ac:dyDescent="0.35">
      <c r="A345" s="137" t="s">
        <v>27</v>
      </c>
      <c r="B345" s="137" t="s">
        <v>492</v>
      </c>
      <c r="C345" s="137" t="s">
        <v>1</v>
      </c>
      <c r="D345" s="137" t="s">
        <v>2</v>
      </c>
      <c r="E345" s="137">
        <v>34.85</v>
      </c>
      <c r="F345" s="137" t="s">
        <v>77</v>
      </c>
      <c r="G345" s="136">
        <v>45709</v>
      </c>
      <c r="H345" s="137" t="s">
        <v>78</v>
      </c>
      <c r="I345" s="137" t="s">
        <v>2248</v>
      </c>
      <c r="J345" s="137"/>
      <c r="K345" s="137" t="s">
        <v>2139</v>
      </c>
      <c r="L345" s="137" t="s">
        <v>2249</v>
      </c>
      <c r="M345" s="137" t="s">
        <v>221</v>
      </c>
      <c r="N345" s="137"/>
      <c r="O345" s="137"/>
      <c r="Q345" s="3">
        <f t="shared" si="6"/>
        <v>34.85</v>
      </c>
    </row>
    <row r="346" spans="1:17" x14ac:dyDescent="0.35">
      <c r="A346" s="137" t="s">
        <v>27</v>
      </c>
      <c r="B346" s="137" t="s">
        <v>492</v>
      </c>
      <c r="C346" s="137" t="s">
        <v>1</v>
      </c>
      <c r="D346" s="137" t="s">
        <v>2</v>
      </c>
      <c r="E346" s="137">
        <v>34.85</v>
      </c>
      <c r="F346" s="137" t="s">
        <v>77</v>
      </c>
      <c r="G346" s="136">
        <v>45719</v>
      </c>
      <c r="H346" s="137" t="s">
        <v>78</v>
      </c>
      <c r="I346" s="137" t="s">
        <v>2270</v>
      </c>
      <c r="J346" s="137"/>
      <c r="K346" s="137" t="s">
        <v>2181</v>
      </c>
      <c r="L346" s="137" t="s">
        <v>2271</v>
      </c>
      <c r="M346" s="137" t="s">
        <v>221</v>
      </c>
      <c r="N346" s="137"/>
      <c r="O346" s="137"/>
      <c r="Q346" s="3">
        <f t="shared" si="6"/>
        <v>34.85</v>
      </c>
    </row>
    <row r="347" spans="1:17" x14ac:dyDescent="0.35">
      <c r="A347" s="137" t="s">
        <v>27</v>
      </c>
      <c r="B347" s="137" t="s">
        <v>492</v>
      </c>
      <c r="C347" s="137" t="s">
        <v>1</v>
      </c>
      <c r="D347" s="137" t="s">
        <v>2</v>
      </c>
      <c r="E347" s="137">
        <v>34.85</v>
      </c>
      <c r="F347" s="137" t="s">
        <v>77</v>
      </c>
      <c r="G347" s="136">
        <v>45725</v>
      </c>
      <c r="H347" s="137" t="s">
        <v>78</v>
      </c>
      <c r="I347" s="137" t="s">
        <v>2284</v>
      </c>
      <c r="J347" s="137"/>
      <c r="K347" s="137" t="s">
        <v>2139</v>
      </c>
      <c r="L347" s="137" t="s">
        <v>2285</v>
      </c>
      <c r="M347" s="137" t="s">
        <v>221</v>
      </c>
      <c r="N347" s="137"/>
      <c r="O347" s="137"/>
      <c r="Q347" s="3">
        <f t="shared" si="6"/>
        <v>34.85</v>
      </c>
    </row>
    <row r="348" spans="1:17" x14ac:dyDescent="0.35">
      <c r="A348" s="137" t="s">
        <v>27</v>
      </c>
      <c r="B348" s="137" t="s">
        <v>492</v>
      </c>
      <c r="C348" s="137" t="s">
        <v>1</v>
      </c>
      <c r="D348" s="137" t="s">
        <v>2</v>
      </c>
      <c r="E348" s="137">
        <v>34.85</v>
      </c>
      <c r="F348" s="137" t="s">
        <v>77</v>
      </c>
      <c r="G348" s="136">
        <v>45733</v>
      </c>
      <c r="H348" s="137" t="s">
        <v>78</v>
      </c>
      <c r="I348" s="137" t="s">
        <v>2316</v>
      </c>
      <c r="J348" s="137"/>
      <c r="K348" s="137" t="s">
        <v>2139</v>
      </c>
      <c r="L348" s="137" t="s">
        <v>2317</v>
      </c>
      <c r="M348" s="137" t="s">
        <v>221</v>
      </c>
      <c r="N348" s="137"/>
      <c r="O348" s="137"/>
      <c r="Q348" s="3">
        <f t="shared" si="6"/>
        <v>34.85</v>
      </c>
    </row>
    <row r="349" spans="1:17" x14ac:dyDescent="0.35">
      <c r="A349" s="137" t="s">
        <v>27</v>
      </c>
      <c r="B349" s="137" t="s">
        <v>370</v>
      </c>
      <c r="C349" s="137" t="s">
        <v>1</v>
      </c>
      <c r="D349" s="137" t="s">
        <v>2</v>
      </c>
      <c r="E349" s="137">
        <v>34.74</v>
      </c>
      <c r="F349" s="137" t="s">
        <v>77</v>
      </c>
      <c r="G349" s="136">
        <v>45734</v>
      </c>
      <c r="H349" s="137" t="s">
        <v>79</v>
      </c>
      <c r="I349" s="137" t="s">
        <v>625</v>
      </c>
      <c r="J349" s="137" t="s">
        <v>676</v>
      </c>
      <c r="K349" s="137"/>
      <c r="L349" s="137"/>
      <c r="M349" s="137"/>
      <c r="N349" s="137"/>
      <c r="O349" s="137" t="s">
        <v>181</v>
      </c>
      <c r="Q349" s="3">
        <f t="shared" si="6"/>
        <v>34.74</v>
      </c>
    </row>
    <row r="350" spans="1:17" x14ac:dyDescent="0.35">
      <c r="A350" s="137" t="s">
        <v>27</v>
      </c>
      <c r="B350" s="137" t="s">
        <v>588</v>
      </c>
      <c r="C350" s="137" t="s">
        <v>1</v>
      </c>
      <c r="D350" s="137" t="s">
        <v>2</v>
      </c>
      <c r="E350" s="137">
        <v>32.909999999999997</v>
      </c>
      <c r="F350" s="137" t="s">
        <v>77</v>
      </c>
      <c r="G350" s="136">
        <v>45737</v>
      </c>
      <c r="H350" s="137" t="s">
        <v>79</v>
      </c>
      <c r="I350" s="137" t="s">
        <v>697</v>
      </c>
      <c r="J350" s="137" t="s">
        <v>2365</v>
      </c>
      <c r="K350" s="137"/>
      <c r="L350" s="137"/>
      <c r="M350" s="137"/>
      <c r="N350" s="137"/>
      <c r="O350" s="137" t="s">
        <v>731</v>
      </c>
      <c r="Q350" s="3">
        <f t="shared" si="6"/>
        <v>32.909999999999997</v>
      </c>
    </row>
    <row r="351" spans="1:17" x14ac:dyDescent="0.35">
      <c r="A351" s="137" t="s">
        <v>27</v>
      </c>
      <c r="B351" s="137" t="s">
        <v>481</v>
      </c>
      <c r="C351" s="137" t="s">
        <v>1</v>
      </c>
      <c r="D351" s="137" t="s">
        <v>2</v>
      </c>
      <c r="E351" s="137">
        <v>32.700000000000003</v>
      </c>
      <c r="F351" s="137" t="s">
        <v>77</v>
      </c>
      <c r="G351" s="136">
        <v>45679</v>
      </c>
      <c r="H351" s="137" t="s">
        <v>79</v>
      </c>
      <c r="I351" s="137" t="s">
        <v>172</v>
      </c>
      <c r="J351" s="137" t="s">
        <v>173</v>
      </c>
      <c r="K351" s="137"/>
      <c r="L351" s="137"/>
      <c r="M351" s="137"/>
      <c r="N351" s="137"/>
      <c r="O351" s="137" t="s">
        <v>277</v>
      </c>
      <c r="Q351" s="3">
        <f t="shared" si="6"/>
        <v>32.700000000000003</v>
      </c>
    </row>
    <row r="352" spans="1:17" x14ac:dyDescent="0.35">
      <c r="A352" s="137" t="s">
        <v>27</v>
      </c>
      <c r="B352" s="137" t="s">
        <v>496</v>
      </c>
      <c r="C352" s="137" t="s">
        <v>1</v>
      </c>
      <c r="D352" s="137" t="s">
        <v>2</v>
      </c>
      <c r="E352" s="137">
        <v>32.520000000000003</v>
      </c>
      <c r="F352" s="137" t="s">
        <v>77</v>
      </c>
      <c r="G352" s="136">
        <v>45716</v>
      </c>
      <c r="H352" s="137" t="s">
        <v>79</v>
      </c>
      <c r="I352" s="137" t="s">
        <v>263</v>
      </c>
      <c r="J352" s="137" t="s">
        <v>266</v>
      </c>
      <c r="K352" s="137"/>
      <c r="L352" s="137"/>
      <c r="M352" s="137"/>
      <c r="N352" s="137"/>
      <c r="O352" s="137" t="s">
        <v>280</v>
      </c>
      <c r="Q352" s="3">
        <f t="shared" si="6"/>
        <v>32.520000000000003</v>
      </c>
    </row>
    <row r="353" spans="1:17" x14ac:dyDescent="0.35">
      <c r="A353" s="137" t="s">
        <v>0</v>
      </c>
      <c r="B353" s="137" t="s">
        <v>316</v>
      </c>
      <c r="C353" s="137" t="s">
        <v>1</v>
      </c>
      <c r="D353" s="137" t="s">
        <v>2</v>
      </c>
      <c r="E353" s="137">
        <v>32.08</v>
      </c>
      <c r="F353" s="137" t="s">
        <v>77</v>
      </c>
      <c r="G353" s="136">
        <v>45677</v>
      </c>
      <c r="H353" s="137" t="s">
        <v>78</v>
      </c>
      <c r="I353" s="137" t="s">
        <v>2053</v>
      </c>
      <c r="J353" s="137"/>
      <c r="K353" s="137" t="s">
        <v>735</v>
      </c>
      <c r="L353" s="137" t="s">
        <v>2054</v>
      </c>
      <c r="M353" s="137" t="s">
        <v>195</v>
      </c>
      <c r="N353" s="137"/>
      <c r="O353" s="137"/>
      <c r="Q353" s="3">
        <f t="shared" si="6"/>
        <v>32.08</v>
      </c>
    </row>
    <row r="354" spans="1:17" x14ac:dyDescent="0.35">
      <c r="A354" s="137" t="s">
        <v>27</v>
      </c>
      <c r="B354" s="137" t="s">
        <v>480</v>
      </c>
      <c r="C354" s="137" t="s">
        <v>1</v>
      </c>
      <c r="D354" s="137" t="s">
        <v>2</v>
      </c>
      <c r="E354" s="137">
        <v>31.82</v>
      </c>
      <c r="F354" s="137" t="s">
        <v>77</v>
      </c>
      <c r="G354" s="136">
        <v>45734</v>
      </c>
      <c r="H354" s="137" t="s">
        <v>79</v>
      </c>
      <c r="I354" s="137" t="s">
        <v>237</v>
      </c>
      <c r="J354" s="137" t="s">
        <v>681</v>
      </c>
      <c r="K354" s="137"/>
      <c r="L354" s="137"/>
      <c r="M354" s="137"/>
      <c r="N354" s="137"/>
      <c r="O354" s="137" t="s">
        <v>589</v>
      </c>
      <c r="Q354" s="3">
        <f t="shared" si="6"/>
        <v>31.82</v>
      </c>
    </row>
    <row r="355" spans="1:17" x14ac:dyDescent="0.35">
      <c r="A355" s="137" t="s">
        <v>27</v>
      </c>
      <c r="B355" s="137" t="s">
        <v>382</v>
      </c>
      <c r="C355" s="137" t="s">
        <v>1</v>
      </c>
      <c r="D355" s="137" t="s">
        <v>2</v>
      </c>
      <c r="E355" s="137">
        <v>30.91</v>
      </c>
      <c r="F355" s="137" t="s">
        <v>77</v>
      </c>
      <c r="G355" s="136">
        <v>45736</v>
      </c>
      <c r="H355" s="137" t="s">
        <v>79</v>
      </c>
      <c r="I355" s="137" t="s">
        <v>131</v>
      </c>
      <c r="J355" s="137" t="s">
        <v>2339</v>
      </c>
      <c r="K355" s="137"/>
      <c r="L355" s="137"/>
      <c r="M355" s="137"/>
      <c r="N355" s="137"/>
      <c r="O355" s="137" t="s">
        <v>2340</v>
      </c>
      <c r="Q355" s="3">
        <f t="shared" si="6"/>
        <v>30.91</v>
      </c>
    </row>
    <row r="356" spans="1:17" x14ac:dyDescent="0.35">
      <c r="A356" s="137" t="s">
        <v>27</v>
      </c>
      <c r="B356" s="137" t="s">
        <v>378</v>
      </c>
      <c r="C356" s="137" t="s">
        <v>1</v>
      </c>
      <c r="D356" s="137" t="s">
        <v>2</v>
      </c>
      <c r="E356" s="137">
        <v>30.25</v>
      </c>
      <c r="F356" s="137" t="s">
        <v>77</v>
      </c>
      <c r="G356" s="136">
        <v>45733</v>
      </c>
      <c r="H356" s="137" t="s">
        <v>79</v>
      </c>
      <c r="I356" s="137" t="s">
        <v>695</v>
      </c>
      <c r="J356" s="137" t="s">
        <v>2318</v>
      </c>
      <c r="K356" s="137"/>
      <c r="L356" s="137"/>
      <c r="M356" s="137"/>
      <c r="N356" s="137"/>
      <c r="O356" s="137" t="s">
        <v>1434</v>
      </c>
      <c r="Q356" s="3">
        <f t="shared" si="6"/>
        <v>30.25</v>
      </c>
    </row>
    <row r="357" spans="1:17" x14ac:dyDescent="0.35">
      <c r="A357" s="137" t="s">
        <v>0</v>
      </c>
      <c r="B357" s="137" t="s">
        <v>499</v>
      </c>
      <c r="C357" s="137" t="s">
        <v>1</v>
      </c>
      <c r="D357" s="137" t="s">
        <v>2</v>
      </c>
      <c r="E357" s="137">
        <v>30.23</v>
      </c>
      <c r="F357" s="137" t="s">
        <v>77</v>
      </c>
      <c r="G357" s="136">
        <v>45712</v>
      </c>
      <c r="H357" s="137" t="s">
        <v>78</v>
      </c>
      <c r="I357" s="137" t="s">
        <v>2082</v>
      </c>
      <c r="J357" s="137"/>
      <c r="K357" s="137" t="s">
        <v>2080</v>
      </c>
      <c r="L357" s="137" t="s">
        <v>2083</v>
      </c>
      <c r="M357" s="137" t="s">
        <v>195</v>
      </c>
      <c r="N357" s="137"/>
      <c r="O357" s="137"/>
      <c r="Q357" s="3">
        <f t="shared" si="6"/>
        <v>30.23</v>
      </c>
    </row>
    <row r="358" spans="1:17" x14ac:dyDescent="0.35">
      <c r="A358" s="137" t="s">
        <v>27</v>
      </c>
      <c r="B358" s="137" t="s">
        <v>316</v>
      </c>
      <c r="C358" s="137" t="s">
        <v>1</v>
      </c>
      <c r="D358" s="137" t="s">
        <v>2</v>
      </c>
      <c r="E358" s="137">
        <v>29.55</v>
      </c>
      <c r="F358" s="137" t="s">
        <v>77</v>
      </c>
      <c r="G358" s="136">
        <v>45705</v>
      </c>
      <c r="H358" s="137" t="s">
        <v>79</v>
      </c>
      <c r="I358" s="137" t="s">
        <v>518</v>
      </c>
      <c r="J358" s="137" t="s">
        <v>2242</v>
      </c>
      <c r="K358" s="137"/>
      <c r="L358" s="137"/>
      <c r="M358" s="137"/>
      <c r="N358" s="137"/>
      <c r="O358" s="137" t="s">
        <v>291</v>
      </c>
      <c r="Q358" s="3">
        <f t="shared" si="6"/>
        <v>29.55</v>
      </c>
    </row>
    <row r="359" spans="1:17" x14ac:dyDescent="0.35">
      <c r="A359" s="137" t="s">
        <v>27</v>
      </c>
      <c r="B359" s="137" t="s">
        <v>421</v>
      </c>
      <c r="C359" s="137" t="s">
        <v>1</v>
      </c>
      <c r="D359" s="137" t="s">
        <v>2</v>
      </c>
      <c r="E359" s="137">
        <v>29.55</v>
      </c>
      <c r="F359" s="137" t="s">
        <v>77</v>
      </c>
      <c r="G359" s="136">
        <v>45734</v>
      </c>
      <c r="H359" s="137" t="s">
        <v>79</v>
      </c>
      <c r="I359" s="137" t="s">
        <v>236</v>
      </c>
      <c r="J359" s="137" t="s">
        <v>256</v>
      </c>
      <c r="K359" s="137"/>
      <c r="L359" s="137"/>
      <c r="M359" s="137"/>
      <c r="N359" s="137"/>
      <c r="O359" s="137" t="s">
        <v>281</v>
      </c>
      <c r="Q359" s="3">
        <f t="shared" si="6"/>
        <v>29.55</v>
      </c>
    </row>
    <row r="360" spans="1:17" x14ac:dyDescent="0.35">
      <c r="A360" s="137" t="s">
        <v>27</v>
      </c>
      <c r="B360" s="137" t="s">
        <v>496</v>
      </c>
      <c r="C360" s="137" t="s">
        <v>1</v>
      </c>
      <c r="D360" s="137" t="s">
        <v>2</v>
      </c>
      <c r="E360" s="137">
        <v>29.33</v>
      </c>
      <c r="F360" s="137" t="s">
        <v>77</v>
      </c>
      <c r="G360" s="136">
        <v>45705</v>
      </c>
      <c r="H360" s="137" t="s">
        <v>79</v>
      </c>
      <c r="I360" s="137" t="s">
        <v>224</v>
      </c>
      <c r="J360" s="137" t="s">
        <v>225</v>
      </c>
      <c r="K360" s="137"/>
      <c r="L360" s="137"/>
      <c r="M360" s="137"/>
      <c r="N360" s="137"/>
      <c r="O360" s="137" t="s">
        <v>280</v>
      </c>
      <c r="Q360" s="3">
        <f t="shared" si="6"/>
        <v>29.33</v>
      </c>
    </row>
    <row r="361" spans="1:17" x14ac:dyDescent="0.35">
      <c r="A361" s="137" t="s">
        <v>0</v>
      </c>
      <c r="B361" s="137" t="s">
        <v>339</v>
      </c>
      <c r="C361" s="137" t="s">
        <v>1</v>
      </c>
      <c r="D361" s="137" t="s">
        <v>2</v>
      </c>
      <c r="E361" s="137">
        <v>29</v>
      </c>
      <c r="F361" s="137" t="s">
        <v>77</v>
      </c>
      <c r="G361" s="136">
        <v>45670</v>
      </c>
      <c r="H361" s="137" t="s">
        <v>78</v>
      </c>
      <c r="I361" s="137" t="s">
        <v>2042</v>
      </c>
      <c r="J361" s="137"/>
      <c r="K361" s="137" t="s">
        <v>724</v>
      </c>
      <c r="L361" s="137" t="s">
        <v>2396</v>
      </c>
      <c r="M361" s="137" t="s">
        <v>720</v>
      </c>
      <c r="N361" s="137"/>
      <c r="O361" s="137"/>
      <c r="Q361" s="3">
        <f t="shared" si="6"/>
        <v>29</v>
      </c>
    </row>
    <row r="362" spans="1:17" x14ac:dyDescent="0.35">
      <c r="A362" s="137" t="s">
        <v>0</v>
      </c>
      <c r="B362" s="137" t="s">
        <v>665</v>
      </c>
      <c r="C362" s="137" t="s">
        <v>1</v>
      </c>
      <c r="D362" s="137" t="s">
        <v>2</v>
      </c>
      <c r="E362" s="137">
        <v>28.79</v>
      </c>
      <c r="F362" s="137" t="s">
        <v>77</v>
      </c>
      <c r="G362" s="136">
        <v>45712</v>
      </c>
      <c r="H362" s="137" t="s">
        <v>78</v>
      </c>
      <c r="I362" s="137" t="s">
        <v>2079</v>
      </c>
      <c r="J362" s="137"/>
      <c r="K362" s="137" t="s">
        <v>2080</v>
      </c>
      <c r="L362" s="137" t="s">
        <v>2081</v>
      </c>
      <c r="M362" s="137" t="s">
        <v>195</v>
      </c>
      <c r="Q362" s="3">
        <f t="shared" si="6"/>
        <v>28.79</v>
      </c>
    </row>
    <row r="363" spans="1:17" x14ac:dyDescent="0.35">
      <c r="A363" s="137" t="s">
        <v>0</v>
      </c>
      <c r="B363" s="137" t="s">
        <v>665</v>
      </c>
      <c r="C363" s="137" t="s">
        <v>1</v>
      </c>
      <c r="D363" s="137" t="s">
        <v>2</v>
      </c>
      <c r="E363" s="137">
        <v>28.79</v>
      </c>
      <c r="F363" s="137" t="s">
        <v>77</v>
      </c>
      <c r="G363" s="136">
        <v>45726</v>
      </c>
      <c r="H363" s="137" t="s">
        <v>78</v>
      </c>
      <c r="I363" s="137" t="s">
        <v>2089</v>
      </c>
      <c r="J363" s="137"/>
      <c r="K363" s="137" t="s">
        <v>2090</v>
      </c>
      <c r="L363" s="137" t="s">
        <v>2091</v>
      </c>
      <c r="M363" s="137" t="s">
        <v>195</v>
      </c>
      <c r="N363" s="137"/>
      <c r="O363" s="137"/>
      <c r="Q363" s="3">
        <f t="shared" si="6"/>
        <v>28.79</v>
      </c>
    </row>
    <row r="364" spans="1:17" x14ac:dyDescent="0.35">
      <c r="A364" s="137" t="s">
        <v>0</v>
      </c>
      <c r="B364" s="137" t="s">
        <v>665</v>
      </c>
      <c r="C364" s="137" t="s">
        <v>1</v>
      </c>
      <c r="D364" s="137" t="s">
        <v>2</v>
      </c>
      <c r="E364" s="137">
        <v>28.76</v>
      </c>
      <c r="F364" s="137" t="s">
        <v>77</v>
      </c>
      <c r="G364" s="136">
        <v>45677</v>
      </c>
      <c r="H364" s="137" t="s">
        <v>78</v>
      </c>
      <c r="I364" s="137" t="s">
        <v>2051</v>
      </c>
      <c r="J364" s="137"/>
      <c r="K364" s="137" t="s">
        <v>735</v>
      </c>
      <c r="L364" s="137" t="s">
        <v>2052</v>
      </c>
      <c r="M364" s="137" t="s">
        <v>195</v>
      </c>
      <c r="Q364" s="3">
        <f t="shared" si="6"/>
        <v>28.76</v>
      </c>
    </row>
    <row r="365" spans="1:17" x14ac:dyDescent="0.35">
      <c r="A365" s="137" t="s">
        <v>27</v>
      </c>
      <c r="B365" s="137" t="s">
        <v>382</v>
      </c>
      <c r="C365" s="137" t="s">
        <v>1</v>
      </c>
      <c r="D365" s="137" t="s">
        <v>2</v>
      </c>
      <c r="E365" s="137">
        <v>28.59</v>
      </c>
      <c r="F365" s="137" t="s">
        <v>77</v>
      </c>
      <c r="G365" s="136">
        <v>45736</v>
      </c>
      <c r="H365" s="137" t="s">
        <v>79</v>
      </c>
      <c r="I365" s="137" t="s">
        <v>131</v>
      </c>
      <c r="J365" s="137" t="s">
        <v>2339</v>
      </c>
      <c r="K365" s="137"/>
      <c r="L365" s="137"/>
      <c r="M365" s="137"/>
      <c r="N365" s="137"/>
      <c r="O365" s="137" t="s">
        <v>2341</v>
      </c>
      <c r="Q365" s="3">
        <f t="shared" si="6"/>
        <v>28.59</v>
      </c>
    </row>
    <row r="366" spans="1:17" x14ac:dyDescent="0.35">
      <c r="A366" s="137" t="s">
        <v>27</v>
      </c>
      <c r="B366" s="137" t="s">
        <v>399</v>
      </c>
      <c r="C366" s="137" t="s">
        <v>1</v>
      </c>
      <c r="D366" s="137" t="s">
        <v>2</v>
      </c>
      <c r="E366" s="137">
        <v>28.5</v>
      </c>
      <c r="F366" s="137" t="s">
        <v>77</v>
      </c>
      <c r="G366" s="136">
        <v>45663</v>
      </c>
      <c r="H366" s="137" t="s">
        <v>78</v>
      </c>
      <c r="I366" s="137" t="s">
        <v>2105</v>
      </c>
      <c r="J366" s="137"/>
      <c r="K366" s="137" t="s">
        <v>193</v>
      </c>
      <c r="L366" s="137" t="s">
        <v>2419</v>
      </c>
      <c r="M366" s="137" t="s">
        <v>194</v>
      </c>
      <c r="N366" s="137"/>
      <c r="O366" s="137"/>
      <c r="Q366" s="3">
        <f t="shared" si="6"/>
        <v>28.5</v>
      </c>
    </row>
    <row r="367" spans="1:17" x14ac:dyDescent="0.35">
      <c r="A367" s="137" t="s">
        <v>0</v>
      </c>
      <c r="B367" s="137" t="s">
        <v>394</v>
      </c>
      <c r="C367" s="137" t="s">
        <v>1</v>
      </c>
      <c r="D367" s="137" t="s">
        <v>2</v>
      </c>
      <c r="E367" s="137">
        <v>27.94</v>
      </c>
      <c r="F367" s="137" t="s">
        <v>77</v>
      </c>
      <c r="G367" s="136">
        <v>45712</v>
      </c>
      <c r="H367" s="137" t="s">
        <v>78</v>
      </c>
      <c r="I367" s="137" t="s">
        <v>2079</v>
      </c>
      <c r="J367" s="137"/>
      <c r="K367" s="137" t="s">
        <v>2080</v>
      </c>
      <c r="L367" s="137" t="s">
        <v>2081</v>
      </c>
      <c r="M367" s="137" t="s">
        <v>195</v>
      </c>
      <c r="N367" s="137"/>
      <c r="O367" s="137"/>
      <c r="Q367" s="3">
        <f t="shared" si="6"/>
        <v>27.94</v>
      </c>
    </row>
    <row r="368" spans="1:17" x14ac:dyDescent="0.35">
      <c r="A368" s="137" t="s">
        <v>0</v>
      </c>
      <c r="B368" s="137" t="s">
        <v>394</v>
      </c>
      <c r="C368" s="137" t="s">
        <v>1</v>
      </c>
      <c r="D368" s="137" t="s">
        <v>2</v>
      </c>
      <c r="E368" s="137">
        <v>27.94</v>
      </c>
      <c r="F368" s="137" t="s">
        <v>77</v>
      </c>
      <c r="G368" s="136">
        <v>45726</v>
      </c>
      <c r="H368" s="137" t="s">
        <v>78</v>
      </c>
      <c r="I368" s="137" t="s">
        <v>2089</v>
      </c>
      <c r="J368" s="137"/>
      <c r="K368" s="137" t="s">
        <v>2090</v>
      </c>
      <c r="L368" s="137" t="s">
        <v>2091</v>
      </c>
      <c r="M368" s="137" t="s">
        <v>195</v>
      </c>
      <c r="N368" s="137"/>
      <c r="O368" s="137"/>
      <c r="Q368" s="3">
        <f t="shared" si="6"/>
        <v>27.94</v>
      </c>
    </row>
    <row r="369" spans="1:17" x14ac:dyDescent="0.35">
      <c r="A369" s="137" t="s">
        <v>0</v>
      </c>
      <c r="B369" s="137" t="s">
        <v>394</v>
      </c>
      <c r="C369" s="137" t="s">
        <v>1</v>
      </c>
      <c r="D369" s="137" t="s">
        <v>2</v>
      </c>
      <c r="E369" s="137">
        <v>27.77</v>
      </c>
      <c r="F369" s="137" t="s">
        <v>77</v>
      </c>
      <c r="G369" s="136">
        <v>45677</v>
      </c>
      <c r="H369" s="137" t="s">
        <v>78</v>
      </c>
      <c r="I369" s="137" t="s">
        <v>2051</v>
      </c>
      <c r="J369" s="137"/>
      <c r="K369" s="137" t="s">
        <v>735</v>
      </c>
      <c r="L369" s="137" t="s">
        <v>2052</v>
      </c>
      <c r="M369" s="137" t="s">
        <v>195</v>
      </c>
      <c r="N369" s="137"/>
      <c r="O369" s="137"/>
      <c r="Q369" s="3">
        <f t="shared" si="6"/>
        <v>27.77</v>
      </c>
    </row>
    <row r="370" spans="1:17" x14ac:dyDescent="0.35">
      <c r="A370" s="137" t="s">
        <v>0</v>
      </c>
      <c r="B370" s="137" t="s">
        <v>391</v>
      </c>
      <c r="C370" s="137" t="s">
        <v>1</v>
      </c>
      <c r="D370" s="137" t="s">
        <v>2</v>
      </c>
      <c r="E370" s="137">
        <v>27.449999999999996</v>
      </c>
      <c r="F370" s="137" t="s">
        <v>77</v>
      </c>
      <c r="G370" s="136">
        <v>45664</v>
      </c>
      <c r="H370" s="137" t="s">
        <v>78</v>
      </c>
      <c r="I370" s="137" t="s">
        <v>2025</v>
      </c>
      <c r="J370" s="137"/>
      <c r="K370" s="137" t="s">
        <v>2026</v>
      </c>
      <c r="L370" s="137" t="s">
        <v>2027</v>
      </c>
      <c r="M370" s="137" t="s">
        <v>212</v>
      </c>
      <c r="N370" s="137"/>
      <c r="O370" s="137"/>
      <c r="Q370" s="3">
        <f t="shared" si="6"/>
        <v>27.449999999999996</v>
      </c>
    </row>
    <row r="371" spans="1:17" x14ac:dyDescent="0.35">
      <c r="A371" s="137" t="s">
        <v>27</v>
      </c>
      <c r="B371" s="137" t="s">
        <v>321</v>
      </c>
      <c r="C371" s="137" t="s">
        <v>1</v>
      </c>
      <c r="D371" s="137" t="s">
        <v>2</v>
      </c>
      <c r="E371" s="137">
        <v>27.27</v>
      </c>
      <c r="F371" s="137" t="s">
        <v>77</v>
      </c>
      <c r="G371" s="136">
        <v>45677</v>
      </c>
      <c r="H371" s="137" t="s">
        <v>79</v>
      </c>
      <c r="I371" s="137" t="s">
        <v>213</v>
      </c>
      <c r="J371" s="137" t="s">
        <v>219</v>
      </c>
      <c r="K371" s="137"/>
      <c r="L371" s="137"/>
      <c r="M371" s="137"/>
      <c r="N371" s="137"/>
      <c r="O371" s="137" t="s">
        <v>282</v>
      </c>
      <c r="Q371" s="3">
        <f t="shared" si="6"/>
        <v>27.27</v>
      </c>
    </row>
    <row r="372" spans="1:17" x14ac:dyDescent="0.35">
      <c r="A372" s="137" t="s">
        <v>27</v>
      </c>
      <c r="B372" s="137" t="s">
        <v>382</v>
      </c>
      <c r="C372" s="137" t="s">
        <v>1</v>
      </c>
      <c r="D372" s="137" t="s">
        <v>2</v>
      </c>
      <c r="E372" s="137">
        <v>27.14</v>
      </c>
      <c r="F372" s="137" t="s">
        <v>77</v>
      </c>
      <c r="G372" s="136">
        <v>45736</v>
      </c>
      <c r="H372" s="137" t="s">
        <v>79</v>
      </c>
      <c r="I372" s="137" t="s">
        <v>131</v>
      </c>
      <c r="J372" s="137" t="s">
        <v>2339</v>
      </c>
      <c r="K372" s="137"/>
      <c r="L372" s="137"/>
      <c r="M372" s="137"/>
      <c r="N372" s="137"/>
      <c r="O372" s="137" t="s">
        <v>542</v>
      </c>
      <c r="Q372" s="3">
        <f t="shared" si="6"/>
        <v>27.14</v>
      </c>
    </row>
    <row r="373" spans="1:17" x14ac:dyDescent="0.35">
      <c r="A373" s="137" t="s">
        <v>27</v>
      </c>
      <c r="B373" s="137" t="s">
        <v>360</v>
      </c>
      <c r="C373" s="137" t="s">
        <v>1</v>
      </c>
      <c r="D373" s="137" t="s">
        <v>2</v>
      </c>
      <c r="E373" s="137">
        <v>26.91</v>
      </c>
      <c r="F373" s="137" t="s">
        <v>77</v>
      </c>
      <c r="G373" s="136">
        <v>45734</v>
      </c>
      <c r="H373" s="137" t="s">
        <v>79</v>
      </c>
      <c r="I373" s="137" t="s">
        <v>220</v>
      </c>
      <c r="J373" s="137" t="s">
        <v>2324</v>
      </c>
      <c r="K373" s="137"/>
      <c r="L373" s="137"/>
      <c r="M373" s="137"/>
      <c r="N373" s="137"/>
      <c r="O373" s="137" t="s">
        <v>295</v>
      </c>
      <c r="Q373" s="3">
        <f t="shared" si="6"/>
        <v>26.91</v>
      </c>
    </row>
    <row r="374" spans="1:17" x14ac:dyDescent="0.35">
      <c r="A374" s="137" t="s">
        <v>0</v>
      </c>
      <c r="B374" s="137" t="s">
        <v>399</v>
      </c>
      <c r="C374" s="137" t="s">
        <v>1</v>
      </c>
      <c r="D374" s="137" t="s">
        <v>2</v>
      </c>
      <c r="E374" s="137">
        <v>26.9</v>
      </c>
      <c r="F374" s="137" t="s">
        <v>77</v>
      </c>
      <c r="G374" s="136">
        <v>45733</v>
      </c>
      <c r="H374" s="137" t="s">
        <v>78</v>
      </c>
      <c r="I374" s="137" t="s">
        <v>2096</v>
      </c>
      <c r="J374" s="137"/>
      <c r="K374" s="137" t="s">
        <v>2097</v>
      </c>
      <c r="L374" s="137" t="s">
        <v>2416</v>
      </c>
      <c r="M374" s="137" t="s">
        <v>194</v>
      </c>
      <c r="N374" s="137"/>
      <c r="O374" s="137"/>
      <c r="Q374" s="3">
        <f t="shared" si="6"/>
        <v>26.9</v>
      </c>
    </row>
    <row r="375" spans="1:17" x14ac:dyDescent="0.35">
      <c r="A375" s="137" t="s">
        <v>27</v>
      </c>
      <c r="B375" s="137" t="s">
        <v>317</v>
      </c>
      <c r="C375" s="137" t="s">
        <v>1</v>
      </c>
      <c r="D375" s="137" t="s">
        <v>2</v>
      </c>
      <c r="E375" s="137">
        <v>26.88</v>
      </c>
      <c r="F375" s="137" t="s">
        <v>77</v>
      </c>
      <c r="G375" s="136">
        <v>45735</v>
      </c>
      <c r="H375" s="137" t="s">
        <v>78</v>
      </c>
      <c r="I375" s="137" t="s">
        <v>2325</v>
      </c>
      <c r="J375" s="137"/>
      <c r="K375" s="137" t="s">
        <v>2326</v>
      </c>
      <c r="L375" s="137" t="s">
        <v>2327</v>
      </c>
      <c r="M375" s="137" t="s">
        <v>2328</v>
      </c>
      <c r="N375" s="137"/>
      <c r="O375" s="137"/>
      <c r="Q375" s="3">
        <f t="shared" si="6"/>
        <v>26.88</v>
      </c>
    </row>
    <row r="376" spans="1:17" x14ac:dyDescent="0.35">
      <c r="A376" s="137" t="s">
        <v>27</v>
      </c>
      <c r="B376" s="137" t="s">
        <v>339</v>
      </c>
      <c r="C376" s="137" t="s">
        <v>1</v>
      </c>
      <c r="D376" s="137" t="s">
        <v>2</v>
      </c>
      <c r="E376" s="137">
        <v>26.36</v>
      </c>
      <c r="F376" s="137" t="s">
        <v>77</v>
      </c>
      <c r="G376" s="136">
        <v>45678</v>
      </c>
      <c r="H376" s="137" t="s">
        <v>79</v>
      </c>
      <c r="I376" s="137" t="s">
        <v>2142</v>
      </c>
      <c r="J376" s="137" t="s">
        <v>2143</v>
      </c>
      <c r="K376" s="137"/>
      <c r="L376" s="137"/>
      <c r="M376" s="137"/>
      <c r="N376" s="137"/>
      <c r="O376" s="137" t="s">
        <v>272</v>
      </c>
      <c r="Q376" s="3">
        <f t="shared" si="6"/>
        <v>26.36</v>
      </c>
    </row>
    <row r="377" spans="1:17" x14ac:dyDescent="0.35">
      <c r="A377" s="137" t="s">
        <v>27</v>
      </c>
      <c r="B377" s="137" t="s">
        <v>377</v>
      </c>
      <c r="C377" s="137" t="s">
        <v>1</v>
      </c>
      <c r="D377" s="137" t="s">
        <v>2</v>
      </c>
      <c r="E377" s="137">
        <v>26.36</v>
      </c>
      <c r="F377" s="137" t="s">
        <v>77</v>
      </c>
      <c r="G377" s="136">
        <v>45694</v>
      </c>
      <c r="H377" s="137" t="s">
        <v>79</v>
      </c>
      <c r="I377" s="137" t="s">
        <v>2199</v>
      </c>
      <c r="J377" s="137" t="s">
        <v>193</v>
      </c>
      <c r="K377" s="137"/>
      <c r="L377" s="137"/>
      <c r="M377" s="137"/>
      <c r="N377" s="137"/>
      <c r="O377" s="137" t="s">
        <v>2200</v>
      </c>
      <c r="Q377" s="3">
        <f t="shared" si="6"/>
        <v>26.36</v>
      </c>
    </row>
    <row r="378" spans="1:17" x14ac:dyDescent="0.35">
      <c r="A378" s="137" t="s">
        <v>27</v>
      </c>
      <c r="B378" s="137" t="s">
        <v>496</v>
      </c>
      <c r="C378" s="137" t="s">
        <v>1</v>
      </c>
      <c r="D378" s="137" t="s">
        <v>2</v>
      </c>
      <c r="E378" s="137">
        <v>26.29</v>
      </c>
      <c r="F378" s="137" t="s">
        <v>77</v>
      </c>
      <c r="G378" s="136">
        <v>45716</v>
      </c>
      <c r="H378" s="137" t="s">
        <v>79</v>
      </c>
      <c r="I378" s="137" t="s">
        <v>231</v>
      </c>
      <c r="J378" s="137" t="s">
        <v>2267</v>
      </c>
      <c r="K378" s="137"/>
      <c r="L378" s="137"/>
      <c r="M378" s="137"/>
      <c r="N378" s="137"/>
      <c r="O378" s="137" t="s">
        <v>705</v>
      </c>
      <c r="Q378" s="3">
        <f t="shared" si="6"/>
        <v>26.29</v>
      </c>
    </row>
    <row r="379" spans="1:17" x14ac:dyDescent="0.35">
      <c r="A379" s="137" t="s">
        <v>27</v>
      </c>
      <c r="B379" s="137" t="s">
        <v>389</v>
      </c>
      <c r="C379" s="137" t="s">
        <v>1</v>
      </c>
      <c r="D379" s="137" t="s">
        <v>2</v>
      </c>
      <c r="E379" s="137">
        <v>26.02</v>
      </c>
      <c r="F379" s="137" t="s">
        <v>77</v>
      </c>
      <c r="G379" s="136">
        <v>45740</v>
      </c>
      <c r="H379" s="137" t="s">
        <v>79</v>
      </c>
      <c r="I379" s="137" t="s">
        <v>693</v>
      </c>
      <c r="J379" s="137" t="s">
        <v>2370</v>
      </c>
      <c r="K379" s="137"/>
      <c r="L379" s="137"/>
      <c r="M379" s="137"/>
      <c r="N379" s="137"/>
      <c r="O379" s="137" t="s">
        <v>702</v>
      </c>
      <c r="Q379" s="3">
        <f t="shared" si="6"/>
        <v>26.02</v>
      </c>
    </row>
    <row r="380" spans="1:17" x14ac:dyDescent="0.35">
      <c r="A380" s="137" t="s">
        <v>0</v>
      </c>
      <c r="B380" s="137" t="s">
        <v>377</v>
      </c>
      <c r="C380" s="137" t="s">
        <v>1</v>
      </c>
      <c r="D380" s="137" t="s">
        <v>2</v>
      </c>
      <c r="E380" s="137">
        <v>25.69</v>
      </c>
      <c r="F380" s="137" t="s">
        <v>77</v>
      </c>
      <c r="G380" s="136">
        <v>45677</v>
      </c>
      <c r="H380" s="137" t="s">
        <v>78</v>
      </c>
      <c r="I380" s="137" t="s">
        <v>2053</v>
      </c>
      <c r="J380" s="137"/>
      <c r="K380" s="137" t="s">
        <v>735</v>
      </c>
      <c r="L380" s="137" t="s">
        <v>2054</v>
      </c>
      <c r="M380" s="137" t="s">
        <v>195</v>
      </c>
      <c r="N380" s="137"/>
      <c r="O380" s="137"/>
      <c r="Q380" s="3">
        <f t="shared" si="6"/>
        <v>25.69</v>
      </c>
    </row>
    <row r="381" spans="1:17" x14ac:dyDescent="0.35">
      <c r="A381" s="137" t="s">
        <v>0</v>
      </c>
      <c r="B381" s="137" t="s">
        <v>391</v>
      </c>
      <c r="C381" s="137" t="s">
        <v>1</v>
      </c>
      <c r="D381" s="137" t="s">
        <v>2</v>
      </c>
      <c r="E381" s="137">
        <v>25.46</v>
      </c>
      <c r="F381" s="137" t="s">
        <v>77</v>
      </c>
      <c r="G381" s="136">
        <v>45737</v>
      </c>
      <c r="H381" s="137" t="s">
        <v>78</v>
      </c>
      <c r="I381" s="137" t="s">
        <v>2101</v>
      </c>
      <c r="J381" s="137"/>
      <c r="K381" s="137" t="s">
        <v>2026</v>
      </c>
      <c r="L381" s="137" t="s">
        <v>2102</v>
      </c>
      <c r="M381" s="137" t="s">
        <v>212</v>
      </c>
      <c r="N381" s="137"/>
      <c r="O381" s="137"/>
      <c r="Q381" s="3">
        <f t="shared" si="6"/>
        <v>25.46</v>
      </c>
    </row>
    <row r="382" spans="1:17" x14ac:dyDescent="0.35">
      <c r="A382" s="137" t="s">
        <v>27</v>
      </c>
      <c r="B382" s="137" t="s">
        <v>382</v>
      </c>
      <c r="C382" s="137" t="s">
        <v>1</v>
      </c>
      <c r="D382" s="137" t="s">
        <v>2</v>
      </c>
      <c r="E382" s="137">
        <v>25.45</v>
      </c>
      <c r="F382" s="137" t="s">
        <v>77</v>
      </c>
      <c r="G382" s="136">
        <v>45736</v>
      </c>
      <c r="H382" s="137" t="s">
        <v>79</v>
      </c>
      <c r="I382" s="137" t="s">
        <v>234</v>
      </c>
      <c r="J382" s="137" t="s">
        <v>2339</v>
      </c>
      <c r="K382" s="137"/>
      <c r="L382" s="137"/>
      <c r="M382" s="137"/>
      <c r="N382" s="137"/>
      <c r="O382" s="137" t="s">
        <v>286</v>
      </c>
      <c r="Q382" s="3">
        <f t="shared" si="6"/>
        <v>25.45</v>
      </c>
    </row>
    <row r="383" spans="1:17" x14ac:dyDescent="0.35">
      <c r="A383" s="137" t="s">
        <v>27</v>
      </c>
      <c r="B383" s="137" t="s">
        <v>481</v>
      </c>
      <c r="C383" s="137" t="s">
        <v>1</v>
      </c>
      <c r="D383" s="137" t="s">
        <v>2</v>
      </c>
      <c r="E383" s="137">
        <v>25.36</v>
      </c>
      <c r="F383" s="137" t="s">
        <v>77</v>
      </c>
      <c r="G383" s="136">
        <v>45726</v>
      </c>
      <c r="H383" s="137" t="s">
        <v>79</v>
      </c>
      <c r="I383" s="137" t="s">
        <v>172</v>
      </c>
      <c r="J383" s="137" t="s">
        <v>173</v>
      </c>
      <c r="K383" s="137"/>
      <c r="L383" s="137"/>
      <c r="M383" s="137"/>
      <c r="N383" s="137"/>
      <c r="O383" s="137" t="s">
        <v>679</v>
      </c>
      <c r="Q383" s="3">
        <f t="shared" si="6"/>
        <v>25.36</v>
      </c>
    </row>
    <row r="384" spans="1:17" x14ac:dyDescent="0.35">
      <c r="A384" s="137" t="s">
        <v>27</v>
      </c>
      <c r="B384" s="137" t="s">
        <v>588</v>
      </c>
      <c r="C384" s="137" t="s">
        <v>1</v>
      </c>
      <c r="D384" s="137" t="s">
        <v>2</v>
      </c>
      <c r="E384" s="137">
        <v>25.32</v>
      </c>
      <c r="F384" s="137" t="s">
        <v>77</v>
      </c>
      <c r="G384" s="136">
        <v>45737</v>
      </c>
      <c r="H384" s="137" t="s">
        <v>79</v>
      </c>
      <c r="I384" s="137" t="s">
        <v>201</v>
      </c>
      <c r="J384" s="137" t="s">
        <v>202</v>
      </c>
      <c r="K384" s="137"/>
      <c r="L384" s="137"/>
      <c r="M384" s="137"/>
      <c r="N384" s="137"/>
      <c r="O384" s="137" t="s">
        <v>2368</v>
      </c>
      <c r="Q384" s="3">
        <f t="shared" si="6"/>
        <v>25.32</v>
      </c>
    </row>
    <row r="385" spans="1:17" x14ac:dyDescent="0.35">
      <c r="A385" s="137" t="s">
        <v>27</v>
      </c>
      <c r="B385" s="137" t="s">
        <v>382</v>
      </c>
      <c r="C385" s="137" t="s">
        <v>1</v>
      </c>
      <c r="D385" s="137" t="s">
        <v>2</v>
      </c>
      <c r="E385" s="137">
        <v>25.17</v>
      </c>
      <c r="F385" s="137" t="s">
        <v>77</v>
      </c>
      <c r="G385" s="136">
        <v>45736</v>
      </c>
      <c r="H385" s="137" t="s">
        <v>79</v>
      </c>
      <c r="I385" s="137" t="s">
        <v>131</v>
      </c>
      <c r="J385" s="137" t="s">
        <v>2349</v>
      </c>
      <c r="K385" s="137"/>
      <c r="L385" s="137"/>
      <c r="M385" s="137"/>
      <c r="N385" s="137"/>
      <c r="O385" s="137" t="s">
        <v>2350</v>
      </c>
      <c r="Q385" s="3">
        <f t="shared" si="6"/>
        <v>25.17</v>
      </c>
    </row>
    <row r="386" spans="1:17" x14ac:dyDescent="0.35">
      <c r="A386" s="137" t="s">
        <v>27</v>
      </c>
      <c r="B386" s="137" t="s">
        <v>481</v>
      </c>
      <c r="C386" s="137" t="s">
        <v>1</v>
      </c>
      <c r="D386" s="137" t="s">
        <v>2</v>
      </c>
      <c r="E386" s="137">
        <v>25.14</v>
      </c>
      <c r="F386" s="137" t="s">
        <v>77</v>
      </c>
      <c r="G386" s="136">
        <v>45726</v>
      </c>
      <c r="H386" s="137" t="s">
        <v>79</v>
      </c>
      <c r="I386" s="137" t="s">
        <v>168</v>
      </c>
      <c r="J386" s="137" t="s">
        <v>169</v>
      </c>
      <c r="K386" s="137"/>
      <c r="L386" s="137"/>
      <c r="M386" s="137"/>
      <c r="N386" s="137"/>
      <c r="O386" s="137" t="s">
        <v>287</v>
      </c>
      <c r="Q386" s="3">
        <f t="shared" si="6"/>
        <v>25.14</v>
      </c>
    </row>
    <row r="387" spans="1:17" x14ac:dyDescent="0.35">
      <c r="A387" s="137" t="s">
        <v>0</v>
      </c>
      <c r="B387" s="137" t="s">
        <v>407</v>
      </c>
      <c r="C387" s="137" t="s">
        <v>1</v>
      </c>
      <c r="D387" s="137" t="s">
        <v>2</v>
      </c>
      <c r="E387" s="137">
        <v>25.09</v>
      </c>
      <c r="F387" s="137" t="s">
        <v>77</v>
      </c>
      <c r="G387" s="136">
        <v>45712</v>
      </c>
      <c r="H387" s="137" t="s">
        <v>78</v>
      </c>
      <c r="I387" s="137" t="s">
        <v>2082</v>
      </c>
      <c r="J387" s="137"/>
      <c r="K387" s="137" t="s">
        <v>2080</v>
      </c>
      <c r="L387" s="137" t="s">
        <v>2083</v>
      </c>
      <c r="M387" s="137" t="s">
        <v>195</v>
      </c>
      <c r="N387" s="137"/>
      <c r="O387" s="137"/>
      <c r="Q387" s="3">
        <f t="shared" si="6"/>
        <v>25.09</v>
      </c>
    </row>
    <row r="388" spans="1:17" x14ac:dyDescent="0.35">
      <c r="A388" s="137" t="s">
        <v>0</v>
      </c>
      <c r="B388" s="137" t="s">
        <v>421</v>
      </c>
      <c r="C388" s="137" t="s">
        <v>1</v>
      </c>
      <c r="D388" s="137" t="s">
        <v>2</v>
      </c>
      <c r="E388" s="137">
        <v>25.08</v>
      </c>
      <c r="F388" s="137" t="s">
        <v>77</v>
      </c>
      <c r="G388" s="136">
        <v>45712</v>
      </c>
      <c r="H388" s="137" t="s">
        <v>78</v>
      </c>
      <c r="I388" s="137" t="s">
        <v>2082</v>
      </c>
      <c r="J388" s="137"/>
      <c r="K388" s="137" t="s">
        <v>2080</v>
      </c>
      <c r="L388" s="137" t="s">
        <v>2083</v>
      </c>
      <c r="M388" s="137" t="s">
        <v>195</v>
      </c>
      <c r="N388" s="137"/>
      <c r="O388" s="137"/>
      <c r="Q388" s="3">
        <f t="shared" si="6"/>
        <v>25.08</v>
      </c>
    </row>
    <row r="389" spans="1:17" x14ac:dyDescent="0.35">
      <c r="A389" s="137" t="s">
        <v>0</v>
      </c>
      <c r="B389" s="137" t="s">
        <v>360</v>
      </c>
      <c r="C389" s="137" t="s">
        <v>1</v>
      </c>
      <c r="D389" s="137" t="s">
        <v>2</v>
      </c>
      <c r="E389" s="137">
        <v>25.06</v>
      </c>
      <c r="F389" s="137" t="s">
        <v>77</v>
      </c>
      <c r="G389" s="136">
        <v>45712</v>
      </c>
      <c r="H389" s="137" t="s">
        <v>78</v>
      </c>
      <c r="I389" s="137" t="s">
        <v>2082</v>
      </c>
      <c r="J389" s="137"/>
      <c r="K389" s="137" t="s">
        <v>2080</v>
      </c>
      <c r="L389" s="137" t="s">
        <v>2083</v>
      </c>
      <c r="M389" s="137" t="s">
        <v>195</v>
      </c>
      <c r="Q389" s="3">
        <f t="shared" si="6"/>
        <v>25.06</v>
      </c>
    </row>
    <row r="390" spans="1:17" x14ac:dyDescent="0.35">
      <c r="A390" s="137" t="s">
        <v>0</v>
      </c>
      <c r="B390" s="137" t="s">
        <v>377</v>
      </c>
      <c r="C390" s="137" t="s">
        <v>1</v>
      </c>
      <c r="D390" s="137" t="s">
        <v>2</v>
      </c>
      <c r="E390" s="137">
        <v>25.03</v>
      </c>
      <c r="F390" s="137" t="s">
        <v>77</v>
      </c>
      <c r="G390" s="136">
        <v>45712</v>
      </c>
      <c r="H390" s="137" t="s">
        <v>78</v>
      </c>
      <c r="I390" s="137" t="s">
        <v>2082</v>
      </c>
      <c r="J390" s="137"/>
      <c r="K390" s="137" t="s">
        <v>2080</v>
      </c>
      <c r="L390" s="137" t="s">
        <v>2083</v>
      </c>
      <c r="M390" s="137" t="s">
        <v>195</v>
      </c>
      <c r="Q390" s="3">
        <f t="shared" si="6"/>
        <v>25.03</v>
      </c>
    </row>
    <row r="391" spans="1:17" x14ac:dyDescent="0.35">
      <c r="A391" s="137" t="s">
        <v>27</v>
      </c>
      <c r="B391" s="137" t="s">
        <v>352</v>
      </c>
      <c r="C391" s="137" t="s">
        <v>1</v>
      </c>
      <c r="D391" s="137" t="s">
        <v>2</v>
      </c>
      <c r="E391" s="137">
        <v>25</v>
      </c>
      <c r="F391" s="137" t="s">
        <v>77</v>
      </c>
      <c r="G391" s="136">
        <v>45664</v>
      </c>
      <c r="H391" s="137" t="s">
        <v>78</v>
      </c>
      <c r="I391" s="137" t="s">
        <v>2110</v>
      </c>
      <c r="J391" s="137"/>
      <c r="K391" s="137" t="s">
        <v>685</v>
      </c>
      <c r="L391" s="137" t="s">
        <v>2420</v>
      </c>
      <c r="M391" s="137" t="s">
        <v>211</v>
      </c>
      <c r="N391" s="137"/>
      <c r="O391" s="137"/>
      <c r="Q391" s="3">
        <f t="shared" si="6"/>
        <v>25</v>
      </c>
    </row>
    <row r="392" spans="1:17" x14ac:dyDescent="0.35">
      <c r="A392" s="137" t="s">
        <v>27</v>
      </c>
      <c r="B392" s="137" t="s">
        <v>352</v>
      </c>
      <c r="C392" s="137" t="s">
        <v>1</v>
      </c>
      <c r="D392" s="137" t="s">
        <v>2</v>
      </c>
      <c r="E392" s="137">
        <v>25</v>
      </c>
      <c r="F392" s="137" t="s">
        <v>77</v>
      </c>
      <c r="G392" s="136">
        <v>45670</v>
      </c>
      <c r="H392" s="137" t="s">
        <v>78</v>
      </c>
      <c r="I392" s="137" t="s">
        <v>2126</v>
      </c>
      <c r="J392" s="137"/>
      <c r="K392" s="137" t="s">
        <v>685</v>
      </c>
      <c r="L392" s="137" t="s">
        <v>2424</v>
      </c>
      <c r="M392" s="137" t="s">
        <v>211</v>
      </c>
      <c r="N392" s="137"/>
      <c r="O392" s="137"/>
      <c r="Q392" s="3">
        <f t="shared" ref="Q392:Q455" si="7">ABS(E392)</f>
        <v>25</v>
      </c>
    </row>
    <row r="393" spans="1:17" x14ac:dyDescent="0.35">
      <c r="A393" s="137" t="s">
        <v>27</v>
      </c>
      <c r="B393" s="137" t="s">
        <v>352</v>
      </c>
      <c r="C393" s="137" t="s">
        <v>1</v>
      </c>
      <c r="D393" s="137" t="s">
        <v>2</v>
      </c>
      <c r="E393" s="137">
        <v>25</v>
      </c>
      <c r="F393" s="137" t="s">
        <v>77</v>
      </c>
      <c r="G393" s="136">
        <v>45691</v>
      </c>
      <c r="H393" s="137" t="s">
        <v>78</v>
      </c>
      <c r="I393" s="137" t="s">
        <v>2184</v>
      </c>
      <c r="J393" s="137"/>
      <c r="K393" s="137" t="s">
        <v>685</v>
      </c>
      <c r="L393" s="137" t="s">
        <v>2433</v>
      </c>
      <c r="M393" s="137" t="s">
        <v>211</v>
      </c>
      <c r="N393" s="137"/>
      <c r="O393" s="137"/>
      <c r="Q393" s="3">
        <f t="shared" si="7"/>
        <v>25</v>
      </c>
    </row>
    <row r="394" spans="1:17" x14ac:dyDescent="0.35">
      <c r="A394" s="137" t="s">
        <v>27</v>
      </c>
      <c r="B394" s="137" t="s">
        <v>352</v>
      </c>
      <c r="C394" s="137" t="s">
        <v>1</v>
      </c>
      <c r="D394" s="137" t="s">
        <v>2</v>
      </c>
      <c r="E394" s="137">
        <v>25</v>
      </c>
      <c r="F394" s="137" t="s">
        <v>77</v>
      </c>
      <c r="G394" s="136">
        <v>45691</v>
      </c>
      <c r="H394" s="137" t="s">
        <v>78</v>
      </c>
      <c r="I394" s="137" t="s">
        <v>2185</v>
      </c>
      <c r="J394" s="137"/>
      <c r="K394" s="137" t="s">
        <v>685</v>
      </c>
      <c r="L394" s="137" t="s">
        <v>2434</v>
      </c>
      <c r="M394" s="137" t="s">
        <v>211</v>
      </c>
      <c r="N394" s="137"/>
      <c r="O394" s="137"/>
      <c r="Q394" s="3">
        <f t="shared" si="7"/>
        <v>25</v>
      </c>
    </row>
    <row r="395" spans="1:17" x14ac:dyDescent="0.35">
      <c r="A395" s="137" t="s">
        <v>27</v>
      </c>
      <c r="B395" s="137" t="s">
        <v>352</v>
      </c>
      <c r="C395" s="137" t="s">
        <v>1</v>
      </c>
      <c r="D395" s="137" t="s">
        <v>2</v>
      </c>
      <c r="E395" s="137">
        <v>25</v>
      </c>
      <c r="F395" s="137" t="s">
        <v>77</v>
      </c>
      <c r="G395" s="136">
        <v>45691</v>
      </c>
      <c r="H395" s="137" t="s">
        <v>78</v>
      </c>
      <c r="I395" s="137" t="s">
        <v>2186</v>
      </c>
      <c r="J395" s="137"/>
      <c r="K395" s="137" t="s">
        <v>685</v>
      </c>
      <c r="L395" s="137" t="s">
        <v>2435</v>
      </c>
      <c r="M395" s="137" t="s">
        <v>211</v>
      </c>
      <c r="N395" s="137"/>
      <c r="O395" s="137"/>
      <c r="Q395" s="3">
        <f t="shared" si="7"/>
        <v>25</v>
      </c>
    </row>
    <row r="396" spans="1:17" x14ac:dyDescent="0.35">
      <c r="A396" s="137" t="s">
        <v>27</v>
      </c>
      <c r="B396" s="137" t="s">
        <v>481</v>
      </c>
      <c r="C396" s="137" t="s">
        <v>1</v>
      </c>
      <c r="D396" s="137" t="s">
        <v>2</v>
      </c>
      <c r="E396" s="137">
        <v>25</v>
      </c>
      <c r="F396" s="137" t="s">
        <v>77</v>
      </c>
      <c r="G396" s="136">
        <v>45699</v>
      </c>
      <c r="H396" s="137" t="s">
        <v>79</v>
      </c>
      <c r="I396" s="137" t="s">
        <v>172</v>
      </c>
      <c r="J396" s="137" t="s">
        <v>173</v>
      </c>
      <c r="K396" s="137"/>
      <c r="L396" s="137"/>
      <c r="M396" s="137"/>
      <c r="N396" s="137"/>
      <c r="O396" s="137" t="s">
        <v>277</v>
      </c>
      <c r="Q396" s="3">
        <f t="shared" si="7"/>
        <v>25</v>
      </c>
    </row>
    <row r="397" spans="1:17" x14ac:dyDescent="0.35">
      <c r="A397" s="137" t="s">
        <v>27</v>
      </c>
      <c r="B397" s="137" t="s">
        <v>352</v>
      </c>
      <c r="C397" s="137" t="s">
        <v>1</v>
      </c>
      <c r="D397" s="137" t="s">
        <v>2</v>
      </c>
      <c r="E397" s="137">
        <v>25</v>
      </c>
      <c r="F397" s="137" t="s">
        <v>77</v>
      </c>
      <c r="G397" s="136">
        <v>45726</v>
      </c>
      <c r="H397" s="137" t="s">
        <v>78</v>
      </c>
      <c r="I397" s="137" t="s">
        <v>2286</v>
      </c>
      <c r="J397" s="137"/>
      <c r="K397" s="137" t="s">
        <v>2287</v>
      </c>
      <c r="L397" s="137" t="s">
        <v>2442</v>
      </c>
      <c r="M397" s="137" t="s">
        <v>2288</v>
      </c>
      <c r="N397" s="137"/>
      <c r="O397" s="137"/>
      <c r="Q397" s="3">
        <f t="shared" si="7"/>
        <v>25</v>
      </c>
    </row>
    <row r="398" spans="1:17" x14ac:dyDescent="0.35">
      <c r="A398" s="137" t="s">
        <v>27</v>
      </c>
      <c r="B398" s="137" t="s">
        <v>352</v>
      </c>
      <c r="C398" s="137" t="s">
        <v>1</v>
      </c>
      <c r="D398" s="137" t="s">
        <v>2</v>
      </c>
      <c r="E398" s="137">
        <v>25</v>
      </c>
      <c r="F398" s="137" t="s">
        <v>77</v>
      </c>
      <c r="G398" s="136">
        <v>45726</v>
      </c>
      <c r="H398" s="137" t="s">
        <v>78</v>
      </c>
      <c r="I398" s="137" t="s">
        <v>2289</v>
      </c>
      <c r="J398" s="137"/>
      <c r="K398" s="137" t="s">
        <v>2287</v>
      </c>
      <c r="L398" s="137" t="s">
        <v>2443</v>
      </c>
      <c r="M398" s="137" t="s">
        <v>2288</v>
      </c>
      <c r="N398" s="137"/>
      <c r="O398" s="137"/>
      <c r="Q398" s="3">
        <f t="shared" si="7"/>
        <v>25</v>
      </c>
    </row>
    <row r="399" spans="1:17" x14ac:dyDescent="0.35">
      <c r="A399" s="137" t="s">
        <v>27</v>
      </c>
      <c r="B399" s="137" t="s">
        <v>352</v>
      </c>
      <c r="C399" s="137" t="s">
        <v>1</v>
      </c>
      <c r="D399" s="137" t="s">
        <v>2</v>
      </c>
      <c r="E399" s="137">
        <v>25</v>
      </c>
      <c r="F399" s="137" t="s">
        <v>77</v>
      </c>
      <c r="G399" s="136">
        <v>45726</v>
      </c>
      <c r="H399" s="137" t="s">
        <v>78</v>
      </c>
      <c r="I399" s="137" t="s">
        <v>2290</v>
      </c>
      <c r="J399" s="137"/>
      <c r="K399" s="137" t="s">
        <v>2287</v>
      </c>
      <c r="L399" s="137" t="s">
        <v>2444</v>
      </c>
      <c r="M399" s="137" t="s">
        <v>2288</v>
      </c>
      <c r="N399" s="137"/>
      <c r="O399" s="137"/>
      <c r="Q399" s="3">
        <f t="shared" si="7"/>
        <v>25</v>
      </c>
    </row>
    <row r="400" spans="1:17" x14ac:dyDescent="0.35">
      <c r="A400" s="137" t="s">
        <v>27</v>
      </c>
      <c r="B400" s="137" t="s">
        <v>352</v>
      </c>
      <c r="C400" s="137" t="s">
        <v>1</v>
      </c>
      <c r="D400" s="137" t="s">
        <v>2</v>
      </c>
      <c r="E400" s="137">
        <v>25</v>
      </c>
      <c r="F400" s="137" t="s">
        <v>77</v>
      </c>
      <c r="G400" s="136">
        <v>45726</v>
      </c>
      <c r="H400" s="137" t="s">
        <v>78</v>
      </c>
      <c r="I400" s="137" t="s">
        <v>2291</v>
      </c>
      <c r="J400" s="137"/>
      <c r="K400" s="137" t="s">
        <v>2287</v>
      </c>
      <c r="L400" s="137" t="s">
        <v>2445</v>
      </c>
      <c r="M400" s="137" t="s">
        <v>2288</v>
      </c>
      <c r="N400" s="137"/>
      <c r="O400" s="137"/>
      <c r="Q400" s="3">
        <f t="shared" si="7"/>
        <v>25</v>
      </c>
    </row>
    <row r="401" spans="1:22" x14ac:dyDescent="0.35">
      <c r="A401" s="137" t="s">
        <v>27</v>
      </c>
      <c r="B401" s="137" t="s">
        <v>352</v>
      </c>
      <c r="C401" s="137" t="s">
        <v>1</v>
      </c>
      <c r="D401" s="137" t="s">
        <v>2</v>
      </c>
      <c r="E401" s="137">
        <v>-25</v>
      </c>
      <c r="F401" s="137" t="s">
        <v>77</v>
      </c>
      <c r="G401" s="136">
        <v>45726</v>
      </c>
      <c r="H401" s="137" t="s">
        <v>78</v>
      </c>
      <c r="I401" s="137" t="s">
        <v>2292</v>
      </c>
      <c r="J401" s="137"/>
      <c r="K401" s="137" t="s">
        <v>2287</v>
      </c>
      <c r="L401" s="137" t="s">
        <v>2446</v>
      </c>
      <c r="M401" s="137" t="s">
        <v>2288</v>
      </c>
      <c r="N401" s="137"/>
      <c r="O401" s="137"/>
      <c r="Q401" s="3">
        <f t="shared" si="7"/>
        <v>25</v>
      </c>
    </row>
    <row r="402" spans="1:22" x14ac:dyDescent="0.35">
      <c r="A402" s="137" t="s">
        <v>27</v>
      </c>
      <c r="B402" s="137" t="s">
        <v>352</v>
      </c>
      <c r="C402" s="137" t="s">
        <v>1</v>
      </c>
      <c r="D402" s="137" t="s">
        <v>2</v>
      </c>
      <c r="E402" s="137">
        <v>25</v>
      </c>
      <c r="F402" s="137" t="s">
        <v>77</v>
      </c>
      <c r="G402" s="136">
        <v>45726</v>
      </c>
      <c r="H402" s="137" t="s">
        <v>78</v>
      </c>
      <c r="I402" s="137" t="s">
        <v>2293</v>
      </c>
      <c r="J402" s="137"/>
      <c r="K402" s="137" t="s">
        <v>2287</v>
      </c>
      <c r="L402" s="137" t="s">
        <v>2447</v>
      </c>
      <c r="M402" s="137" t="s">
        <v>2288</v>
      </c>
      <c r="N402" s="137"/>
      <c r="O402" s="137"/>
      <c r="Q402" s="3">
        <f t="shared" si="7"/>
        <v>25</v>
      </c>
    </row>
    <row r="403" spans="1:22" x14ac:dyDescent="0.35">
      <c r="A403" s="137" t="s">
        <v>27</v>
      </c>
      <c r="B403" s="137" t="s">
        <v>352</v>
      </c>
      <c r="C403" s="137" t="s">
        <v>1</v>
      </c>
      <c r="D403" s="137" t="s">
        <v>2</v>
      </c>
      <c r="E403" s="137">
        <v>25</v>
      </c>
      <c r="F403" s="137" t="s">
        <v>77</v>
      </c>
      <c r="G403" s="136">
        <v>45740</v>
      </c>
      <c r="H403" s="137" t="s">
        <v>78</v>
      </c>
      <c r="I403" s="137" t="s">
        <v>2369</v>
      </c>
      <c r="J403" s="137"/>
      <c r="K403" s="137" t="s">
        <v>2287</v>
      </c>
      <c r="L403" s="137" t="s">
        <v>2450</v>
      </c>
      <c r="M403" s="137" t="s">
        <v>2288</v>
      </c>
      <c r="N403" s="137"/>
      <c r="O403" s="137"/>
      <c r="Q403" s="3">
        <f t="shared" si="7"/>
        <v>25</v>
      </c>
    </row>
    <row r="404" spans="1:22" x14ac:dyDescent="0.35">
      <c r="A404" s="137" t="s">
        <v>0</v>
      </c>
      <c r="B404" s="137" t="s">
        <v>384</v>
      </c>
      <c r="C404" s="137" t="s">
        <v>1</v>
      </c>
      <c r="D404" s="137" t="s">
        <v>2</v>
      </c>
      <c r="E404" s="137">
        <v>24.99</v>
      </c>
      <c r="F404" s="137" t="s">
        <v>77</v>
      </c>
      <c r="G404" s="136">
        <v>45712</v>
      </c>
      <c r="H404" s="137" t="s">
        <v>78</v>
      </c>
      <c r="I404" s="137" t="s">
        <v>2082</v>
      </c>
      <c r="J404" s="137"/>
      <c r="K404" s="137" t="s">
        <v>2080</v>
      </c>
      <c r="L404" s="137" t="s">
        <v>2083</v>
      </c>
      <c r="M404" s="137" t="s">
        <v>195</v>
      </c>
      <c r="N404" s="137"/>
      <c r="O404" s="137"/>
      <c r="Q404" s="3">
        <f t="shared" si="7"/>
        <v>24.99</v>
      </c>
    </row>
    <row r="405" spans="1:22" x14ac:dyDescent="0.35">
      <c r="A405" s="137" t="s">
        <v>27</v>
      </c>
      <c r="B405" s="137" t="s">
        <v>481</v>
      </c>
      <c r="C405" s="137" t="s">
        <v>1</v>
      </c>
      <c r="D405" s="137" t="s">
        <v>2</v>
      </c>
      <c r="E405" s="137">
        <v>24.64</v>
      </c>
      <c r="F405" s="137" t="s">
        <v>77</v>
      </c>
      <c r="G405" s="136">
        <v>45699</v>
      </c>
      <c r="H405" s="137" t="s">
        <v>79</v>
      </c>
      <c r="I405" s="137" t="s">
        <v>2221</v>
      </c>
      <c r="J405" s="137" t="s">
        <v>2222</v>
      </c>
      <c r="K405" s="137"/>
      <c r="L405" s="137"/>
      <c r="M405" s="137"/>
      <c r="N405" s="137"/>
      <c r="O405" s="137" t="s">
        <v>679</v>
      </c>
      <c r="Q405" s="3">
        <f t="shared" si="7"/>
        <v>24.64</v>
      </c>
    </row>
    <row r="406" spans="1:22" x14ac:dyDescent="0.35">
      <c r="A406" s="137" t="s">
        <v>27</v>
      </c>
      <c r="B406" s="137" t="s">
        <v>496</v>
      </c>
      <c r="C406" s="137" t="s">
        <v>1</v>
      </c>
      <c r="D406" s="137" t="s">
        <v>2</v>
      </c>
      <c r="E406" s="137">
        <v>24.51</v>
      </c>
      <c r="F406" s="137" t="s">
        <v>77</v>
      </c>
      <c r="G406" s="136">
        <v>45674</v>
      </c>
      <c r="H406" s="137" t="s">
        <v>79</v>
      </c>
      <c r="I406" s="137" t="s">
        <v>263</v>
      </c>
      <c r="J406" s="137" t="s">
        <v>266</v>
      </c>
      <c r="K406" s="137"/>
      <c r="L406" s="137"/>
      <c r="M406" s="137"/>
      <c r="N406" s="137"/>
      <c r="O406" s="137" t="s">
        <v>280</v>
      </c>
      <c r="Q406" s="3">
        <f t="shared" si="7"/>
        <v>24.51</v>
      </c>
    </row>
    <row r="407" spans="1:22" x14ac:dyDescent="0.35">
      <c r="A407" s="137" t="s">
        <v>27</v>
      </c>
      <c r="B407" s="137" t="s">
        <v>366</v>
      </c>
      <c r="C407" s="137" t="s">
        <v>1</v>
      </c>
      <c r="D407" s="137" t="s">
        <v>2</v>
      </c>
      <c r="E407" s="137">
        <v>24.27</v>
      </c>
      <c r="F407" s="137" t="s">
        <v>77</v>
      </c>
      <c r="G407" s="136">
        <v>45685</v>
      </c>
      <c r="H407" s="137" t="s">
        <v>79</v>
      </c>
      <c r="I407" s="137" t="s">
        <v>227</v>
      </c>
      <c r="J407" s="137" t="s">
        <v>171</v>
      </c>
      <c r="K407" s="137"/>
      <c r="L407" s="137"/>
      <c r="M407" s="137"/>
      <c r="N407" s="137"/>
      <c r="O407" s="137" t="s">
        <v>293</v>
      </c>
      <c r="Q407" s="3">
        <f t="shared" si="7"/>
        <v>24.27</v>
      </c>
    </row>
    <row r="408" spans="1:22" x14ac:dyDescent="0.35">
      <c r="A408" s="137" t="s">
        <v>0</v>
      </c>
      <c r="B408" s="137" t="s">
        <v>427</v>
      </c>
      <c r="C408" s="137" t="s">
        <v>1</v>
      </c>
      <c r="D408" s="137" t="s">
        <v>2</v>
      </c>
      <c r="E408" s="137">
        <v>24.22</v>
      </c>
      <c r="F408" s="137" t="s">
        <v>77</v>
      </c>
      <c r="G408" s="136">
        <v>45712</v>
      </c>
      <c r="H408" s="137" t="s">
        <v>78</v>
      </c>
      <c r="I408" s="137" t="s">
        <v>2079</v>
      </c>
      <c r="J408" s="137"/>
      <c r="K408" s="137" t="s">
        <v>2080</v>
      </c>
      <c r="L408" s="137" t="s">
        <v>2081</v>
      </c>
      <c r="M408" s="137" t="s">
        <v>195</v>
      </c>
      <c r="N408" s="137"/>
      <c r="O408" s="137"/>
      <c r="Q408" s="3">
        <f t="shared" si="7"/>
        <v>24.22</v>
      </c>
    </row>
    <row r="409" spans="1:22" x14ac:dyDescent="0.35">
      <c r="A409" s="137" t="s">
        <v>0</v>
      </c>
      <c r="B409" s="137" t="s">
        <v>427</v>
      </c>
      <c r="C409" s="137" t="s">
        <v>1</v>
      </c>
      <c r="D409" s="137" t="s">
        <v>2</v>
      </c>
      <c r="E409" s="137">
        <v>24.22</v>
      </c>
      <c r="F409" s="137" t="s">
        <v>77</v>
      </c>
      <c r="G409" s="136">
        <v>45726</v>
      </c>
      <c r="H409" s="137" t="s">
        <v>78</v>
      </c>
      <c r="I409" s="137" t="s">
        <v>2089</v>
      </c>
      <c r="J409" s="137"/>
      <c r="K409" s="137" t="s">
        <v>2090</v>
      </c>
      <c r="L409" s="137" t="s">
        <v>2091</v>
      </c>
      <c r="M409" s="137" t="s">
        <v>195</v>
      </c>
      <c r="N409" s="137"/>
      <c r="O409" s="137"/>
      <c r="Q409" s="3">
        <f t="shared" si="7"/>
        <v>24.22</v>
      </c>
    </row>
    <row r="410" spans="1:22" x14ac:dyDescent="0.35">
      <c r="A410" s="137" t="s">
        <v>0</v>
      </c>
      <c r="B410" s="137" t="s">
        <v>427</v>
      </c>
      <c r="C410" s="137" t="s">
        <v>1</v>
      </c>
      <c r="D410" s="137" t="s">
        <v>2</v>
      </c>
      <c r="E410" s="137">
        <v>24.18</v>
      </c>
      <c r="F410" s="137" t="s">
        <v>77</v>
      </c>
      <c r="G410" s="136">
        <v>45677</v>
      </c>
      <c r="H410" s="137" t="s">
        <v>78</v>
      </c>
      <c r="I410" s="137" t="s">
        <v>2051</v>
      </c>
      <c r="J410" s="137"/>
      <c r="K410" s="137" t="s">
        <v>735</v>
      </c>
      <c r="L410" s="137" t="s">
        <v>2052</v>
      </c>
      <c r="M410" s="137" t="s">
        <v>195</v>
      </c>
      <c r="N410" s="137"/>
      <c r="O410" s="137"/>
      <c r="Q410" s="3">
        <f t="shared" si="7"/>
        <v>24.18</v>
      </c>
    </row>
    <row r="411" spans="1:22" x14ac:dyDescent="0.35">
      <c r="A411" s="137" t="s">
        <v>27</v>
      </c>
      <c r="B411" s="137" t="s">
        <v>399</v>
      </c>
      <c r="C411" s="137" t="s">
        <v>1</v>
      </c>
      <c r="D411" s="137" t="s">
        <v>2</v>
      </c>
      <c r="E411" s="137">
        <v>23.41</v>
      </c>
      <c r="F411" s="137" t="s">
        <v>77</v>
      </c>
      <c r="G411" s="136">
        <v>45694</v>
      </c>
      <c r="H411" s="137" t="s">
        <v>79</v>
      </c>
      <c r="I411" s="137" t="s">
        <v>2207</v>
      </c>
      <c r="J411" s="137" t="s">
        <v>2208</v>
      </c>
      <c r="K411" s="137"/>
      <c r="L411" s="137"/>
      <c r="M411" s="137"/>
      <c r="N411" s="137"/>
      <c r="O411" s="137" t="s">
        <v>2209</v>
      </c>
      <c r="Q411" s="3">
        <f t="shared" si="7"/>
        <v>23.41</v>
      </c>
    </row>
    <row r="412" spans="1:22" x14ac:dyDescent="0.35">
      <c r="A412" s="137" t="s">
        <v>0</v>
      </c>
      <c r="B412" s="137" t="s">
        <v>329</v>
      </c>
      <c r="C412" s="137" t="s">
        <v>1</v>
      </c>
      <c r="D412" s="137" t="s">
        <v>2</v>
      </c>
      <c r="E412" s="137">
        <v>23.24</v>
      </c>
      <c r="F412" s="137" t="s">
        <v>77</v>
      </c>
      <c r="G412" s="136">
        <v>45712</v>
      </c>
      <c r="H412" s="137" t="s">
        <v>78</v>
      </c>
      <c r="I412" s="137" t="s">
        <v>2079</v>
      </c>
      <c r="J412" s="137"/>
      <c r="K412" s="137" t="s">
        <v>2080</v>
      </c>
      <c r="L412" s="137" t="s">
        <v>2081</v>
      </c>
      <c r="M412" s="137" t="s">
        <v>195</v>
      </c>
      <c r="N412" s="137"/>
      <c r="O412" s="137"/>
      <c r="Q412" s="3">
        <f t="shared" si="7"/>
        <v>23.24</v>
      </c>
    </row>
    <row r="413" spans="1:22" x14ac:dyDescent="0.35">
      <c r="A413" s="137" t="s">
        <v>0</v>
      </c>
      <c r="B413" s="137" t="s">
        <v>329</v>
      </c>
      <c r="C413" s="137" t="s">
        <v>1</v>
      </c>
      <c r="D413" s="137" t="s">
        <v>2</v>
      </c>
      <c r="E413" s="137">
        <v>23.24</v>
      </c>
      <c r="F413" s="137" t="s">
        <v>77</v>
      </c>
      <c r="G413" s="136">
        <v>45726</v>
      </c>
      <c r="H413" s="137" t="s">
        <v>78</v>
      </c>
      <c r="I413" s="137" t="s">
        <v>2089</v>
      </c>
      <c r="J413" s="137"/>
      <c r="K413" s="137" t="s">
        <v>2090</v>
      </c>
      <c r="L413" s="137" t="s">
        <v>2091</v>
      </c>
      <c r="M413" s="137" t="s">
        <v>195</v>
      </c>
      <c r="Q413" s="3">
        <f t="shared" si="7"/>
        <v>23.24</v>
      </c>
    </row>
    <row r="414" spans="1:22" x14ac:dyDescent="0.35">
      <c r="A414" s="137" t="s">
        <v>0</v>
      </c>
      <c r="B414" s="137" t="s">
        <v>329</v>
      </c>
      <c r="C414" s="137" t="s">
        <v>1</v>
      </c>
      <c r="D414" s="137" t="s">
        <v>2</v>
      </c>
      <c r="E414" s="137">
        <v>23.17</v>
      </c>
      <c r="F414" s="137" t="s">
        <v>77</v>
      </c>
      <c r="G414" s="136">
        <v>45677</v>
      </c>
      <c r="H414" s="137" t="s">
        <v>78</v>
      </c>
      <c r="I414" s="137" t="s">
        <v>2051</v>
      </c>
      <c r="J414" s="137"/>
      <c r="K414" s="137" t="s">
        <v>735</v>
      </c>
      <c r="L414" s="137" t="s">
        <v>2052</v>
      </c>
      <c r="M414" s="137" t="s">
        <v>195</v>
      </c>
      <c r="N414" s="31"/>
      <c r="O414" s="31"/>
      <c r="Q414" s="3">
        <f t="shared" si="7"/>
        <v>23.17</v>
      </c>
    </row>
    <row r="415" spans="1:22" x14ac:dyDescent="0.35">
      <c r="A415" s="137" t="s">
        <v>27</v>
      </c>
      <c r="B415" s="137" t="s">
        <v>360</v>
      </c>
      <c r="C415" s="137" t="s">
        <v>1</v>
      </c>
      <c r="D415" s="137" t="s">
        <v>2</v>
      </c>
      <c r="E415" s="137">
        <v>22.82</v>
      </c>
      <c r="F415" s="137" t="s">
        <v>77</v>
      </c>
      <c r="G415" s="136">
        <v>45674</v>
      </c>
      <c r="H415" s="137" t="s">
        <v>79</v>
      </c>
      <c r="I415" s="137" t="s">
        <v>570</v>
      </c>
      <c r="J415" s="137" t="s">
        <v>2132</v>
      </c>
      <c r="K415" s="137"/>
      <c r="L415" s="137"/>
      <c r="M415" s="137"/>
      <c r="N415" s="137"/>
      <c r="O415" s="137" t="s">
        <v>740</v>
      </c>
      <c r="Q415" s="3">
        <f t="shared" si="7"/>
        <v>22.82</v>
      </c>
      <c r="S415" s="48" t="s">
        <v>44</v>
      </c>
      <c r="T415" t="s">
        <v>54</v>
      </c>
      <c r="U415" s="3" t="str">
        <f>B415</f>
        <v>AU030318</v>
      </c>
      <c r="V415" s="3">
        <f>E415</f>
        <v>22.82</v>
      </c>
    </row>
    <row r="416" spans="1:22" x14ac:dyDescent="0.35">
      <c r="A416" s="137" t="s">
        <v>27</v>
      </c>
      <c r="B416" s="137" t="s">
        <v>382</v>
      </c>
      <c r="C416" s="137" t="s">
        <v>1</v>
      </c>
      <c r="D416" s="137" t="s">
        <v>2</v>
      </c>
      <c r="E416" s="137">
        <v>22.72</v>
      </c>
      <c r="F416" s="137" t="s">
        <v>77</v>
      </c>
      <c r="G416" s="136">
        <v>45736</v>
      </c>
      <c r="H416" s="137" t="s">
        <v>79</v>
      </c>
      <c r="I416" s="137" t="s">
        <v>131</v>
      </c>
      <c r="J416" s="137" t="s">
        <v>2347</v>
      </c>
      <c r="K416" s="137"/>
      <c r="L416" s="137"/>
      <c r="M416" s="137"/>
      <c r="N416" s="137"/>
      <c r="O416" s="137" t="s">
        <v>2340</v>
      </c>
      <c r="Q416" s="3">
        <f t="shared" si="7"/>
        <v>22.72</v>
      </c>
    </row>
    <row r="417" spans="1:17" x14ac:dyDescent="0.35">
      <c r="A417" s="137" t="s">
        <v>0</v>
      </c>
      <c r="B417" s="137" t="s">
        <v>421</v>
      </c>
      <c r="C417" s="137" t="s">
        <v>1</v>
      </c>
      <c r="D417" s="137" t="s">
        <v>2</v>
      </c>
      <c r="E417" s="137">
        <v>22.48</v>
      </c>
      <c r="F417" s="137" t="s">
        <v>77</v>
      </c>
      <c r="G417" s="136">
        <v>45726</v>
      </c>
      <c r="H417" s="137" t="s">
        <v>78</v>
      </c>
      <c r="I417" s="137" t="s">
        <v>2092</v>
      </c>
      <c r="J417" s="137"/>
      <c r="K417" s="137" t="s">
        <v>2090</v>
      </c>
      <c r="L417" s="137" t="s">
        <v>2093</v>
      </c>
      <c r="M417" s="137" t="s">
        <v>195</v>
      </c>
      <c r="N417" s="137"/>
      <c r="O417" s="137"/>
      <c r="Q417" s="3">
        <f t="shared" si="7"/>
        <v>22.48</v>
      </c>
    </row>
    <row r="418" spans="1:17" x14ac:dyDescent="0.35">
      <c r="A418" s="137" t="s">
        <v>0</v>
      </c>
      <c r="B418" s="137" t="s">
        <v>505</v>
      </c>
      <c r="C418" s="137" t="s">
        <v>1</v>
      </c>
      <c r="D418" s="137" t="s">
        <v>2</v>
      </c>
      <c r="E418" s="137">
        <v>22.43</v>
      </c>
      <c r="F418" s="137" t="s">
        <v>77</v>
      </c>
      <c r="G418" s="136">
        <v>45726</v>
      </c>
      <c r="H418" s="137" t="s">
        <v>78</v>
      </c>
      <c r="I418" s="137" t="s">
        <v>2092</v>
      </c>
      <c r="J418" s="137"/>
      <c r="K418" s="137" t="s">
        <v>2090</v>
      </c>
      <c r="L418" s="137" t="s">
        <v>2093</v>
      </c>
      <c r="M418" s="137" t="s">
        <v>195</v>
      </c>
      <c r="N418" s="137"/>
      <c r="O418" s="137"/>
      <c r="Q418" s="3">
        <f t="shared" si="7"/>
        <v>22.43</v>
      </c>
    </row>
    <row r="419" spans="1:17" x14ac:dyDescent="0.35">
      <c r="A419" s="137" t="s">
        <v>0</v>
      </c>
      <c r="B419" s="137" t="s">
        <v>373</v>
      </c>
      <c r="C419" s="137" t="s">
        <v>1</v>
      </c>
      <c r="D419" s="137" t="s">
        <v>2</v>
      </c>
      <c r="E419" s="137">
        <v>22.42</v>
      </c>
      <c r="F419" s="137" t="s">
        <v>77</v>
      </c>
      <c r="G419" s="136">
        <v>45726</v>
      </c>
      <c r="H419" s="137" t="s">
        <v>78</v>
      </c>
      <c r="I419" s="137" t="s">
        <v>2092</v>
      </c>
      <c r="J419" s="137"/>
      <c r="K419" s="137" t="s">
        <v>2090</v>
      </c>
      <c r="L419" s="137" t="s">
        <v>2093</v>
      </c>
      <c r="M419" s="137" t="s">
        <v>195</v>
      </c>
      <c r="N419" s="137"/>
      <c r="O419" s="137"/>
      <c r="Q419" s="3">
        <f t="shared" si="7"/>
        <v>22.42</v>
      </c>
    </row>
    <row r="420" spans="1:17" x14ac:dyDescent="0.35">
      <c r="A420" s="137" t="s">
        <v>0</v>
      </c>
      <c r="B420" s="137" t="s">
        <v>384</v>
      </c>
      <c r="C420" s="137" t="s">
        <v>1</v>
      </c>
      <c r="D420" s="137" t="s">
        <v>2</v>
      </c>
      <c r="E420" s="137">
        <v>22.41</v>
      </c>
      <c r="F420" s="137" t="s">
        <v>77</v>
      </c>
      <c r="G420" s="136">
        <v>45726</v>
      </c>
      <c r="H420" s="137" t="s">
        <v>78</v>
      </c>
      <c r="I420" s="137" t="s">
        <v>2092</v>
      </c>
      <c r="J420" s="137"/>
      <c r="K420" s="137" t="s">
        <v>2090</v>
      </c>
      <c r="L420" s="137" t="s">
        <v>2093</v>
      </c>
      <c r="M420" s="137" t="s">
        <v>195</v>
      </c>
      <c r="N420" s="137"/>
      <c r="O420" s="137"/>
      <c r="Q420" s="3">
        <f t="shared" si="7"/>
        <v>22.41</v>
      </c>
    </row>
    <row r="421" spans="1:17" x14ac:dyDescent="0.35">
      <c r="A421" s="137" t="s">
        <v>27</v>
      </c>
      <c r="B421" s="137" t="s">
        <v>430</v>
      </c>
      <c r="C421" s="137" t="s">
        <v>1</v>
      </c>
      <c r="D421" s="137" t="s">
        <v>2</v>
      </c>
      <c r="E421" s="137">
        <v>22.41</v>
      </c>
      <c r="F421" s="137" t="s">
        <v>77</v>
      </c>
      <c r="G421" s="136">
        <v>45742</v>
      </c>
      <c r="H421" s="137" t="s">
        <v>79</v>
      </c>
      <c r="I421" s="137" t="s">
        <v>215</v>
      </c>
      <c r="J421" s="137" t="s">
        <v>680</v>
      </c>
      <c r="K421" s="137"/>
      <c r="L421" s="137"/>
      <c r="M421" s="137"/>
      <c r="N421" s="137"/>
      <c r="O421" s="137" t="s">
        <v>273</v>
      </c>
      <c r="Q421" s="3">
        <f t="shared" si="7"/>
        <v>22.41</v>
      </c>
    </row>
    <row r="422" spans="1:17" x14ac:dyDescent="0.35">
      <c r="A422" s="137" t="s">
        <v>0</v>
      </c>
      <c r="B422" s="137" t="s">
        <v>421</v>
      </c>
      <c r="C422" s="137" t="s">
        <v>1</v>
      </c>
      <c r="D422" s="137" t="s">
        <v>2</v>
      </c>
      <c r="E422" s="137">
        <v>22.03</v>
      </c>
      <c r="F422" s="137" t="s">
        <v>77</v>
      </c>
      <c r="G422" s="136">
        <v>45677</v>
      </c>
      <c r="H422" s="137" t="s">
        <v>78</v>
      </c>
      <c r="I422" s="137" t="s">
        <v>2053</v>
      </c>
      <c r="J422" s="137"/>
      <c r="K422" s="137" t="s">
        <v>735</v>
      </c>
      <c r="L422" s="137" t="s">
        <v>2054</v>
      </c>
      <c r="M422" s="137" t="s">
        <v>195</v>
      </c>
      <c r="N422" s="137"/>
      <c r="O422" s="137"/>
      <c r="Q422" s="3">
        <f t="shared" si="7"/>
        <v>22.03</v>
      </c>
    </row>
    <row r="423" spans="1:17" x14ac:dyDescent="0.35">
      <c r="A423" s="137" t="s">
        <v>0</v>
      </c>
      <c r="B423" s="137" t="s">
        <v>360</v>
      </c>
      <c r="C423" s="137" t="s">
        <v>1</v>
      </c>
      <c r="D423" s="137" t="s">
        <v>2</v>
      </c>
      <c r="E423" s="137">
        <v>22.01</v>
      </c>
      <c r="F423" s="137" t="s">
        <v>77</v>
      </c>
      <c r="G423" s="136">
        <v>45677</v>
      </c>
      <c r="H423" s="137" t="s">
        <v>78</v>
      </c>
      <c r="I423" s="137" t="s">
        <v>2053</v>
      </c>
      <c r="J423" s="137"/>
      <c r="K423" s="137" t="s">
        <v>735</v>
      </c>
      <c r="L423" s="137" t="s">
        <v>2054</v>
      </c>
      <c r="M423" s="137" t="s">
        <v>195</v>
      </c>
      <c r="Q423" s="3">
        <f t="shared" si="7"/>
        <v>22.01</v>
      </c>
    </row>
    <row r="424" spans="1:17" x14ac:dyDescent="0.35">
      <c r="A424" s="137" t="s">
        <v>0</v>
      </c>
      <c r="B424" s="137" t="s">
        <v>398</v>
      </c>
      <c r="C424" s="137" t="s">
        <v>1</v>
      </c>
      <c r="D424" s="137" t="s">
        <v>2</v>
      </c>
      <c r="E424" s="137">
        <v>22.01</v>
      </c>
      <c r="F424" s="137" t="s">
        <v>77</v>
      </c>
      <c r="G424" s="136">
        <v>45677</v>
      </c>
      <c r="H424" s="137" t="s">
        <v>78</v>
      </c>
      <c r="I424" s="137" t="s">
        <v>2053</v>
      </c>
      <c r="J424" s="137"/>
      <c r="K424" s="137" t="s">
        <v>735</v>
      </c>
      <c r="L424" s="137" t="s">
        <v>2054</v>
      </c>
      <c r="M424" s="137" t="s">
        <v>195</v>
      </c>
      <c r="N424" s="137"/>
      <c r="O424" s="137"/>
      <c r="Q424" s="3">
        <f t="shared" si="7"/>
        <v>22.01</v>
      </c>
    </row>
    <row r="425" spans="1:17" x14ac:dyDescent="0.35">
      <c r="A425" s="137" t="s">
        <v>0</v>
      </c>
      <c r="B425" s="137" t="s">
        <v>599</v>
      </c>
      <c r="C425" s="137" t="s">
        <v>1</v>
      </c>
      <c r="D425" s="137" t="s">
        <v>2</v>
      </c>
      <c r="E425" s="137">
        <v>22.01</v>
      </c>
      <c r="F425" s="137" t="s">
        <v>77</v>
      </c>
      <c r="G425" s="136">
        <v>45677</v>
      </c>
      <c r="H425" s="137" t="s">
        <v>78</v>
      </c>
      <c r="I425" s="137" t="s">
        <v>2053</v>
      </c>
      <c r="J425" s="137"/>
      <c r="K425" s="137" t="s">
        <v>735</v>
      </c>
      <c r="L425" s="137" t="s">
        <v>2054</v>
      </c>
      <c r="M425" s="137" t="s">
        <v>195</v>
      </c>
      <c r="Q425" s="3">
        <f t="shared" si="7"/>
        <v>22.01</v>
      </c>
    </row>
    <row r="426" spans="1:17" x14ac:dyDescent="0.35">
      <c r="A426" s="137" t="s">
        <v>0</v>
      </c>
      <c r="B426" s="137" t="s">
        <v>499</v>
      </c>
      <c r="C426" s="137" t="s">
        <v>1</v>
      </c>
      <c r="D426" s="137" t="s">
        <v>2</v>
      </c>
      <c r="E426" s="137">
        <v>22</v>
      </c>
      <c r="F426" s="137" t="s">
        <v>77</v>
      </c>
      <c r="G426" s="136">
        <v>45677</v>
      </c>
      <c r="H426" s="137" t="s">
        <v>78</v>
      </c>
      <c r="I426" s="137" t="s">
        <v>2053</v>
      </c>
      <c r="J426" s="137"/>
      <c r="K426" s="137" t="s">
        <v>735</v>
      </c>
      <c r="L426" s="137" t="s">
        <v>2054</v>
      </c>
      <c r="M426" s="137" t="s">
        <v>195</v>
      </c>
      <c r="N426" s="137"/>
      <c r="O426" s="137"/>
      <c r="Q426" s="3">
        <f t="shared" si="7"/>
        <v>22</v>
      </c>
    </row>
    <row r="427" spans="1:17" x14ac:dyDescent="0.35">
      <c r="A427" s="137" t="s">
        <v>0</v>
      </c>
      <c r="B427" s="137" t="s">
        <v>373</v>
      </c>
      <c r="C427" s="137" t="s">
        <v>1</v>
      </c>
      <c r="D427" s="137" t="s">
        <v>2</v>
      </c>
      <c r="E427" s="137">
        <v>21.97</v>
      </c>
      <c r="F427" s="137" t="s">
        <v>77</v>
      </c>
      <c r="G427" s="136">
        <v>45677</v>
      </c>
      <c r="H427" s="137" t="s">
        <v>78</v>
      </c>
      <c r="I427" s="137" t="s">
        <v>2053</v>
      </c>
      <c r="J427" s="137"/>
      <c r="K427" s="137" t="s">
        <v>735</v>
      </c>
      <c r="L427" s="137" t="s">
        <v>2054</v>
      </c>
      <c r="M427" s="137" t="s">
        <v>195</v>
      </c>
      <c r="Q427" s="3">
        <f t="shared" si="7"/>
        <v>21.97</v>
      </c>
    </row>
    <row r="428" spans="1:17" x14ac:dyDescent="0.35">
      <c r="A428" s="137" t="s">
        <v>0</v>
      </c>
      <c r="B428" s="137" t="s">
        <v>505</v>
      </c>
      <c r="C428" s="137" t="s">
        <v>1</v>
      </c>
      <c r="D428" s="137" t="s">
        <v>2</v>
      </c>
      <c r="E428" s="137">
        <v>21.97</v>
      </c>
      <c r="F428" s="137" t="s">
        <v>77</v>
      </c>
      <c r="G428" s="136">
        <v>45677</v>
      </c>
      <c r="H428" s="137" t="s">
        <v>78</v>
      </c>
      <c r="I428" s="137" t="s">
        <v>2053</v>
      </c>
      <c r="J428" s="137"/>
      <c r="K428" s="137" t="s">
        <v>735</v>
      </c>
      <c r="L428" s="137" t="s">
        <v>2054</v>
      </c>
      <c r="M428" s="137" t="s">
        <v>195</v>
      </c>
      <c r="N428" s="137"/>
      <c r="O428" s="137"/>
      <c r="Q428" s="3">
        <f t="shared" si="7"/>
        <v>21.97</v>
      </c>
    </row>
    <row r="429" spans="1:17" x14ac:dyDescent="0.35">
      <c r="A429" s="137" t="s">
        <v>0</v>
      </c>
      <c r="B429" s="137" t="s">
        <v>427</v>
      </c>
      <c r="C429" s="137" t="s">
        <v>1</v>
      </c>
      <c r="D429" s="137" t="s">
        <v>2</v>
      </c>
      <c r="E429" s="137">
        <v>21.97</v>
      </c>
      <c r="F429" s="137" t="s">
        <v>77</v>
      </c>
      <c r="G429" s="136">
        <v>45677</v>
      </c>
      <c r="H429" s="137" t="s">
        <v>78</v>
      </c>
      <c r="I429" s="137" t="s">
        <v>2053</v>
      </c>
      <c r="J429" s="137"/>
      <c r="K429" s="137" t="s">
        <v>735</v>
      </c>
      <c r="L429" s="137" t="s">
        <v>2054</v>
      </c>
      <c r="M429" s="137" t="s">
        <v>195</v>
      </c>
      <c r="N429" s="31"/>
      <c r="O429" s="31"/>
      <c r="Q429" s="3">
        <f t="shared" si="7"/>
        <v>21.97</v>
      </c>
    </row>
    <row r="430" spans="1:17" x14ac:dyDescent="0.35">
      <c r="A430" s="137" t="s">
        <v>0</v>
      </c>
      <c r="B430" s="137" t="s">
        <v>384</v>
      </c>
      <c r="C430" s="137" t="s">
        <v>1</v>
      </c>
      <c r="D430" s="137" t="s">
        <v>2</v>
      </c>
      <c r="E430" s="137">
        <v>21.95</v>
      </c>
      <c r="F430" s="137" t="s">
        <v>77</v>
      </c>
      <c r="G430" s="136">
        <v>45677</v>
      </c>
      <c r="H430" s="137" t="s">
        <v>78</v>
      </c>
      <c r="I430" s="137" t="s">
        <v>2053</v>
      </c>
      <c r="J430" s="137"/>
      <c r="K430" s="137" t="s">
        <v>735</v>
      </c>
      <c r="L430" s="137" t="s">
        <v>2054</v>
      </c>
      <c r="M430" s="137" t="s">
        <v>195</v>
      </c>
      <c r="Q430" s="3">
        <f t="shared" si="7"/>
        <v>21.95</v>
      </c>
    </row>
    <row r="431" spans="1:17" x14ac:dyDescent="0.35">
      <c r="A431" s="137" t="s">
        <v>27</v>
      </c>
      <c r="B431" s="137" t="s">
        <v>492</v>
      </c>
      <c r="C431" s="137" t="s">
        <v>1</v>
      </c>
      <c r="D431" s="137" t="s">
        <v>2</v>
      </c>
      <c r="E431" s="137">
        <v>21.92</v>
      </c>
      <c r="F431" s="137" t="s">
        <v>77</v>
      </c>
      <c r="G431" s="136">
        <v>45664</v>
      </c>
      <c r="H431" s="137" t="s">
        <v>78</v>
      </c>
      <c r="I431" s="137" t="s">
        <v>2112</v>
      </c>
      <c r="J431" s="137"/>
      <c r="K431" s="137" t="s">
        <v>2113</v>
      </c>
      <c r="L431" s="137" t="s">
        <v>2114</v>
      </c>
      <c r="M431" s="137" t="s">
        <v>221</v>
      </c>
      <c r="N431" s="137"/>
      <c r="O431" s="137"/>
      <c r="Q431" s="3">
        <f t="shared" si="7"/>
        <v>21.92</v>
      </c>
    </row>
    <row r="432" spans="1:17" x14ac:dyDescent="0.35">
      <c r="A432" s="137" t="s">
        <v>27</v>
      </c>
      <c r="B432" s="137" t="s">
        <v>384</v>
      </c>
      <c r="C432" s="137" t="s">
        <v>1</v>
      </c>
      <c r="D432" s="137" t="s">
        <v>2</v>
      </c>
      <c r="E432" s="137">
        <v>21.68</v>
      </c>
      <c r="F432" s="137" t="s">
        <v>77</v>
      </c>
      <c r="G432" s="136">
        <v>45705</v>
      </c>
      <c r="H432" s="137" t="s">
        <v>79</v>
      </c>
      <c r="I432" s="137" t="s">
        <v>257</v>
      </c>
      <c r="J432" s="137" t="s">
        <v>2241</v>
      </c>
      <c r="K432" s="137"/>
      <c r="L432" s="137"/>
      <c r="M432" s="137"/>
      <c r="N432" s="137"/>
      <c r="O432" s="137" t="s">
        <v>289</v>
      </c>
      <c r="Q432" s="3">
        <f t="shared" si="7"/>
        <v>21.68</v>
      </c>
    </row>
    <row r="433" spans="1:22" x14ac:dyDescent="0.35">
      <c r="A433" s="137" t="s">
        <v>27</v>
      </c>
      <c r="B433" s="137" t="s">
        <v>316</v>
      </c>
      <c r="C433" s="137" t="s">
        <v>1</v>
      </c>
      <c r="D433" s="137" t="s">
        <v>2</v>
      </c>
      <c r="E433" s="137">
        <v>20.55</v>
      </c>
      <c r="F433" s="137" t="s">
        <v>77</v>
      </c>
      <c r="G433" s="136">
        <v>45685</v>
      </c>
      <c r="H433" s="137" t="s">
        <v>79</v>
      </c>
      <c r="I433" s="137" t="s">
        <v>518</v>
      </c>
      <c r="J433" s="137" t="s">
        <v>2170</v>
      </c>
      <c r="K433" s="137"/>
      <c r="L433" s="137"/>
      <c r="M433" s="137"/>
      <c r="N433" s="137"/>
      <c r="O433" s="137" t="s">
        <v>291</v>
      </c>
      <c r="Q433" s="3">
        <f t="shared" si="7"/>
        <v>20.55</v>
      </c>
    </row>
    <row r="434" spans="1:22" x14ac:dyDescent="0.35">
      <c r="A434" s="137" t="s">
        <v>27</v>
      </c>
      <c r="B434" s="137" t="s">
        <v>481</v>
      </c>
      <c r="C434" s="137" t="s">
        <v>1</v>
      </c>
      <c r="D434" s="137" t="s">
        <v>2</v>
      </c>
      <c r="E434" s="137">
        <v>20.55</v>
      </c>
      <c r="F434" s="137" t="s">
        <v>77</v>
      </c>
      <c r="G434" s="136">
        <v>45740</v>
      </c>
      <c r="H434" s="137" t="s">
        <v>79</v>
      </c>
      <c r="I434" s="137" t="s">
        <v>172</v>
      </c>
      <c r="J434" s="137" t="s">
        <v>173</v>
      </c>
      <c r="K434" s="137"/>
      <c r="L434" s="137"/>
      <c r="M434" s="137"/>
      <c r="N434" s="137"/>
      <c r="O434" s="137" t="s">
        <v>277</v>
      </c>
      <c r="Q434" s="3">
        <f t="shared" si="7"/>
        <v>20.55</v>
      </c>
    </row>
    <row r="435" spans="1:22" x14ac:dyDescent="0.35">
      <c r="A435" s="137" t="s">
        <v>27</v>
      </c>
      <c r="B435" s="137" t="s">
        <v>360</v>
      </c>
      <c r="C435" s="137" t="s">
        <v>1</v>
      </c>
      <c r="D435" s="137" t="s">
        <v>2</v>
      </c>
      <c r="E435" s="137">
        <v>20.2</v>
      </c>
      <c r="F435" s="137" t="s">
        <v>77</v>
      </c>
      <c r="G435" s="136">
        <v>45674</v>
      </c>
      <c r="H435" s="137" t="s">
        <v>79</v>
      </c>
      <c r="I435" s="137" t="s">
        <v>261</v>
      </c>
      <c r="J435" s="137" t="s">
        <v>2132</v>
      </c>
      <c r="K435" s="137"/>
      <c r="L435" s="137"/>
      <c r="M435" s="137"/>
      <c r="N435" s="137"/>
      <c r="O435" s="137" t="s">
        <v>739</v>
      </c>
      <c r="Q435" s="3">
        <f t="shared" si="7"/>
        <v>20.2</v>
      </c>
      <c r="S435" s="48" t="s">
        <v>44</v>
      </c>
      <c r="T435" t="s">
        <v>54</v>
      </c>
      <c r="U435" s="3" t="str">
        <f>B435</f>
        <v>AU030318</v>
      </c>
      <c r="V435" s="3">
        <f>E435</f>
        <v>20.2</v>
      </c>
    </row>
    <row r="436" spans="1:22" x14ac:dyDescent="0.35">
      <c r="A436" s="137" t="s">
        <v>27</v>
      </c>
      <c r="B436" s="137" t="s">
        <v>496</v>
      </c>
      <c r="C436" s="137" t="s">
        <v>1</v>
      </c>
      <c r="D436" s="137" t="s">
        <v>2</v>
      </c>
      <c r="E436" s="137">
        <v>20</v>
      </c>
      <c r="F436" s="137" t="s">
        <v>77</v>
      </c>
      <c r="G436" s="136">
        <v>45705</v>
      </c>
      <c r="H436" s="137" t="s">
        <v>79</v>
      </c>
      <c r="I436" s="137" t="s">
        <v>265</v>
      </c>
      <c r="J436" s="137" t="s">
        <v>2231</v>
      </c>
      <c r="K436" s="137"/>
      <c r="L436" s="137"/>
      <c r="M436" s="137"/>
      <c r="N436" s="137"/>
      <c r="O436" s="137" t="s">
        <v>2232</v>
      </c>
      <c r="Q436" s="3">
        <f t="shared" si="7"/>
        <v>20</v>
      </c>
    </row>
    <row r="437" spans="1:22" x14ac:dyDescent="0.35">
      <c r="A437" s="137" t="s">
        <v>27</v>
      </c>
      <c r="B437" s="137" t="s">
        <v>377</v>
      </c>
      <c r="C437" s="137" t="s">
        <v>1</v>
      </c>
      <c r="D437" s="137" t="s">
        <v>2</v>
      </c>
      <c r="E437" s="137">
        <v>20</v>
      </c>
      <c r="F437" s="137" t="s">
        <v>77</v>
      </c>
      <c r="G437" s="136">
        <v>45705</v>
      </c>
      <c r="H437" s="137" t="s">
        <v>79</v>
      </c>
      <c r="I437" s="137" t="s">
        <v>515</v>
      </c>
      <c r="J437" s="137" t="s">
        <v>2240</v>
      </c>
      <c r="K437" s="137"/>
      <c r="L437" s="137"/>
      <c r="M437" s="137"/>
      <c r="N437" s="137"/>
      <c r="O437" s="137" t="s">
        <v>736</v>
      </c>
      <c r="Q437" s="3">
        <f t="shared" si="7"/>
        <v>20</v>
      </c>
    </row>
    <row r="438" spans="1:22" x14ac:dyDescent="0.35">
      <c r="A438" s="137" t="s">
        <v>27</v>
      </c>
      <c r="B438" s="137" t="s">
        <v>321</v>
      </c>
      <c r="C438" s="137" t="s">
        <v>1</v>
      </c>
      <c r="D438" s="137" t="s">
        <v>2</v>
      </c>
      <c r="E438" s="137">
        <v>20</v>
      </c>
      <c r="F438" s="137" t="s">
        <v>77</v>
      </c>
      <c r="G438" s="136">
        <v>45744</v>
      </c>
      <c r="H438" s="137" t="s">
        <v>79</v>
      </c>
      <c r="I438" s="137" t="s">
        <v>89</v>
      </c>
      <c r="J438" s="137" t="s">
        <v>671</v>
      </c>
      <c r="K438" s="137"/>
      <c r="L438" s="137"/>
      <c r="M438" s="137"/>
      <c r="N438" s="137"/>
      <c r="O438" s="137" t="s">
        <v>707</v>
      </c>
      <c r="Q438" s="3">
        <f t="shared" si="7"/>
        <v>20</v>
      </c>
    </row>
    <row r="439" spans="1:22" x14ac:dyDescent="0.35">
      <c r="A439" s="137" t="s">
        <v>27</v>
      </c>
      <c r="B439" s="137" t="s">
        <v>321</v>
      </c>
      <c r="C439" s="137" t="s">
        <v>1</v>
      </c>
      <c r="D439" s="137" t="s">
        <v>2</v>
      </c>
      <c r="E439" s="137">
        <v>19.989999999999998</v>
      </c>
      <c r="F439" s="137" t="s">
        <v>77</v>
      </c>
      <c r="G439" s="136">
        <v>45726</v>
      </c>
      <c r="H439" s="137" t="s">
        <v>79</v>
      </c>
      <c r="I439" s="137" t="s">
        <v>2301</v>
      </c>
      <c r="J439" s="137" t="s">
        <v>219</v>
      </c>
      <c r="K439" s="137"/>
      <c r="L439" s="137"/>
      <c r="M439" s="137"/>
      <c r="N439" s="137"/>
      <c r="O439" s="137" t="s">
        <v>2302</v>
      </c>
      <c r="Q439" s="3">
        <f t="shared" si="7"/>
        <v>19.989999999999998</v>
      </c>
    </row>
    <row r="440" spans="1:22" x14ac:dyDescent="0.35">
      <c r="A440" s="137" t="s">
        <v>27</v>
      </c>
      <c r="B440" s="137" t="s">
        <v>530</v>
      </c>
      <c r="C440" s="137" t="s">
        <v>1</v>
      </c>
      <c r="D440" s="137" t="s">
        <v>2</v>
      </c>
      <c r="E440" s="137">
        <v>19.850000000000001</v>
      </c>
      <c r="F440" s="137" t="s">
        <v>77</v>
      </c>
      <c r="G440" s="136">
        <v>45681</v>
      </c>
      <c r="H440" s="137" t="s">
        <v>79</v>
      </c>
      <c r="I440" s="137" t="s">
        <v>706</v>
      </c>
      <c r="J440" s="137" t="s">
        <v>2158</v>
      </c>
      <c r="K440" s="137"/>
      <c r="L440" s="137"/>
      <c r="M440" s="137"/>
      <c r="N440" s="137"/>
      <c r="O440" s="137" t="s">
        <v>574</v>
      </c>
      <c r="Q440" s="3">
        <f t="shared" si="7"/>
        <v>19.850000000000001</v>
      </c>
    </row>
    <row r="441" spans="1:22" x14ac:dyDescent="0.35">
      <c r="A441" s="137" t="s">
        <v>27</v>
      </c>
      <c r="B441" s="137" t="s">
        <v>321</v>
      </c>
      <c r="C441" s="137" t="s">
        <v>1</v>
      </c>
      <c r="D441" s="137" t="s">
        <v>2</v>
      </c>
      <c r="E441" s="137">
        <v>19.36</v>
      </c>
      <c r="F441" s="137" t="s">
        <v>77</v>
      </c>
      <c r="G441" s="136">
        <v>45674</v>
      </c>
      <c r="H441" s="137" t="s">
        <v>79</v>
      </c>
      <c r="I441" s="137" t="s">
        <v>213</v>
      </c>
      <c r="J441" s="137" t="s">
        <v>219</v>
      </c>
      <c r="K441" s="137"/>
      <c r="L441" s="137"/>
      <c r="M441" s="137"/>
      <c r="N441" s="137"/>
      <c r="O441" s="137" t="s">
        <v>282</v>
      </c>
      <c r="Q441" s="3">
        <f t="shared" si="7"/>
        <v>19.36</v>
      </c>
    </row>
    <row r="442" spans="1:22" x14ac:dyDescent="0.35">
      <c r="A442" s="137" t="s">
        <v>27</v>
      </c>
      <c r="B442" s="137" t="s">
        <v>496</v>
      </c>
      <c r="C442" s="137" t="s">
        <v>1</v>
      </c>
      <c r="D442" s="137" t="s">
        <v>2</v>
      </c>
      <c r="E442" s="137">
        <v>19.09</v>
      </c>
      <c r="F442" s="137" t="s">
        <v>77</v>
      </c>
      <c r="G442" s="136">
        <v>45705</v>
      </c>
      <c r="H442" s="137" t="s">
        <v>79</v>
      </c>
      <c r="I442" s="137" t="s">
        <v>677</v>
      </c>
      <c r="J442" s="137" t="s">
        <v>2235</v>
      </c>
      <c r="K442" s="137"/>
      <c r="L442" s="137"/>
      <c r="M442" s="137"/>
      <c r="N442" s="137"/>
      <c r="O442" s="137" t="s">
        <v>2236</v>
      </c>
      <c r="Q442" s="3">
        <f t="shared" si="7"/>
        <v>19.09</v>
      </c>
    </row>
    <row r="443" spans="1:22" x14ac:dyDescent="0.35">
      <c r="A443" s="137" t="s">
        <v>27</v>
      </c>
      <c r="B443" s="137" t="s">
        <v>360</v>
      </c>
      <c r="C443" s="137" t="s">
        <v>1</v>
      </c>
      <c r="D443" s="137" t="s">
        <v>2</v>
      </c>
      <c r="E443" s="137">
        <v>18.829999999999998</v>
      </c>
      <c r="F443" s="137" t="s">
        <v>77</v>
      </c>
      <c r="G443" s="136">
        <v>45685</v>
      </c>
      <c r="H443" s="137" t="s">
        <v>79</v>
      </c>
      <c r="I443" s="137" t="s">
        <v>220</v>
      </c>
      <c r="J443" s="137" t="s">
        <v>2162</v>
      </c>
      <c r="K443" s="137"/>
      <c r="L443" s="137"/>
      <c r="M443" s="137"/>
      <c r="N443" s="137"/>
      <c r="O443" s="137" t="s">
        <v>295</v>
      </c>
      <c r="Q443" s="3">
        <f t="shared" si="7"/>
        <v>18.829999999999998</v>
      </c>
    </row>
    <row r="444" spans="1:22" x14ac:dyDescent="0.35">
      <c r="A444" s="137" t="s">
        <v>27</v>
      </c>
      <c r="B444" s="137" t="s">
        <v>496</v>
      </c>
      <c r="C444" s="137" t="s">
        <v>1</v>
      </c>
      <c r="D444" s="137" t="s">
        <v>2</v>
      </c>
      <c r="E444" s="137">
        <v>18.79</v>
      </c>
      <c r="F444" s="137" t="s">
        <v>77</v>
      </c>
      <c r="G444" s="136">
        <v>45693</v>
      </c>
      <c r="H444" s="137" t="s">
        <v>79</v>
      </c>
      <c r="I444" s="137" t="s">
        <v>224</v>
      </c>
      <c r="J444" s="137" t="s">
        <v>225</v>
      </c>
      <c r="K444" s="137"/>
      <c r="L444" s="137"/>
      <c r="M444" s="137"/>
      <c r="N444" s="137"/>
      <c r="O444" s="137" t="s">
        <v>734</v>
      </c>
      <c r="Q444" s="3">
        <f t="shared" si="7"/>
        <v>18.79</v>
      </c>
    </row>
    <row r="445" spans="1:22" x14ac:dyDescent="0.35">
      <c r="A445" s="137" t="s">
        <v>0</v>
      </c>
      <c r="B445" s="137" t="s">
        <v>388</v>
      </c>
      <c r="C445" s="137" t="s">
        <v>1</v>
      </c>
      <c r="D445" s="137" t="s">
        <v>2</v>
      </c>
      <c r="E445" s="137">
        <v>18.77</v>
      </c>
      <c r="F445" s="137" t="s">
        <v>77</v>
      </c>
      <c r="G445" s="136">
        <v>45712</v>
      </c>
      <c r="H445" s="137" t="s">
        <v>78</v>
      </c>
      <c r="I445" s="137" t="s">
        <v>2079</v>
      </c>
      <c r="J445" s="137"/>
      <c r="K445" s="137" t="s">
        <v>2080</v>
      </c>
      <c r="L445" s="137" t="s">
        <v>2081</v>
      </c>
      <c r="M445" s="137" t="s">
        <v>195</v>
      </c>
      <c r="N445" s="137"/>
      <c r="O445" s="137"/>
      <c r="Q445" s="3">
        <f t="shared" si="7"/>
        <v>18.77</v>
      </c>
    </row>
    <row r="446" spans="1:22" x14ac:dyDescent="0.35">
      <c r="A446" s="137" t="s">
        <v>0</v>
      </c>
      <c r="B446" s="137" t="s">
        <v>388</v>
      </c>
      <c r="C446" s="137" t="s">
        <v>1</v>
      </c>
      <c r="D446" s="137" t="s">
        <v>2</v>
      </c>
      <c r="E446" s="137">
        <v>18.77</v>
      </c>
      <c r="F446" s="137" t="s">
        <v>77</v>
      </c>
      <c r="G446" s="136">
        <v>45726</v>
      </c>
      <c r="H446" s="137" t="s">
        <v>78</v>
      </c>
      <c r="I446" s="137" t="s">
        <v>2089</v>
      </c>
      <c r="J446" s="137"/>
      <c r="K446" s="137" t="s">
        <v>2090</v>
      </c>
      <c r="L446" s="137" t="s">
        <v>2091</v>
      </c>
      <c r="M446" s="137" t="s">
        <v>195</v>
      </c>
      <c r="N446" s="137"/>
      <c r="O446" s="137"/>
      <c r="Q446" s="3">
        <f t="shared" si="7"/>
        <v>18.77</v>
      </c>
    </row>
    <row r="447" spans="1:22" x14ac:dyDescent="0.35">
      <c r="A447" s="137" t="s">
        <v>0</v>
      </c>
      <c r="B447" s="137" t="s">
        <v>388</v>
      </c>
      <c r="C447" s="137" t="s">
        <v>1</v>
      </c>
      <c r="D447" s="137" t="s">
        <v>2</v>
      </c>
      <c r="E447" s="137">
        <v>18.739999999999998</v>
      </c>
      <c r="F447" s="137" t="s">
        <v>77</v>
      </c>
      <c r="G447" s="136">
        <v>45677</v>
      </c>
      <c r="H447" s="137" t="s">
        <v>78</v>
      </c>
      <c r="I447" s="137" t="s">
        <v>2051</v>
      </c>
      <c r="J447" s="137"/>
      <c r="K447" s="137" t="s">
        <v>735</v>
      </c>
      <c r="L447" s="137" t="s">
        <v>2052</v>
      </c>
      <c r="M447" s="137" t="s">
        <v>195</v>
      </c>
      <c r="N447" s="137"/>
      <c r="O447" s="137"/>
      <c r="Q447" s="3">
        <f t="shared" si="7"/>
        <v>18.739999999999998</v>
      </c>
    </row>
    <row r="448" spans="1:22" x14ac:dyDescent="0.35">
      <c r="A448" s="137" t="s">
        <v>0</v>
      </c>
      <c r="B448" s="137" t="s">
        <v>328</v>
      </c>
      <c r="C448" s="137" t="s">
        <v>1</v>
      </c>
      <c r="D448" s="137" t="s">
        <v>2</v>
      </c>
      <c r="E448" s="137">
        <v>18.739999999999998</v>
      </c>
      <c r="F448" s="137" t="s">
        <v>77</v>
      </c>
      <c r="G448" s="136">
        <v>45712</v>
      </c>
      <c r="H448" s="137" t="s">
        <v>78</v>
      </c>
      <c r="I448" s="137" t="s">
        <v>2079</v>
      </c>
      <c r="J448" s="137"/>
      <c r="K448" s="137" t="s">
        <v>2080</v>
      </c>
      <c r="L448" s="137" t="s">
        <v>2081</v>
      </c>
      <c r="M448" s="137" t="s">
        <v>195</v>
      </c>
      <c r="Q448" s="3">
        <f t="shared" si="7"/>
        <v>18.739999999999998</v>
      </c>
    </row>
    <row r="449" spans="1:17" x14ac:dyDescent="0.35">
      <c r="A449" s="137" t="s">
        <v>0</v>
      </c>
      <c r="B449" s="137" t="s">
        <v>328</v>
      </c>
      <c r="C449" s="137" t="s">
        <v>1</v>
      </c>
      <c r="D449" s="137" t="s">
        <v>2</v>
      </c>
      <c r="E449" s="137">
        <v>18.739999999999998</v>
      </c>
      <c r="F449" s="137" t="s">
        <v>77</v>
      </c>
      <c r="G449" s="136">
        <v>45726</v>
      </c>
      <c r="H449" s="137" t="s">
        <v>78</v>
      </c>
      <c r="I449" s="137" t="s">
        <v>2089</v>
      </c>
      <c r="J449" s="137"/>
      <c r="K449" s="137" t="s">
        <v>2090</v>
      </c>
      <c r="L449" s="137" t="s">
        <v>2091</v>
      </c>
      <c r="M449" s="137" t="s">
        <v>195</v>
      </c>
      <c r="N449" s="137"/>
      <c r="O449" s="137"/>
      <c r="Q449" s="3">
        <f t="shared" si="7"/>
        <v>18.739999999999998</v>
      </c>
    </row>
    <row r="450" spans="1:17" x14ac:dyDescent="0.35">
      <c r="A450" s="137" t="s">
        <v>0</v>
      </c>
      <c r="B450" s="137" t="s">
        <v>328</v>
      </c>
      <c r="C450" s="137" t="s">
        <v>1</v>
      </c>
      <c r="D450" s="137" t="s">
        <v>2</v>
      </c>
      <c r="E450" s="137">
        <v>18.71</v>
      </c>
      <c r="F450" s="137" t="s">
        <v>77</v>
      </c>
      <c r="G450" s="136">
        <v>45677</v>
      </c>
      <c r="H450" s="137" t="s">
        <v>78</v>
      </c>
      <c r="I450" s="137" t="s">
        <v>2051</v>
      </c>
      <c r="J450" s="137"/>
      <c r="K450" s="137" t="s">
        <v>735</v>
      </c>
      <c r="L450" s="137" t="s">
        <v>2052</v>
      </c>
      <c r="M450" s="137" t="s">
        <v>195</v>
      </c>
      <c r="N450" s="137"/>
      <c r="O450" s="137"/>
      <c r="Q450" s="3">
        <f t="shared" si="7"/>
        <v>18.71</v>
      </c>
    </row>
    <row r="451" spans="1:17" x14ac:dyDescent="0.35">
      <c r="A451" s="137" t="s">
        <v>27</v>
      </c>
      <c r="B451" s="137" t="s">
        <v>497</v>
      </c>
      <c r="C451" s="137" t="s">
        <v>1</v>
      </c>
      <c r="D451" s="137" t="s">
        <v>2</v>
      </c>
      <c r="E451" s="137">
        <v>18.45</v>
      </c>
      <c r="F451" s="137" t="s">
        <v>77</v>
      </c>
      <c r="G451" s="136">
        <v>45736</v>
      </c>
      <c r="H451" s="137" t="s">
        <v>79</v>
      </c>
      <c r="I451" s="137" t="s">
        <v>2351</v>
      </c>
      <c r="J451" s="137" t="s">
        <v>2352</v>
      </c>
      <c r="K451" s="137"/>
      <c r="L451" s="137"/>
      <c r="M451" s="137"/>
      <c r="N451" s="137"/>
      <c r="O451" s="137" t="s">
        <v>2353</v>
      </c>
      <c r="Q451" s="3">
        <f t="shared" si="7"/>
        <v>18.45</v>
      </c>
    </row>
    <row r="452" spans="1:17" x14ac:dyDescent="0.35">
      <c r="A452" s="137" t="s">
        <v>27</v>
      </c>
      <c r="B452" s="137" t="s">
        <v>529</v>
      </c>
      <c r="C452" s="137" t="s">
        <v>1</v>
      </c>
      <c r="D452" s="137" t="s">
        <v>2</v>
      </c>
      <c r="E452" s="137">
        <v>17.95</v>
      </c>
      <c r="F452" s="137" t="s">
        <v>77</v>
      </c>
      <c r="G452" s="136">
        <v>45685</v>
      </c>
      <c r="H452" s="137" t="s">
        <v>79</v>
      </c>
      <c r="I452" s="137" t="s">
        <v>236</v>
      </c>
      <c r="J452" s="137" t="s">
        <v>2164</v>
      </c>
      <c r="K452" s="137"/>
      <c r="L452" s="137"/>
      <c r="M452" s="137"/>
      <c r="N452" s="137"/>
      <c r="O452" s="137" t="s">
        <v>298</v>
      </c>
      <c r="Q452" s="3">
        <f t="shared" si="7"/>
        <v>17.95</v>
      </c>
    </row>
    <row r="453" spans="1:17" x14ac:dyDescent="0.35">
      <c r="A453" s="137" t="s">
        <v>27</v>
      </c>
      <c r="B453" s="137" t="s">
        <v>360</v>
      </c>
      <c r="C453" s="137" t="s">
        <v>1</v>
      </c>
      <c r="D453" s="137" t="s">
        <v>2</v>
      </c>
      <c r="E453" s="137">
        <v>17.84</v>
      </c>
      <c r="F453" s="137" t="s">
        <v>77</v>
      </c>
      <c r="G453" s="136">
        <v>45664</v>
      </c>
      <c r="H453" s="137" t="s">
        <v>79</v>
      </c>
      <c r="I453" s="137" t="s">
        <v>261</v>
      </c>
      <c r="J453" s="137" t="s">
        <v>262</v>
      </c>
      <c r="K453" s="137"/>
      <c r="L453" s="137"/>
      <c r="M453" s="137"/>
      <c r="N453" s="137"/>
      <c r="O453" s="137" t="s">
        <v>295</v>
      </c>
      <c r="Q453" s="3">
        <f t="shared" si="7"/>
        <v>17.84</v>
      </c>
    </row>
    <row r="454" spans="1:17" x14ac:dyDescent="0.35">
      <c r="A454" s="137" t="s">
        <v>27</v>
      </c>
      <c r="B454" s="137" t="s">
        <v>496</v>
      </c>
      <c r="C454" s="137" t="s">
        <v>1</v>
      </c>
      <c r="D454" s="137" t="s">
        <v>2</v>
      </c>
      <c r="E454" s="137">
        <v>17.53</v>
      </c>
      <c r="F454" s="137" t="s">
        <v>77</v>
      </c>
      <c r="G454" s="136">
        <v>45722</v>
      </c>
      <c r="H454" s="137" t="s">
        <v>79</v>
      </c>
      <c r="I454" s="137" t="s">
        <v>231</v>
      </c>
      <c r="J454" s="137" t="s">
        <v>2278</v>
      </c>
      <c r="K454" s="137"/>
      <c r="L454" s="137"/>
      <c r="M454" s="137"/>
      <c r="N454" s="137"/>
      <c r="O454" s="137" t="s">
        <v>705</v>
      </c>
      <c r="Q454" s="3">
        <f t="shared" si="7"/>
        <v>17.53</v>
      </c>
    </row>
    <row r="455" spans="1:17" x14ac:dyDescent="0.35">
      <c r="A455" s="137" t="s">
        <v>0</v>
      </c>
      <c r="B455" s="137" t="s">
        <v>662</v>
      </c>
      <c r="C455" s="137" t="s">
        <v>1</v>
      </c>
      <c r="D455" s="137" t="s">
        <v>2</v>
      </c>
      <c r="E455" s="137">
        <v>16.84</v>
      </c>
      <c r="F455" s="137" t="s">
        <v>77</v>
      </c>
      <c r="G455" s="136">
        <v>45712</v>
      </c>
      <c r="H455" s="137" t="s">
        <v>78</v>
      </c>
      <c r="I455" s="137" t="s">
        <v>2079</v>
      </c>
      <c r="J455" s="137"/>
      <c r="K455" s="137" t="s">
        <v>2080</v>
      </c>
      <c r="L455" s="137" t="s">
        <v>2081</v>
      </c>
      <c r="M455" s="137" t="s">
        <v>195</v>
      </c>
      <c r="N455" s="137"/>
      <c r="O455" s="137"/>
      <c r="Q455" s="3">
        <f t="shared" si="7"/>
        <v>16.84</v>
      </c>
    </row>
    <row r="456" spans="1:17" x14ac:dyDescent="0.35">
      <c r="A456" s="137" t="s">
        <v>0</v>
      </c>
      <c r="B456" s="137" t="s">
        <v>662</v>
      </c>
      <c r="C456" s="137" t="s">
        <v>1</v>
      </c>
      <c r="D456" s="137" t="s">
        <v>2</v>
      </c>
      <c r="E456" s="137">
        <v>16.84</v>
      </c>
      <c r="F456" s="137" t="s">
        <v>77</v>
      </c>
      <c r="G456" s="136">
        <v>45726</v>
      </c>
      <c r="H456" s="137" t="s">
        <v>78</v>
      </c>
      <c r="I456" s="137" t="s">
        <v>2089</v>
      </c>
      <c r="J456" s="137"/>
      <c r="K456" s="137" t="s">
        <v>2090</v>
      </c>
      <c r="L456" s="137" t="s">
        <v>2091</v>
      </c>
      <c r="M456" s="137" t="s">
        <v>195</v>
      </c>
      <c r="N456" s="137"/>
      <c r="O456" s="137"/>
      <c r="Q456" s="3">
        <f t="shared" ref="Q456:Q519" si="8">ABS(E456)</f>
        <v>16.84</v>
      </c>
    </row>
    <row r="457" spans="1:17" x14ac:dyDescent="0.35">
      <c r="A457" s="137" t="s">
        <v>0</v>
      </c>
      <c r="B457" s="137" t="s">
        <v>662</v>
      </c>
      <c r="C457" s="137" t="s">
        <v>1</v>
      </c>
      <c r="D457" s="137" t="s">
        <v>2</v>
      </c>
      <c r="E457" s="137">
        <v>16.77</v>
      </c>
      <c r="F457" s="137" t="s">
        <v>77</v>
      </c>
      <c r="G457" s="136">
        <v>45677</v>
      </c>
      <c r="H457" s="137" t="s">
        <v>78</v>
      </c>
      <c r="I457" s="137" t="s">
        <v>2051</v>
      </c>
      <c r="J457" s="137"/>
      <c r="K457" s="137" t="s">
        <v>735</v>
      </c>
      <c r="L457" s="137" t="s">
        <v>2052</v>
      </c>
      <c r="M457" s="137" t="s">
        <v>195</v>
      </c>
      <c r="N457" s="137"/>
      <c r="O457" s="137"/>
      <c r="Q457" s="3">
        <f t="shared" si="8"/>
        <v>16.77</v>
      </c>
    </row>
    <row r="458" spans="1:17" x14ac:dyDescent="0.35">
      <c r="A458" s="137" t="s">
        <v>27</v>
      </c>
      <c r="B458" s="137" t="s">
        <v>360</v>
      </c>
      <c r="C458" s="137" t="s">
        <v>1</v>
      </c>
      <c r="D458" s="137" t="s">
        <v>2</v>
      </c>
      <c r="E458" s="137">
        <v>16.739999999999998</v>
      </c>
      <c r="F458" s="137" t="s">
        <v>77</v>
      </c>
      <c r="G458" s="136">
        <v>45694</v>
      </c>
      <c r="H458" s="137" t="s">
        <v>79</v>
      </c>
      <c r="I458" s="137" t="s">
        <v>220</v>
      </c>
      <c r="J458" s="137" t="s">
        <v>2203</v>
      </c>
      <c r="K458" s="137"/>
      <c r="L458" s="137"/>
      <c r="M458" s="137"/>
      <c r="N458" s="137"/>
      <c r="O458" s="137" t="s">
        <v>295</v>
      </c>
      <c r="Q458" s="3">
        <f t="shared" si="8"/>
        <v>16.739999999999998</v>
      </c>
    </row>
    <row r="459" spans="1:17" x14ac:dyDescent="0.35">
      <c r="A459" s="137" t="s">
        <v>27</v>
      </c>
      <c r="B459" s="137" t="s">
        <v>370</v>
      </c>
      <c r="C459" s="137" t="s">
        <v>1</v>
      </c>
      <c r="D459" s="137" t="s">
        <v>2</v>
      </c>
      <c r="E459" s="137">
        <v>16.64</v>
      </c>
      <c r="F459" s="137" t="s">
        <v>77</v>
      </c>
      <c r="G459" s="136">
        <v>45712</v>
      </c>
      <c r="H459" s="137" t="s">
        <v>79</v>
      </c>
      <c r="I459" s="137" t="s">
        <v>625</v>
      </c>
      <c r="J459" s="137" t="s">
        <v>676</v>
      </c>
      <c r="K459" s="137"/>
      <c r="L459" s="137"/>
      <c r="M459" s="137"/>
      <c r="N459" s="137"/>
      <c r="O459" s="137" t="s">
        <v>181</v>
      </c>
      <c r="Q459" s="3">
        <f t="shared" si="8"/>
        <v>16.64</v>
      </c>
    </row>
    <row r="460" spans="1:17" x14ac:dyDescent="0.35">
      <c r="A460" s="137" t="s">
        <v>27</v>
      </c>
      <c r="B460" s="137" t="s">
        <v>342</v>
      </c>
      <c r="C460" s="137" t="s">
        <v>1</v>
      </c>
      <c r="D460" s="137" t="s">
        <v>2</v>
      </c>
      <c r="E460" s="137">
        <v>16.36</v>
      </c>
      <c r="F460" s="137" t="s">
        <v>77</v>
      </c>
      <c r="G460" s="136">
        <v>45708</v>
      </c>
      <c r="H460" s="137" t="s">
        <v>79</v>
      </c>
      <c r="I460" s="137" t="s">
        <v>238</v>
      </c>
      <c r="J460" s="137" t="s">
        <v>239</v>
      </c>
      <c r="K460" s="137"/>
      <c r="L460" s="137"/>
      <c r="M460" s="137"/>
      <c r="N460" s="137"/>
      <c r="O460" s="137" t="s">
        <v>288</v>
      </c>
      <c r="Q460" s="3">
        <f t="shared" si="8"/>
        <v>16.36</v>
      </c>
    </row>
    <row r="461" spans="1:17" x14ac:dyDescent="0.35">
      <c r="A461" s="137" t="s">
        <v>27</v>
      </c>
      <c r="B461" s="137" t="s">
        <v>360</v>
      </c>
      <c r="C461" s="137" t="s">
        <v>1</v>
      </c>
      <c r="D461" s="137" t="s">
        <v>2</v>
      </c>
      <c r="E461" s="137">
        <v>16.09</v>
      </c>
      <c r="F461" s="137" t="s">
        <v>77</v>
      </c>
      <c r="G461" s="136">
        <v>45664</v>
      </c>
      <c r="H461" s="137" t="s">
        <v>79</v>
      </c>
      <c r="I461" s="137" t="s">
        <v>261</v>
      </c>
      <c r="J461" s="137" t="s">
        <v>2117</v>
      </c>
      <c r="K461" s="137"/>
      <c r="L461" s="137"/>
      <c r="M461" s="137"/>
      <c r="N461" s="137"/>
      <c r="O461" s="137" t="s">
        <v>296</v>
      </c>
      <c r="Q461" s="3">
        <f t="shared" si="8"/>
        <v>16.09</v>
      </c>
    </row>
    <row r="462" spans="1:17" x14ac:dyDescent="0.35">
      <c r="A462" s="137" t="s">
        <v>0</v>
      </c>
      <c r="B462" s="137" t="s">
        <v>377</v>
      </c>
      <c r="C462" s="137" t="s">
        <v>1</v>
      </c>
      <c r="D462" s="137" t="s">
        <v>2</v>
      </c>
      <c r="E462" s="137">
        <v>16.04</v>
      </c>
      <c r="F462" s="137" t="s">
        <v>77</v>
      </c>
      <c r="G462" s="136">
        <v>45712</v>
      </c>
      <c r="H462" s="137" t="s">
        <v>78</v>
      </c>
      <c r="I462" s="137" t="s">
        <v>2079</v>
      </c>
      <c r="J462" s="137"/>
      <c r="K462" s="137" t="s">
        <v>2080</v>
      </c>
      <c r="L462" s="137" t="s">
        <v>2081</v>
      </c>
      <c r="M462" s="137" t="s">
        <v>195</v>
      </c>
      <c r="Q462" s="3">
        <f t="shared" si="8"/>
        <v>16.04</v>
      </c>
    </row>
    <row r="463" spans="1:17" x14ac:dyDescent="0.35">
      <c r="A463" s="137" t="s">
        <v>0</v>
      </c>
      <c r="B463" s="137" t="s">
        <v>377</v>
      </c>
      <c r="C463" s="137" t="s">
        <v>1</v>
      </c>
      <c r="D463" s="137" t="s">
        <v>2</v>
      </c>
      <c r="E463" s="137">
        <v>16.04</v>
      </c>
      <c r="F463" s="137" t="s">
        <v>77</v>
      </c>
      <c r="G463" s="136">
        <v>45726</v>
      </c>
      <c r="H463" s="137" t="s">
        <v>78</v>
      </c>
      <c r="I463" s="137" t="s">
        <v>2089</v>
      </c>
      <c r="J463" s="137"/>
      <c r="K463" s="137" t="s">
        <v>2090</v>
      </c>
      <c r="L463" s="137" t="s">
        <v>2091</v>
      </c>
      <c r="M463" s="137" t="s">
        <v>195</v>
      </c>
      <c r="N463" s="137"/>
      <c r="O463" s="137"/>
      <c r="Q463" s="3">
        <f t="shared" si="8"/>
        <v>16.04</v>
      </c>
    </row>
    <row r="464" spans="1:17" x14ac:dyDescent="0.35">
      <c r="A464" s="137" t="s">
        <v>0</v>
      </c>
      <c r="B464" s="137" t="s">
        <v>377</v>
      </c>
      <c r="C464" s="137" t="s">
        <v>1</v>
      </c>
      <c r="D464" s="137" t="s">
        <v>2</v>
      </c>
      <c r="E464" s="137">
        <v>16.010000000000002</v>
      </c>
      <c r="F464" s="137" t="s">
        <v>77</v>
      </c>
      <c r="G464" s="136">
        <v>45677</v>
      </c>
      <c r="H464" s="137" t="s">
        <v>78</v>
      </c>
      <c r="I464" s="137" t="s">
        <v>2051</v>
      </c>
      <c r="J464" s="137"/>
      <c r="K464" s="137" t="s">
        <v>735</v>
      </c>
      <c r="L464" s="137" t="s">
        <v>2052</v>
      </c>
      <c r="M464" s="137" t="s">
        <v>195</v>
      </c>
      <c r="N464" s="31"/>
      <c r="O464" s="31"/>
      <c r="Q464" s="3">
        <f t="shared" si="8"/>
        <v>16.010000000000002</v>
      </c>
    </row>
    <row r="465" spans="1:17" x14ac:dyDescent="0.35">
      <c r="A465" s="137" t="s">
        <v>27</v>
      </c>
      <c r="B465" s="137" t="s">
        <v>321</v>
      </c>
      <c r="C465" s="137" t="s">
        <v>1</v>
      </c>
      <c r="D465" s="137" t="s">
        <v>2</v>
      </c>
      <c r="E465" s="137">
        <v>15.13</v>
      </c>
      <c r="F465" s="137" t="s">
        <v>77</v>
      </c>
      <c r="G465" s="136">
        <v>45713</v>
      </c>
      <c r="H465" s="137" t="s">
        <v>79</v>
      </c>
      <c r="I465" s="137" t="s">
        <v>2257</v>
      </c>
      <c r="J465" s="137" t="s">
        <v>219</v>
      </c>
      <c r="K465" s="137"/>
      <c r="L465" s="137"/>
      <c r="M465" s="137"/>
      <c r="N465" s="137"/>
      <c r="O465" s="137" t="s">
        <v>2260</v>
      </c>
      <c r="Q465" s="3">
        <f t="shared" si="8"/>
        <v>15.13</v>
      </c>
    </row>
    <row r="466" spans="1:17" x14ac:dyDescent="0.35">
      <c r="A466" s="137" t="s">
        <v>27</v>
      </c>
      <c r="B466" s="137" t="s">
        <v>352</v>
      </c>
      <c r="C466" s="137" t="s">
        <v>1</v>
      </c>
      <c r="D466" s="137" t="s">
        <v>2</v>
      </c>
      <c r="E466" s="137">
        <v>14.8</v>
      </c>
      <c r="F466" s="137" t="s">
        <v>77</v>
      </c>
      <c r="G466" s="136">
        <v>45747</v>
      </c>
      <c r="H466" s="137" t="s">
        <v>79</v>
      </c>
      <c r="I466" s="137" t="s">
        <v>2391</v>
      </c>
      <c r="J466" s="137" t="s">
        <v>2392</v>
      </c>
      <c r="K466" s="137"/>
      <c r="L466" s="137"/>
      <c r="M466" s="137"/>
      <c r="N466" s="137"/>
      <c r="O466" s="137" t="s">
        <v>555</v>
      </c>
      <c r="Q466" s="3">
        <f t="shared" si="8"/>
        <v>14.8</v>
      </c>
    </row>
    <row r="467" spans="1:17" x14ac:dyDescent="0.35">
      <c r="A467" s="137" t="s">
        <v>27</v>
      </c>
      <c r="B467" s="137" t="s">
        <v>481</v>
      </c>
      <c r="C467" s="137" t="s">
        <v>1</v>
      </c>
      <c r="D467" s="137" t="s">
        <v>2</v>
      </c>
      <c r="E467" s="137">
        <v>14.6</v>
      </c>
      <c r="F467" s="137" t="s">
        <v>77</v>
      </c>
      <c r="G467" s="136">
        <v>45663</v>
      </c>
      <c r="H467" s="137" t="s">
        <v>79</v>
      </c>
      <c r="I467" s="137" t="s">
        <v>172</v>
      </c>
      <c r="J467" s="137" t="s">
        <v>173</v>
      </c>
      <c r="K467" s="137"/>
      <c r="L467" s="137"/>
      <c r="M467" s="137"/>
      <c r="N467" s="137"/>
      <c r="O467" s="137" t="s">
        <v>277</v>
      </c>
      <c r="Q467" s="3">
        <f t="shared" si="8"/>
        <v>14.6</v>
      </c>
    </row>
    <row r="468" spans="1:17" x14ac:dyDescent="0.35">
      <c r="A468" s="137" t="s">
        <v>0</v>
      </c>
      <c r="B468" s="137" t="s">
        <v>339</v>
      </c>
      <c r="C468" s="137" t="s">
        <v>1</v>
      </c>
      <c r="D468" s="137" t="s">
        <v>2</v>
      </c>
      <c r="E468" s="137">
        <v>14.5</v>
      </c>
      <c r="F468" s="137" t="s">
        <v>77</v>
      </c>
      <c r="G468" s="136">
        <v>45723</v>
      </c>
      <c r="H468" s="137" t="s">
        <v>78</v>
      </c>
      <c r="I468" s="137" t="s">
        <v>2087</v>
      </c>
      <c r="J468" s="137"/>
      <c r="K468" s="137" t="s">
        <v>2088</v>
      </c>
      <c r="L468" s="137" t="s">
        <v>2413</v>
      </c>
      <c r="M468" s="137" t="s">
        <v>720</v>
      </c>
      <c r="N468" s="137"/>
      <c r="O468" s="137"/>
      <c r="Q468" s="3">
        <f t="shared" si="8"/>
        <v>14.5</v>
      </c>
    </row>
    <row r="469" spans="1:17" x14ac:dyDescent="0.35">
      <c r="A469" s="137" t="s">
        <v>27</v>
      </c>
      <c r="B469" s="137" t="s">
        <v>382</v>
      </c>
      <c r="C469" s="137" t="s">
        <v>1</v>
      </c>
      <c r="D469" s="137" t="s">
        <v>2</v>
      </c>
      <c r="E469" s="137">
        <v>14.09</v>
      </c>
      <c r="F469" s="137" t="s">
        <v>77</v>
      </c>
      <c r="G469" s="136">
        <v>45736</v>
      </c>
      <c r="H469" s="137" t="s">
        <v>79</v>
      </c>
      <c r="I469" s="137" t="s">
        <v>131</v>
      </c>
      <c r="J469" s="137" t="s">
        <v>2344</v>
      </c>
      <c r="K469" s="137"/>
      <c r="L469" s="137"/>
      <c r="M469" s="137"/>
      <c r="N469" s="137"/>
      <c r="O469" s="137" t="s">
        <v>2346</v>
      </c>
      <c r="Q469" s="3">
        <f t="shared" si="8"/>
        <v>14.09</v>
      </c>
    </row>
    <row r="470" spans="1:17" x14ac:dyDescent="0.35">
      <c r="A470" s="137" t="s">
        <v>0</v>
      </c>
      <c r="B470" s="137" t="s">
        <v>391</v>
      </c>
      <c r="C470" s="137" t="s">
        <v>1</v>
      </c>
      <c r="D470" s="137" t="s">
        <v>2</v>
      </c>
      <c r="E470" s="137">
        <v>13.940000000000001</v>
      </c>
      <c r="F470" s="137" t="s">
        <v>77</v>
      </c>
      <c r="G470" s="136">
        <v>45670</v>
      </c>
      <c r="H470" s="137" t="s">
        <v>78</v>
      </c>
      <c r="I470" s="137" t="s">
        <v>2040</v>
      </c>
      <c r="J470" s="137"/>
      <c r="K470" s="137" t="s">
        <v>2026</v>
      </c>
      <c r="L470" s="137" t="s">
        <v>2041</v>
      </c>
      <c r="M470" s="137" t="s">
        <v>212</v>
      </c>
      <c r="N470" s="137"/>
      <c r="O470" s="137"/>
      <c r="Q470" s="3">
        <f t="shared" si="8"/>
        <v>13.940000000000001</v>
      </c>
    </row>
    <row r="471" spans="1:17" x14ac:dyDescent="0.35">
      <c r="A471" s="137" t="s">
        <v>27</v>
      </c>
      <c r="B471" s="137" t="s">
        <v>530</v>
      </c>
      <c r="C471" s="137" t="s">
        <v>1</v>
      </c>
      <c r="D471" s="137" t="s">
        <v>2</v>
      </c>
      <c r="E471" s="137">
        <v>13.69</v>
      </c>
      <c r="F471" s="137" t="s">
        <v>77</v>
      </c>
      <c r="G471" s="136">
        <v>45698</v>
      </c>
      <c r="H471" s="137" t="s">
        <v>79</v>
      </c>
      <c r="I471" s="137" t="s">
        <v>706</v>
      </c>
      <c r="J471" s="137" t="s">
        <v>248</v>
      </c>
      <c r="K471" s="137"/>
      <c r="L471" s="137"/>
      <c r="M471" s="137"/>
      <c r="N471" s="137"/>
      <c r="O471" s="137" t="s">
        <v>290</v>
      </c>
      <c r="Q471" s="3">
        <f t="shared" si="8"/>
        <v>13.69</v>
      </c>
    </row>
    <row r="472" spans="1:17" x14ac:dyDescent="0.35">
      <c r="A472" s="137" t="s">
        <v>27</v>
      </c>
      <c r="B472" s="137" t="s">
        <v>339</v>
      </c>
      <c r="C472" s="137" t="s">
        <v>1</v>
      </c>
      <c r="D472" s="137" t="s">
        <v>2</v>
      </c>
      <c r="E472" s="137">
        <v>13.64</v>
      </c>
      <c r="F472" s="137" t="s">
        <v>77</v>
      </c>
      <c r="G472" s="136">
        <v>45678</v>
      </c>
      <c r="H472" s="137" t="s">
        <v>79</v>
      </c>
      <c r="I472" s="137" t="s">
        <v>2142</v>
      </c>
      <c r="J472" s="137" t="s">
        <v>2144</v>
      </c>
      <c r="K472" s="137"/>
      <c r="L472" s="137"/>
      <c r="M472" s="137"/>
      <c r="N472" s="137"/>
      <c r="O472" s="137" t="s">
        <v>2145</v>
      </c>
      <c r="Q472" s="3">
        <f t="shared" si="8"/>
        <v>13.64</v>
      </c>
    </row>
    <row r="473" spans="1:17" x14ac:dyDescent="0.35">
      <c r="A473" s="137" t="s">
        <v>27</v>
      </c>
      <c r="B473" s="137" t="s">
        <v>401</v>
      </c>
      <c r="C473" s="137" t="s">
        <v>1</v>
      </c>
      <c r="D473" s="137" t="s">
        <v>2</v>
      </c>
      <c r="E473" s="137">
        <v>13.64</v>
      </c>
      <c r="F473" s="137" t="s">
        <v>77</v>
      </c>
      <c r="G473" s="136">
        <v>45701</v>
      </c>
      <c r="H473" s="137" t="s">
        <v>79</v>
      </c>
      <c r="I473" s="137" t="s">
        <v>2223</v>
      </c>
      <c r="J473" s="137" t="s">
        <v>2224</v>
      </c>
      <c r="K473" s="137"/>
      <c r="L473" s="137"/>
      <c r="M473" s="137"/>
      <c r="N473" s="137"/>
      <c r="O473" s="137" t="s">
        <v>272</v>
      </c>
      <c r="Q473" s="3">
        <f t="shared" si="8"/>
        <v>13.64</v>
      </c>
    </row>
    <row r="474" spans="1:17" x14ac:dyDescent="0.35">
      <c r="A474" s="137" t="s">
        <v>27</v>
      </c>
      <c r="B474" s="137" t="s">
        <v>530</v>
      </c>
      <c r="C474" s="137" t="s">
        <v>1</v>
      </c>
      <c r="D474" s="137" t="s">
        <v>2</v>
      </c>
      <c r="E474" s="137">
        <v>13.63</v>
      </c>
      <c r="F474" s="137" t="s">
        <v>77</v>
      </c>
      <c r="G474" s="136">
        <v>45659</v>
      </c>
      <c r="H474" s="137" t="s">
        <v>79</v>
      </c>
      <c r="I474" s="137" t="s">
        <v>706</v>
      </c>
      <c r="J474" s="137" t="s">
        <v>248</v>
      </c>
      <c r="K474" s="137"/>
      <c r="L474" s="137"/>
      <c r="M474" s="137"/>
      <c r="N474" s="137"/>
      <c r="O474" s="137" t="s">
        <v>290</v>
      </c>
      <c r="Q474" s="3">
        <f t="shared" si="8"/>
        <v>13.63</v>
      </c>
    </row>
    <row r="475" spans="1:17" x14ac:dyDescent="0.35">
      <c r="A475" s="137" t="s">
        <v>27</v>
      </c>
      <c r="B475" s="137" t="s">
        <v>430</v>
      </c>
      <c r="C475" s="137" t="s">
        <v>1</v>
      </c>
      <c r="D475" s="137" t="s">
        <v>2</v>
      </c>
      <c r="E475" s="137">
        <v>13.05</v>
      </c>
      <c r="F475" s="137" t="s">
        <v>77</v>
      </c>
      <c r="G475" s="136">
        <v>45729</v>
      </c>
      <c r="H475" s="137" t="s">
        <v>79</v>
      </c>
      <c r="I475" s="137" t="s">
        <v>215</v>
      </c>
      <c r="J475" s="137" t="s">
        <v>2307</v>
      </c>
      <c r="K475" s="137"/>
      <c r="L475" s="137"/>
      <c r="M475" s="137"/>
      <c r="N475" s="137"/>
      <c r="O475" s="137" t="s">
        <v>273</v>
      </c>
      <c r="Q475" s="3">
        <f t="shared" si="8"/>
        <v>13.05</v>
      </c>
    </row>
    <row r="476" spans="1:17" x14ac:dyDescent="0.35">
      <c r="A476" s="137" t="s">
        <v>27</v>
      </c>
      <c r="B476" s="137" t="s">
        <v>321</v>
      </c>
      <c r="C476" s="137" t="s">
        <v>1</v>
      </c>
      <c r="D476" s="137" t="s">
        <v>2</v>
      </c>
      <c r="E476" s="137">
        <v>12.85</v>
      </c>
      <c r="F476" s="137" t="s">
        <v>77</v>
      </c>
      <c r="G476" s="136">
        <v>45713</v>
      </c>
      <c r="H476" s="137" t="s">
        <v>79</v>
      </c>
      <c r="I476" s="137" t="s">
        <v>213</v>
      </c>
      <c r="J476" s="137" t="s">
        <v>2258</v>
      </c>
      <c r="K476" s="137"/>
      <c r="L476" s="137"/>
      <c r="M476" s="137"/>
      <c r="N476" s="137"/>
      <c r="O476" s="137" t="s">
        <v>2261</v>
      </c>
      <c r="Q476" s="3">
        <f t="shared" si="8"/>
        <v>12.85</v>
      </c>
    </row>
    <row r="477" spans="1:17" x14ac:dyDescent="0.35">
      <c r="A477" s="137" t="s">
        <v>27</v>
      </c>
      <c r="B477" s="137" t="s">
        <v>588</v>
      </c>
      <c r="C477" s="137" t="s">
        <v>1</v>
      </c>
      <c r="D477" s="137" t="s">
        <v>2</v>
      </c>
      <c r="E477" s="137">
        <v>12.73</v>
      </c>
      <c r="F477" s="137" t="s">
        <v>77</v>
      </c>
      <c r="G477" s="136">
        <v>45735</v>
      </c>
      <c r="H477" s="137" t="s">
        <v>79</v>
      </c>
      <c r="I477" s="137" t="s">
        <v>201</v>
      </c>
      <c r="J477" s="137" t="s">
        <v>2330</v>
      </c>
      <c r="K477" s="137"/>
      <c r="L477" s="137"/>
      <c r="M477" s="137"/>
      <c r="N477" s="137"/>
      <c r="O477" s="137" t="s">
        <v>703</v>
      </c>
      <c r="Q477" s="3">
        <f t="shared" si="8"/>
        <v>12.73</v>
      </c>
    </row>
    <row r="478" spans="1:17" x14ac:dyDescent="0.35">
      <c r="A478" s="137" t="s">
        <v>27</v>
      </c>
      <c r="B478" s="137" t="s">
        <v>496</v>
      </c>
      <c r="C478" s="137" t="s">
        <v>1</v>
      </c>
      <c r="D478" s="137" t="s">
        <v>2</v>
      </c>
      <c r="E478" s="137">
        <v>12.48</v>
      </c>
      <c r="F478" s="137" t="s">
        <v>77</v>
      </c>
      <c r="G478" s="136">
        <v>45706</v>
      </c>
      <c r="H478" s="137" t="s">
        <v>79</v>
      </c>
      <c r="I478" s="137" t="s">
        <v>509</v>
      </c>
      <c r="J478" s="137" t="s">
        <v>2245</v>
      </c>
      <c r="K478" s="137"/>
      <c r="L478" s="137"/>
      <c r="M478" s="137"/>
      <c r="N478" s="137"/>
      <c r="O478" s="137" t="s">
        <v>2246</v>
      </c>
      <c r="Q478" s="3">
        <f t="shared" si="8"/>
        <v>12.48</v>
      </c>
    </row>
    <row r="479" spans="1:17" x14ac:dyDescent="0.35">
      <c r="A479" s="137" t="s">
        <v>27</v>
      </c>
      <c r="B479" s="137" t="s">
        <v>481</v>
      </c>
      <c r="C479" s="137" t="s">
        <v>1</v>
      </c>
      <c r="D479" s="137" t="s">
        <v>2</v>
      </c>
      <c r="E479" s="137">
        <v>12.16</v>
      </c>
      <c r="F479" s="137" t="s">
        <v>77</v>
      </c>
      <c r="G479" s="136">
        <v>45726</v>
      </c>
      <c r="H479" s="137" t="s">
        <v>79</v>
      </c>
      <c r="I479" s="137" t="s">
        <v>172</v>
      </c>
      <c r="J479" s="137" t="s">
        <v>173</v>
      </c>
      <c r="K479" s="137"/>
      <c r="L479" s="137"/>
      <c r="M479" s="137"/>
      <c r="N479" s="137"/>
      <c r="O479" s="137" t="s">
        <v>277</v>
      </c>
      <c r="Q479" s="3">
        <f t="shared" si="8"/>
        <v>12.16</v>
      </c>
    </row>
    <row r="480" spans="1:17" x14ac:dyDescent="0.35">
      <c r="A480" s="137" t="s">
        <v>0</v>
      </c>
      <c r="B480" s="137" t="s">
        <v>363</v>
      </c>
      <c r="C480" s="137" t="s">
        <v>1</v>
      </c>
      <c r="D480" s="137" t="s">
        <v>2</v>
      </c>
      <c r="E480" s="137">
        <v>12.02</v>
      </c>
      <c r="F480" s="137" t="s">
        <v>77</v>
      </c>
      <c r="G480" s="136">
        <v>45712</v>
      </c>
      <c r="H480" s="137" t="s">
        <v>78</v>
      </c>
      <c r="I480" s="137" t="s">
        <v>2079</v>
      </c>
      <c r="J480" s="137"/>
      <c r="K480" s="137" t="s">
        <v>2080</v>
      </c>
      <c r="L480" s="137" t="s">
        <v>2081</v>
      </c>
      <c r="M480" s="137" t="s">
        <v>195</v>
      </c>
      <c r="N480" s="137"/>
      <c r="O480" s="137"/>
      <c r="Q480" s="3">
        <f t="shared" si="8"/>
        <v>12.02</v>
      </c>
    </row>
    <row r="481" spans="1:17" x14ac:dyDescent="0.35">
      <c r="A481" s="137" t="s">
        <v>0</v>
      </c>
      <c r="B481" s="137" t="s">
        <v>363</v>
      </c>
      <c r="C481" s="137" t="s">
        <v>1</v>
      </c>
      <c r="D481" s="137" t="s">
        <v>2</v>
      </c>
      <c r="E481" s="137">
        <v>12.02</v>
      </c>
      <c r="F481" s="137" t="s">
        <v>77</v>
      </c>
      <c r="G481" s="136">
        <v>45726</v>
      </c>
      <c r="H481" s="137" t="s">
        <v>78</v>
      </c>
      <c r="I481" s="137" t="s">
        <v>2089</v>
      </c>
      <c r="J481" s="137"/>
      <c r="K481" s="137" t="s">
        <v>2090</v>
      </c>
      <c r="L481" s="137" t="s">
        <v>2091</v>
      </c>
      <c r="M481" s="137" t="s">
        <v>195</v>
      </c>
      <c r="N481" s="137"/>
      <c r="O481" s="137"/>
      <c r="Q481" s="3">
        <f t="shared" si="8"/>
        <v>12.02</v>
      </c>
    </row>
    <row r="482" spans="1:17" x14ac:dyDescent="0.35">
      <c r="A482" s="137" t="s">
        <v>27</v>
      </c>
      <c r="B482" s="137" t="s">
        <v>344</v>
      </c>
      <c r="C482" s="137" t="s">
        <v>1</v>
      </c>
      <c r="D482" s="137" t="s">
        <v>2</v>
      </c>
      <c r="E482" s="137">
        <v>12</v>
      </c>
      <c r="F482" s="137" t="s">
        <v>77</v>
      </c>
      <c r="G482" s="136">
        <v>45747</v>
      </c>
      <c r="H482" s="137" t="s">
        <v>79</v>
      </c>
      <c r="I482" s="137" t="s">
        <v>688</v>
      </c>
      <c r="J482" s="137" t="s">
        <v>250</v>
      </c>
      <c r="K482" s="137"/>
      <c r="L482" s="137"/>
      <c r="M482" s="137"/>
      <c r="N482" s="137"/>
      <c r="O482" s="137" t="s">
        <v>288</v>
      </c>
      <c r="Q482" s="3">
        <f t="shared" si="8"/>
        <v>12</v>
      </c>
    </row>
    <row r="483" spans="1:17" x14ac:dyDescent="0.35">
      <c r="A483" s="137" t="s">
        <v>0</v>
      </c>
      <c r="B483" s="137" t="s">
        <v>363</v>
      </c>
      <c r="C483" s="137" t="s">
        <v>1</v>
      </c>
      <c r="D483" s="137" t="s">
        <v>2</v>
      </c>
      <c r="E483" s="137">
        <v>11.95</v>
      </c>
      <c r="F483" s="137" t="s">
        <v>77</v>
      </c>
      <c r="G483" s="136">
        <v>45677</v>
      </c>
      <c r="H483" s="137" t="s">
        <v>78</v>
      </c>
      <c r="I483" s="137" t="s">
        <v>2051</v>
      </c>
      <c r="J483" s="137"/>
      <c r="K483" s="137" t="s">
        <v>735</v>
      </c>
      <c r="L483" s="137" t="s">
        <v>2052</v>
      </c>
      <c r="M483" s="137" t="s">
        <v>195</v>
      </c>
      <c r="N483" s="137"/>
      <c r="O483" s="137"/>
      <c r="Q483" s="3">
        <f t="shared" si="8"/>
        <v>11.95</v>
      </c>
    </row>
    <row r="484" spans="1:17" x14ac:dyDescent="0.35">
      <c r="A484" s="137" t="s">
        <v>27</v>
      </c>
      <c r="B484" s="137" t="s">
        <v>529</v>
      </c>
      <c r="C484" s="137" t="s">
        <v>1</v>
      </c>
      <c r="D484" s="137" t="s">
        <v>2</v>
      </c>
      <c r="E484" s="137">
        <v>11.82</v>
      </c>
      <c r="F484" s="137" t="s">
        <v>77</v>
      </c>
      <c r="G484" s="136">
        <v>45685</v>
      </c>
      <c r="H484" s="137" t="s">
        <v>79</v>
      </c>
      <c r="I484" s="137" t="s">
        <v>236</v>
      </c>
      <c r="J484" s="137" t="s">
        <v>210</v>
      </c>
      <c r="K484" s="137"/>
      <c r="L484" s="137"/>
      <c r="M484" s="137"/>
      <c r="N484" s="137"/>
      <c r="O484" s="137" t="s">
        <v>281</v>
      </c>
      <c r="Q484" s="3">
        <f t="shared" si="8"/>
        <v>11.82</v>
      </c>
    </row>
    <row r="485" spans="1:17" x14ac:dyDescent="0.35">
      <c r="A485" s="137" t="s">
        <v>27</v>
      </c>
      <c r="B485" s="137" t="s">
        <v>327</v>
      </c>
      <c r="C485" s="137" t="s">
        <v>1</v>
      </c>
      <c r="D485" s="137" t="s">
        <v>2</v>
      </c>
      <c r="E485" s="137">
        <v>11.77</v>
      </c>
      <c r="F485" s="137" t="s">
        <v>77</v>
      </c>
      <c r="G485" s="136">
        <v>45720</v>
      </c>
      <c r="H485" s="137" t="s">
        <v>79</v>
      </c>
      <c r="I485" s="137" t="s">
        <v>251</v>
      </c>
      <c r="J485" s="137" t="s">
        <v>252</v>
      </c>
      <c r="K485" s="137"/>
      <c r="L485" s="137"/>
      <c r="M485" s="137"/>
      <c r="N485" s="137"/>
      <c r="O485" s="137" t="s">
        <v>294</v>
      </c>
      <c r="Q485" s="3">
        <f t="shared" si="8"/>
        <v>11.77</v>
      </c>
    </row>
    <row r="486" spans="1:17" x14ac:dyDescent="0.35">
      <c r="A486" s="137" t="s">
        <v>27</v>
      </c>
      <c r="B486" s="137" t="s">
        <v>399</v>
      </c>
      <c r="C486" s="137" t="s">
        <v>1</v>
      </c>
      <c r="D486" s="137" t="s">
        <v>2</v>
      </c>
      <c r="E486" s="137">
        <v>11.690000000000001</v>
      </c>
      <c r="F486" s="137" t="s">
        <v>77</v>
      </c>
      <c r="G486" s="136">
        <v>45691</v>
      </c>
      <c r="H486" s="137" t="s">
        <v>78</v>
      </c>
      <c r="I486" s="137" t="s">
        <v>2187</v>
      </c>
      <c r="J486" s="137"/>
      <c r="K486" s="137" t="s">
        <v>193</v>
      </c>
      <c r="L486" s="137" t="s">
        <v>2436</v>
      </c>
      <c r="M486" s="137" t="s">
        <v>194</v>
      </c>
      <c r="N486" s="137"/>
      <c r="O486" s="137"/>
      <c r="Q486" s="3">
        <f t="shared" si="8"/>
        <v>11.690000000000001</v>
      </c>
    </row>
    <row r="487" spans="1:17" x14ac:dyDescent="0.35">
      <c r="A487" s="137" t="s">
        <v>27</v>
      </c>
      <c r="B487" s="137" t="s">
        <v>430</v>
      </c>
      <c r="C487" s="137" t="s">
        <v>1</v>
      </c>
      <c r="D487" s="137" t="s">
        <v>2</v>
      </c>
      <c r="E487" s="137">
        <v>11.68</v>
      </c>
      <c r="F487" s="137" t="s">
        <v>77</v>
      </c>
      <c r="G487" s="136">
        <v>45742</v>
      </c>
      <c r="H487" s="137" t="s">
        <v>79</v>
      </c>
      <c r="I487" s="137" t="s">
        <v>215</v>
      </c>
      <c r="J487" s="137" t="s">
        <v>2376</v>
      </c>
      <c r="K487" s="137"/>
      <c r="L487" s="137"/>
      <c r="M487" s="137"/>
      <c r="N487" s="137"/>
      <c r="O487" s="137" t="s">
        <v>273</v>
      </c>
      <c r="Q487" s="3">
        <f t="shared" si="8"/>
        <v>11.68</v>
      </c>
    </row>
    <row r="488" spans="1:17" x14ac:dyDescent="0.35">
      <c r="A488" s="137" t="s">
        <v>27</v>
      </c>
      <c r="B488" s="137" t="s">
        <v>370</v>
      </c>
      <c r="C488" s="137" t="s">
        <v>1</v>
      </c>
      <c r="D488" s="137" t="s">
        <v>2</v>
      </c>
      <c r="E488" s="137">
        <v>11.18</v>
      </c>
      <c r="F488" s="137" t="s">
        <v>77</v>
      </c>
      <c r="G488" s="136">
        <v>45687</v>
      </c>
      <c r="H488" s="137" t="s">
        <v>79</v>
      </c>
      <c r="I488" s="137" t="s">
        <v>625</v>
      </c>
      <c r="J488" s="137" t="s">
        <v>2177</v>
      </c>
      <c r="K488" s="137"/>
      <c r="L488" s="137"/>
      <c r="M488" s="137"/>
      <c r="N488" s="137"/>
      <c r="O488" s="137" t="s">
        <v>181</v>
      </c>
      <c r="Q488" s="3">
        <f t="shared" si="8"/>
        <v>11.18</v>
      </c>
    </row>
    <row r="489" spans="1:17" x14ac:dyDescent="0.35">
      <c r="A489" s="137" t="s">
        <v>27</v>
      </c>
      <c r="B489" s="137" t="s">
        <v>317</v>
      </c>
      <c r="C489" s="137" t="s">
        <v>1</v>
      </c>
      <c r="D489" s="137" t="s">
        <v>2</v>
      </c>
      <c r="E489" s="137">
        <v>11.18</v>
      </c>
      <c r="F489" s="137" t="s">
        <v>77</v>
      </c>
      <c r="G489" s="136">
        <v>45698</v>
      </c>
      <c r="H489" s="137" t="s">
        <v>79</v>
      </c>
      <c r="I489" s="137" t="s">
        <v>2218</v>
      </c>
      <c r="J489" s="137" t="s">
        <v>2219</v>
      </c>
      <c r="K489" s="137"/>
      <c r="L489" s="137"/>
      <c r="M489" s="137"/>
      <c r="N489" s="137"/>
      <c r="O489" s="137" t="s">
        <v>276</v>
      </c>
      <c r="Q489" s="3">
        <f t="shared" si="8"/>
        <v>11.18</v>
      </c>
    </row>
    <row r="490" spans="1:17" x14ac:dyDescent="0.35">
      <c r="A490" s="137" t="s">
        <v>27</v>
      </c>
      <c r="B490" s="137" t="s">
        <v>399</v>
      </c>
      <c r="C490" s="137" t="s">
        <v>1</v>
      </c>
      <c r="D490" s="137" t="s">
        <v>2</v>
      </c>
      <c r="E490" s="137">
        <v>11.04</v>
      </c>
      <c r="F490" s="137" t="s">
        <v>77</v>
      </c>
      <c r="G490" s="136">
        <v>45677</v>
      </c>
      <c r="H490" s="137" t="s">
        <v>78</v>
      </c>
      <c r="I490" s="137" t="s">
        <v>2133</v>
      </c>
      <c r="J490" s="137"/>
      <c r="K490" s="137" t="s">
        <v>193</v>
      </c>
      <c r="L490" s="137" t="s">
        <v>2425</v>
      </c>
      <c r="M490" s="137" t="s">
        <v>194</v>
      </c>
      <c r="N490" s="137"/>
      <c r="O490" s="137"/>
      <c r="Q490" s="3">
        <f t="shared" si="8"/>
        <v>11.04</v>
      </c>
    </row>
    <row r="491" spans="1:17" x14ac:dyDescent="0.35">
      <c r="A491" s="137" t="s">
        <v>27</v>
      </c>
      <c r="B491" s="137" t="s">
        <v>492</v>
      </c>
      <c r="C491" s="137" t="s">
        <v>1</v>
      </c>
      <c r="D491" s="137" t="s">
        <v>2</v>
      </c>
      <c r="E491" s="137">
        <v>10.96</v>
      </c>
      <c r="F491" s="137" t="s">
        <v>77</v>
      </c>
      <c r="G491" s="136">
        <v>45665</v>
      </c>
      <c r="H491" s="137" t="s">
        <v>78</v>
      </c>
      <c r="I491" s="137" t="s">
        <v>2118</v>
      </c>
      <c r="J491" s="137"/>
      <c r="K491" s="137" t="s">
        <v>2119</v>
      </c>
      <c r="L491" s="137" t="s">
        <v>2120</v>
      </c>
      <c r="M491" s="137" t="s">
        <v>221</v>
      </c>
      <c r="N491" s="137"/>
      <c r="O491" s="137"/>
      <c r="Q491" s="3">
        <f t="shared" si="8"/>
        <v>10.96</v>
      </c>
    </row>
    <row r="492" spans="1:17" x14ac:dyDescent="0.35">
      <c r="A492" s="137" t="s">
        <v>27</v>
      </c>
      <c r="B492" s="137" t="s">
        <v>492</v>
      </c>
      <c r="C492" s="137" t="s">
        <v>1</v>
      </c>
      <c r="D492" s="137" t="s">
        <v>2</v>
      </c>
      <c r="E492" s="137">
        <v>10.96</v>
      </c>
      <c r="F492" s="137" t="s">
        <v>77</v>
      </c>
      <c r="G492" s="136">
        <v>45677</v>
      </c>
      <c r="H492" s="137" t="s">
        <v>78</v>
      </c>
      <c r="I492" s="137" t="s">
        <v>2137</v>
      </c>
      <c r="J492" s="137"/>
      <c r="K492" s="137" t="s">
        <v>2119</v>
      </c>
      <c r="L492" s="137" t="s">
        <v>2138</v>
      </c>
      <c r="M492" s="137" t="s">
        <v>221</v>
      </c>
      <c r="N492" s="137"/>
      <c r="O492" s="137"/>
      <c r="Q492" s="3">
        <f t="shared" si="8"/>
        <v>10.96</v>
      </c>
    </row>
    <row r="493" spans="1:17" x14ac:dyDescent="0.35">
      <c r="A493" s="137" t="s">
        <v>27</v>
      </c>
      <c r="B493" s="137" t="s">
        <v>492</v>
      </c>
      <c r="C493" s="137" t="s">
        <v>1</v>
      </c>
      <c r="D493" s="137" t="s">
        <v>2</v>
      </c>
      <c r="E493" s="137">
        <v>10.96</v>
      </c>
      <c r="F493" s="137" t="s">
        <v>77</v>
      </c>
      <c r="G493" s="136">
        <v>45682</v>
      </c>
      <c r="H493" s="137" t="s">
        <v>78</v>
      </c>
      <c r="I493" s="137" t="s">
        <v>2159</v>
      </c>
      <c r="J493" s="137"/>
      <c r="K493" s="137" t="s">
        <v>2119</v>
      </c>
      <c r="L493" s="137" t="s">
        <v>2160</v>
      </c>
      <c r="M493" s="137" t="s">
        <v>221</v>
      </c>
      <c r="N493" s="137"/>
      <c r="O493" s="137"/>
      <c r="Q493" s="3">
        <f t="shared" si="8"/>
        <v>10.96</v>
      </c>
    </row>
    <row r="494" spans="1:17" x14ac:dyDescent="0.35">
      <c r="A494" s="137" t="s">
        <v>27</v>
      </c>
      <c r="B494" s="137" t="s">
        <v>492</v>
      </c>
      <c r="C494" s="137" t="s">
        <v>1</v>
      </c>
      <c r="D494" s="137" t="s">
        <v>2</v>
      </c>
      <c r="E494" s="137">
        <v>10.96</v>
      </c>
      <c r="F494" s="137" t="s">
        <v>77</v>
      </c>
      <c r="G494" s="136">
        <v>45690</v>
      </c>
      <c r="H494" s="137" t="s">
        <v>78</v>
      </c>
      <c r="I494" s="137" t="s">
        <v>2179</v>
      </c>
      <c r="J494" s="137"/>
      <c r="K494" s="137" t="s">
        <v>2119</v>
      </c>
      <c r="L494" s="137" t="s">
        <v>2180</v>
      </c>
      <c r="M494" s="137" t="s">
        <v>221</v>
      </c>
      <c r="N494" s="137"/>
      <c r="O494" s="137"/>
      <c r="Q494" s="3">
        <f t="shared" si="8"/>
        <v>10.96</v>
      </c>
    </row>
    <row r="495" spans="1:17" x14ac:dyDescent="0.35">
      <c r="A495" s="137" t="s">
        <v>27</v>
      </c>
      <c r="B495" s="137" t="s">
        <v>492</v>
      </c>
      <c r="C495" s="137" t="s">
        <v>1</v>
      </c>
      <c r="D495" s="137" t="s">
        <v>2</v>
      </c>
      <c r="E495" s="137">
        <v>10.96</v>
      </c>
      <c r="F495" s="137" t="s">
        <v>77</v>
      </c>
      <c r="G495" s="136">
        <v>45697</v>
      </c>
      <c r="H495" s="137" t="s">
        <v>78</v>
      </c>
      <c r="I495" s="137" t="s">
        <v>2214</v>
      </c>
      <c r="J495" s="137"/>
      <c r="K495" s="137" t="s">
        <v>2119</v>
      </c>
      <c r="L495" s="137" t="s">
        <v>2215</v>
      </c>
      <c r="M495" s="137" t="s">
        <v>221</v>
      </c>
      <c r="N495" s="137"/>
      <c r="O495" s="137"/>
      <c r="Q495" s="3">
        <f t="shared" si="8"/>
        <v>10.96</v>
      </c>
    </row>
    <row r="496" spans="1:17" x14ac:dyDescent="0.35">
      <c r="A496" s="137" t="s">
        <v>27</v>
      </c>
      <c r="B496" s="137" t="s">
        <v>492</v>
      </c>
      <c r="C496" s="137" t="s">
        <v>1</v>
      </c>
      <c r="D496" s="137" t="s">
        <v>2</v>
      </c>
      <c r="E496" s="137">
        <v>10.96</v>
      </c>
      <c r="F496" s="137" t="s">
        <v>77</v>
      </c>
      <c r="G496" s="136">
        <v>45702</v>
      </c>
      <c r="H496" s="137" t="s">
        <v>78</v>
      </c>
      <c r="I496" s="137" t="s">
        <v>2225</v>
      </c>
      <c r="J496" s="137"/>
      <c r="K496" s="137" t="s">
        <v>2119</v>
      </c>
      <c r="L496" s="137" t="s">
        <v>2226</v>
      </c>
      <c r="M496" s="137" t="s">
        <v>221</v>
      </c>
      <c r="N496" s="137"/>
      <c r="O496" s="137"/>
      <c r="Q496" s="3">
        <f t="shared" si="8"/>
        <v>10.96</v>
      </c>
    </row>
    <row r="497" spans="1:17" x14ac:dyDescent="0.35">
      <c r="A497" s="137" t="s">
        <v>27</v>
      </c>
      <c r="B497" s="137" t="s">
        <v>492</v>
      </c>
      <c r="C497" s="137" t="s">
        <v>1</v>
      </c>
      <c r="D497" s="137" t="s">
        <v>2</v>
      </c>
      <c r="E497" s="137">
        <v>10.96</v>
      </c>
      <c r="F497" s="137" t="s">
        <v>77</v>
      </c>
      <c r="G497" s="136">
        <v>45709</v>
      </c>
      <c r="H497" s="137" t="s">
        <v>78</v>
      </c>
      <c r="I497" s="137" t="s">
        <v>2248</v>
      </c>
      <c r="J497" s="137"/>
      <c r="K497" s="137" t="s">
        <v>2119</v>
      </c>
      <c r="L497" s="137" t="s">
        <v>2249</v>
      </c>
      <c r="M497" s="137" t="s">
        <v>221</v>
      </c>
      <c r="N497" s="137"/>
      <c r="O497" s="137"/>
      <c r="Q497" s="3">
        <f t="shared" si="8"/>
        <v>10.96</v>
      </c>
    </row>
    <row r="498" spans="1:17" x14ac:dyDescent="0.35">
      <c r="A498" s="137" t="s">
        <v>27</v>
      </c>
      <c r="B498" s="137" t="s">
        <v>492</v>
      </c>
      <c r="C498" s="137" t="s">
        <v>1</v>
      </c>
      <c r="D498" s="137" t="s">
        <v>2</v>
      </c>
      <c r="E498" s="137">
        <v>10.96</v>
      </c>
      <c r="F498" s="137" t="s">
        <v>77</v>
      </c>
      <c r="G498" s="136">
        <v>45719</v>
      </c>
      <c r="H498" s="137" t="s">
        <v>78</v>
      </c>
      <c r="I498" s="137" t="s">
        <v>2270</v>
      </c>
      <c r="J498" s="137"/>
      <c r="K498" s="137" t="s">
        <v>2119</v>
      </c>
      <c r="L498" s="137" t="s">
        <v>2271</v>
      </c>
      <c r="M498" s="137" t="s">
        <v>221</v>
      </c>
      <c r="N498" s="137"/>
      <c r="O498" s="137"/>
      <c r="Q498" s="3">
        <f t="shared" si="8"/>
        <v>10.96</v>
      </c>
    </row>
    <row r="499" spans="1:17" x14ac:dyDescent="0.35">
      <c r="A499" s="137" t="s">
        <v>27</v>
      </c>
      <c r="B499" s="137" t="s">
        <v>492</v>
      </c>
      <c r="C499" s="137" t="s">
        <v>1</v>
      </c>
      <c r="D499" s="137" t="s">
        <v>2</v>
      </c>
      <c r="E499" s="137">
        <v>10.96</v>
      </c>
      <c r="F499" s="137" t="s">
        <v>77</v>
      </c>
      <c r="G499" s="136">
        <v>45725</v>
      </c>
      <c r="H499" s="137" t="s">
        <v>78</v>
      </c>
      <c r="I499" s="137" t="s">
        <v>2284</v>
      </c>
      <c r="J499" s="137"/>
      <c r="K499" s="137" t="s">
        <v>2119</v>
      </c>
      <c r="L499" s="137" t="s">
        <v>2285</v>
      </c>
      <c r="M499" s="137" t="s">
        <v>221</v>
      </c>
      <c r="N499" s="137"/>
      <c r="O499" s="137"/>
      <c r="Q499" s="3">
        <f t="shared" si="8"/>
        <v>10.96</v>
      </c>
    </row>
    <row r="500" spans="1:17" x14ac:dyDescent="0.35">
      <c r="A500" s="137" t="s">
        <v>27</v>
      </c>
      <c r="B500" s="137" t="s">
        <v>492</v>
      </c>
      <c r="C500" s="137" t="s">
        <v>1</v>
      </c>
      <c r="D500" s="137" t="s">
        <v>2</v>
      </c>
      <c r="E500" s="137">
        <v>10.96</v>
      </c>
      <c r="F500" s="137" t="s">
        <v>77</v>
      </c>
      <c r="G500" s="136">
        <v>45733</v>
      </c>
      <c r="H500" s="137" t="s">
        <v>78</v>
      </c>
      <c r="I500" s="137" t="s">
        <v>2316</v>
      </c>
      <c r="J500" s="137"/>
      <c r="K500" s="137" t="s">
        <v>2119</v>
      </c>
      <c r="L500" s="137" t="s">
        <v>2317</v>
      </c>
      <c r="M500" s="137" t="s">
        <v>221</v>
      </c>
      <c r="N500" s="137"/>
      <c r="O500" s="137"/>
      <c r="Q500" s="3">
        <f t="shared" si="8"/>
        <v>10.96</v>
      </c>
    </row>
    <row r="501" spans="1:17" x14ac:dyDescent="0.35">
      <c r="A501" s="137" t="s">
        <v>27</v>
      </c>
      <c r="B501" s="137" t="s">
        <v>530</v>
      </c>
      <c r="C501" s="137" t="s">
        <v>1</v>
      </c>
      <c r="D501" s="137" t="s">
        <v>2</v>
      </c>
      <c r="E501" s="137">
        <v>10.95</v>
      </c>
      <c r="F501" s="137" t="s">
        <v>77</v>
      </c>
      <c r="G501" s="136">
        <v>45742</v>
      </c>
      <c r="H501" s="137" t="s">
        <v>79</v>
      </c>
      <c r="I501" s="137" t="s">
        <v>706</v>
      </c>
      <c r="J501" s="137" t="s">
        <v>248</v>
      </c>
      <c r="K501" s="137"/>
      <c r="L501" s="137"/>
      <c r="M501" s="137"/>
      <c r="N501" s="137"/>
      <c r="O501" s="137" t="s">
        <v>290</v>
      </c>
      <c r="Q501" s="3">
        <f t="shared" si="8"/>
        <v>10.95</v>
      </c>
    </row>
    <row r="502" spans="1:17" x14ac:dyDescent="0.35">
      <c r="A502" s="137" t="s">
        <v>27</v>
      </c>
      <c r="B502" s="137" t="s">
        <v>342</v>
      </c>
      <c r="C502" s="137" t="s">
        <v>1</v>
      </c>
      <c r="D502" s="137" t="s">
        <v>2</v>
      </c>
      <c r="E502" s="137">
        <v>10.91</v>
      </c>
      <c r="F502" s="137" t="s">
        <v>77</v>
      </c>
      <c r="G502" s="136">
        <v>45666</v>
      </c>
      <c r="H502" s="137" t="s">
        <v>79</v>
      </c>
      <c r="I502" s="137" t="s">
        <v>238</v>
      </c>
      <c r="J502" s="137" t="s">
        <v>239</v>
      </c>
      <c r="K502" s="137"/>
      <c r="L502" s="137"/>
      <c r="M502" s="137"/>
      <c r="N502" s="137"/>
      <c r="O502" s="137" t="s">
        <v>288</v>
      </c>
      <c r="Q502" s="3">
        <f t="shared" si="8"/>
        <v>10.91</v>
      </c>
    </row>
    <row r="503" spans="1:17" x14ac:dyDescent="0.35">
      <c r="A503" s="137" t="s">
        <v>27</v>
      </c>
      <c r="B503" s="137" t="s">
        <v>344</v>
      </c>
      <c r="C503" s="137" t="s">
        <v>1</v>
      </c>
      <c r="D503" s="137" t="s">
        <v>2</v>
      </c>
      <c r="E503" s="137">
        <v>10.91</v>
      </c>
      <c r="F503" s="137" t="s">
        <v>77</v>
      </c>
      <c r="G503" s="136">
        <v>45674</v>
      </c>
      <c r="H503" s="137" t="s">
        <v>79</v>
      </c>
      <c r="I503" s="137" t="s">
        <v>688</v>
      </c>
      <c r="J503" s="137" t="s">
        <v>250</v>
      </c>
      <c r="K503" s="137"/>
      <c r="L503" s="137"/>
      <c r="M503" s="137"/>
      <c r="N503" s="137"/>
      <c r="O503" s="137" t="s">
        <v>288</v>
      </c>
      <c r="Q503" s="3">
        <f t="shared" si="8"/>
        <v>10.91</v>
      </c>
    </row>
    <row r="504" spans="1:17" x14ac:dyDescent="0.35">
      <c r="A504" s="137" t="s">
        <v>27</v>
      </c>
      <c r="B504" s="137" t="s">
        <v>344</v>
      </c>
      <c r="C504" s="137" t="s">
        <v>1</v>
      </c>
      <c r="D504" s="137" t="s">
        <v>2</v>
      </c>
      <c r="E504" s="137">
        <v>10.91</v>
      </c>
      <c r="F504" s="137" t="s">
        <v>77</v>
      </c>
      <c r="G504" s="136">
        <v>45705</v>
      </c>
      <c r="H504" s="137" t="s">
        <v>79</v>
      </c>
      <c r="I504" s="137" t="s">
        <v>688</v>
      </c>
      <c r="J504" s="137" t="s">
        <v>250</v>
      </c>
      <c r="K504" s="137"/>
      <c r="L504" s="137"/>
      <c r="M504" s="137"/>
      <c r="N504" s="137"/>
      <c r="O504" s="137" t="s">
        <v>288</v>
      </c>
      <c r="Q504" s="3">
        <f t="shared" si="8"/>
        <v>10.91</v>
      </c>
    </row>
    <row r="505" spans="1:17" x14ac:dyDescent="0.35">
      <c r="A505" s="137" t="s">
        <v>27</v>
      </c>
      <c r="B505" s="137" t="s">
        <v>342</v>
      </c>
      <c r="C505" s="137" t="s">
        <v>1</v>
      </c>
      <c r="D505" s="137" t="s">
        <v>2</v>
      </c>
      <c r="E505" s="137">
        <v>10.91</v>
      </c>
      <c r="F505" s="137" t="s">
        <v>77</v>
      </c>
      <c r="G505" s="136">
        <v>45743</v>
      </c>
      <c r="H505" s="137" t="s">
        <v>79</v>
      </c>
      <c r="I505" s="137" t="s">
        <v>698</v>
      </c>
      <c r="J505" s="137" t="s">
        <v>699</v>
      </c>
      <c r="K505" s="137"/>
      <c r="L505" s="137"/>
      <c r="M505" s="137"/>
      <c r="N505" s="137"/>
      <c r="O505" s="137" t="s">
        <v>288</v>
      </c>
      <c r="Q505" s="3">
        <f t="shared" si="8"/>
        <v>10.91</v>
      </c>
    </row>
    <row r="506" spans="1:17" x14ac:dyDescent="0.35">
      <c r="A506" s="137" t="s">
        <v>27</v>
      </c>
      <c r="B506" s="137" t="s">
        <v>342</v>
      </c>
      <c r="C506" s="137" t="s">
        <v>1</v>
      </c>
      <c r="D506" s="137" t="s">
        <v>2</v>
      </c>
      <c r="E506" s="137">
        <v>10.91</v>
      </c>
      <c r="F506" s="137" t="s">
        <v>77</v>
      </c>
      <c r="G506" s="136">
        <v>45744</v>
      </c>
      <c r="H506" s="137" t="s">
        <v>79</v>
      </c>
      <c r="I506" s="137" t="s">
        <v>661</v>
      </c>
      <c r="J506" s="137" t="s">
        <v>2383</v>
      </c>
      <c r="K506" s="137"/>
      <c r="L506" s="137"/>
      <c r="M506" s="137"/>
      <c r="N506" s="137"/>
      <c r="O506" s="137" t="s">
        <v>288</v>
      </c>
      <c r="Q506" s="3">
        <f t="shared" si="8"/>
        <v>10.91</v>
      </c>
    </row>
    <row r="507" spans="1:17" x14ac:dyDescent="0.35">
      <c r="A507" s="137" t="s">
        <v>27</v>
      </c>
      <c r="B507" s="137" t="s">
        <v>342</v>
      </c>
      <c r="C507" s="137" t="s">
        <v>1</v>
      </c>
      <c r="D507" s="137" t="s">
        <v>2</v>
      </c>
      <c r="E507" s="137">
        <v>10.91</v>
      </c>
      <c r="F507" s="137" t="s">
        <v>77</v>
      </c>
      <c r="G507" s="136">
        <v>45744</v>
      </c>
      <c r="H507" s="137" t="s">
        <v>79</v>
      </c>
      <c r="I507" s="137" t="s">
        <v>661</v>
      </c>
      <c r="J507" s="137" t="s">
        <v>2384</v>
      </c>
      <c r="K507" s="137"/>
      <c r="L507" s="137"/>
      <c r="M507" s="137"/>
      <c r="N507" s="137"/>
      <c r="O507" s="137" t="s">
        <v>288</v>
      </c>
      <c r="Q507" s="3">
        <f t="shared" si="8"/>
        <v>10.91</v>
      </c>
    </row>
    <row r="508" spans="1:17" x14ac:dyDescent="0.35">
      <c r="A508" s="137" t="s">
        <v>27</v>
      </c>
      <c r="B508" s="137" t="s">
        <v>399</v>
      </c>
      <c r="C508" s="137" t="s">
        <v>1</v>
      </c>
      <c r="D508" s="137" t="s">
        <v>2</v>
      </c>
      <c r="E508" s="137">
        <v>10.78</v>
      </c>
      <c r="F508" s="137" t="s">
        <v>77</v>
      </c>
      <c r="G508" s="136">
        <v>45691</v>
      </c>
      <c r="H508" s="137" t="s">
        <v>78</v>
      </c>
      <c r="I508" s="137" t="s">
        <v>2190</v>
      </c>
      <c r="J508" s="137"/>
      <c r="K508" s="137" t="s">
        <v>193</v>
      </c>
      <c r="L508" s="137" t="s">
        <v>2439</v>
      </c>
      <c r="M508" s="137" t="s">
        <v>194</v>
      </c>
      <c r="N508" s="137"/>
      <c r="O508" s="137"/>
      <c r="Q508" s="3">
        <f t="shared" si="8"/>
        <v>10.78</v>
      </c>
    </row>
    <row r="509" spans="1:17" x14ac:dyDescent="0.35">
      <c r="A509" s="137" t="s">
        <v>27</v>
      </c>
      <c r="B509" s="137" t="s">
        <v>496</v>
      </c>
      <c r="C509" s="137" t="s">
        <v>1</v>
      </c>
      <c r="D509" s="137" t="s">
        <v>2</v>
      </c>
      <c r="E509" s="137">
        <v>10</v>
      </c>
      <c r="F509" s="137" t="s">
        <v>77</v>
      </c>
      <c r="G509" s="136">
        <v>45716</v>
      </c>
      <c r="H509" s="137" t="s">
        <v>79</v>
      </c>
      <c r="I509" s="137" t="s">
        <v>263</v>
      </c>
      <c r="J509" s="137" t="s">
        <v>2266</v>
      </c>
      <c r="K509" s="137"/>
      <c r="L509" s="137"/>
      <c r="M509" s="137"/>
      <c r="N509" s="137"/>
      <c r="O509" s="137" t="s">
        <v>280</v>
      </c>
      <c r="Q509" s="3">
        <f t="shared" si="8"/>
        <v>10</v>
      </c>
    </row>
    <row r="510" spans="1:17" x14ac:dyDescent="0.35">
      <c r="A510" s="137" t="s">
        <v>27</v>
      </c>
      <c r="B510" s="137" t="s">
        <v>588</v>
      </c>
      <c r="C510" s="137" t="s">
        <v>1</v>
      </c>
      <c r="D510" s="137" t="s">
        <v>2</v>
      </c>
      <c r="E510" s="137">
        <v>10</v>
      </c>
      <c r="F510" s="137" t="s">
        <v>77</v>
      </c>
      <c r="G510" s="136">
        <v>45735</v>
      </c>
      <c r="H510" s="137" t="s">
        <v>79</v>
      </c>
      <c r="I510" s="137" t="s">
        <v>245</v>
      </c>
      <c r="J510" s="137" t="s">
        <v>202</v>
      </c>
      <c r="K510" s="137"/>
      <c r="L510" s="137"/>
      <c r="M510" s="137"/>
      <c r="N510" s="137"/>
      <c r="O510" s="137" t="s">
        <v>268</v>
      </c>
      <c r="Q510" s="3">
        <f t="shared" si="8"/>
        <v>10</v>
      </c>
    </row>
    <row r="511" spans="1:17" x14ac:dyDescent="0.35">
      <c r="A511" s="137" t="s">
        <v>27</v>
      </c>
      <c r="B511" s="137" t="s">
        <v>360</v>
      </c>
      <c r="C511" s="137" t="s">
        <v>1</v>
      </c>
      <c r="D511" s="137" t="s">
        <v>2</v>
      </c>
      <c r="E511" s="137">
        <v>9.7200000000000006</v>
      </c>
      <c r="F511" s="137" t="s">
        <v>77</v>
      </c>
      <c r="G511" s="136">
        <v>45694</v>
      </c>
      <c r="H511" s="137" t="s">
        <v>79</v>
      </c>
      <c r="I511" s="137" t="s">
        <v>220</v>
      </c>
      <c r="J511" s="137" t="s">
        <v>2202</v>
      </c>
      <c r="K511" s="137"/>
      <c r="L511" s="137"/>
      <c r="M511" s="137"/>
      <c r="N511" s="137"/>
      <c r="O511" s="137" t="s">
        <v>295</v>
      </c>
      <c r="Q511" s="3">
        <f t="shared" si="8"/>
        <v>9.7200000000000006</v>
      </c>
    </row>
    <row r="512" spans="1:17" x14ac:dyDescent="0.35">
      <c r="A512" s="137" t="s">
        <v>27</v>
      </c>
      <c r="B512" s="137" t="s">
        <v>399</v>
      </c>
      <c r="C512" s="137" t="s">
        <v>1</v>
      </c>
      <c r="D512" s="137" t="s">
        <v>2</v>
      </c>
      <c r="E512" s="137">
        <v>9.49</v>
      </c>
      <c r="F512" s="137" t="s">
        <v>77</v>
      </c>
      <c r="G512" s="136">
        <v>45691</v>
      </c>
      <c r="H512" s="137" t="s">
        <v>78</v>
      </c>
      <c r="I512" s="137" t="s">
        <v>2189</v>
      </c>
      <c r="J512" s="137"/>
      <c r="K512" s="137" t="s">
        <v>193</v>
      </c>
      <c r="L512" s="137" t="s">
        <v>2438</v>
      </c>
      <c r="M512" s="137" t="s">
        <v>194</v>
      </c>
      <c r="N512" s="137"/>
      <c r="O512" s="137"/>
      <c r="Q512" s="3">
        <f t="shared" si="8"/>
        <v>9.49</v>
      </c>
    </row>
    <row r="513" spans="1:17" x14ac:dyDescent="0.35">
      <c r="A513" s="137" t="s">
        <v>0</v>
      </c>
      <c r="B513" s="137" t="s">
        <v>341</v>
      </c>
      <c r="C513" s="137" t="s">
        <v>1</v>
      </c>
      <c r="D513" s="137" t="s">
        <v>2</v>
      </c>
      <c r="E513" s="137">
        <v>9.3800000000000008</v>
      </c>
      <c r="F513" s="137" t="s">
        <v>77</v>
      </c>
      <c r="G513" s="136">
        <v>45712</v>
      </c>
      <c r="H513" s="137" t="s">
        <v>78</v>
      </c>
      <c r="I513" s="137" t="s">
        <v>2079</v>
      </c>
      <c r="J513" s="137"/>
      <c r="K513" s="137" t="s">
        <v>2080</v>
      </c>
      <c r="L513" s="137" t="s">
        <v>2081</v>
      </c>
      <c r="M513" s="137" t="s">
        <v>195</v>
      </c>
      <c r="N513" s="137"/>
      <c r="O513" s="137"/>
      <c r="Q513" s="3">
        <f t="shared" si="8"/>
        <v>9.3800000000000008</v>
      </c>
    </row>
    <row r="514" spans="1:17" x14ac:dyDescent="0.35">
      <c r="A514" s="137" t="s">
        <v>0</v>
      </c>
      <c r="B514" s="137" t="s">
        <v>341</v>
      </c>
      <c r="C514" s="137" t="s">
        <v>1</v>
      </c>
      <c r="D514" s="137" t="s">
        <v>2</v>
      </c>
      <c r="E514" s="137">
        <v>9.3800000000000008</v>
      </c>
      <c r="F514" s="137" t="s">
        <v>77</v>
      </c>
      <c r="G514" s="136">
        <v>45726</v>
      </c>
      <c r="H514" s="137" t="s">
        <v>78</v>
      </c>
      <c r="I514" s="137" t="s">
        <v>2089</v>
      </c>
      <c r="J514" s="137"/>
      <c r="K514" s="137" t="s">
        <v>2090</v>
      </c>
      <c r="L514" s="137" t="s">
        <v>2091</v>
      </c>
      <c r="M514" s="137" t="s">
        <v>195</v>
      </c>
      <c r="N514" s="137"/>
      <c r="O514" s="137"/>
      <c r="Q514" s="3">
        <f t="shared" si="8"/>
        <v>9.3800000000000008</v>
      </c>
    </row>
    <row r="515" spans="1:17" x14ac:dyDescent="0.35">
      <c r="A515" s="137" t="s">
        <v>0</v>
      </c>
      <c r="B515" s="137" t="s">
        <v>341</v>
      </c>
      <c r="C515" s="137" t="s">
        <v>1</v>
      </c>
      <c r="D515" s="137" t="s">
        <v>2</v>
      </c>
      <c r="E515" s="137">
        <v>9.35</v>
      </c>
      <c r="F515" s="137" t="s">
        <v>77</v>
      </c>
      <c r="G515" s="136">
        <v>45677</v>
      </c>
      <c r="H515" s="137" t="s">
        <v>78</v>
      </c>
      <c r="I515" s="137" t="s">
        <v>2051</v>
      </c>
      <c r="J515" s="137"/>
      <c r="K515" s="137" t="s">
        <v>735</v>
      </c>
      <c r="L515" s="137" t="s">
        <v>2052</v>
      </c>
      <c r="M515" s="137" t="s">
        <v>195</v>
      </c>
      <c r="Q515" s="3">
        <f t="shared" si="8"/>
        <v>9.35</v>
      </c>
    </row>
    <row r="516" spans="1:17" x14ac:dyDescent="0.35">
      <c r="A516" s="137" t="s">
        <v>27</v>
      </c>
      <c r="B516" s="137" t="s">
        <v>355</v>
      </c>
      <c r="C516" s="137" t="s">
        <v>1</v>
      </c>
      <c r="D516" s="137" t="s">
        <v>2</v>
      </c>
      <c r="E516" s="137">
        <v>9.35</v>
      </c>
      <c r="F516" s="137" t="s">
        <v>77</v>
      </c>
      <c r="G516" s="136">
        <v>45740</v>
      </c>
      <c r="H516" s="137" t="s">
        <v>79</v>
      </c>
      <c r="I516" s="137" t="s">
        <v>199</v>
      </c>
      <c r="J516" s="137" t="s">
        <v>249</v>
      </c>
      <c r="K516" s="137"/>
      <c r="L516" s="137"/>
      <c r="M516" s="137"/>
      <c r="N516" s="137"/>
      <c r="O516" s="137" t="s">
        <v>267</v>
      </c>
      <c r="Q516" s="3">
        <f t="shared" si="8"/>
        <v>9.35</v>
      </c>
    </row>
    <row r="517" spans="1:17" x14ac:dyDescent="0.35">
      <c r="A517" s="137" t="s">
        <v>27</v>
      </c>
      <c r="B517" s="137" t="s">
        <v>321</v>
      </c>
      <c r="C517" s="137" t="s">
        <v>1</v>
      </c>
      <c r="D517" s="137" t="s">
        <v>2</v>
      </c>
      <c r="E517" s="137">
        <v>9.09</v>
      </c>
      <c r="F517" s="137" t="s">
        <v>77</v>
      </c>
      <c r="G517" s="136">
        <v>45743</v>
      </c>
      <c r="H517" s="137" t="s">
        <v>79</v>
      </c>
      <c r="I517" s="137" t="s">
        <v>2377</v>
      </c>
      <c r="J517" s="137" t="s">
        <v>2378</v>
      </c>
      <c r="K517" s="137"/>
      <c r="L517" s="137"/>
      <c r="M517" s="137"/>
      <c r="N517" s="137"/>
      <c r="O517" s="137" t="s">
        <v>2379</v>
      </c>
      <c r="Q517" s="3">
        <f t="shared" si="8"/>
        <v>9.09</v>
      </c>
    </row>
    <row r="518" spans="1:17" x14ac:dyDescent="0.35">
      <c r="A518" s="137" t="s">
        <v>27</v>
      </c>
      <c r="B518" s="137" t="s">
        <v>615</v>
      </c>
      <c r="C518" s="137" t="s">
        <v>1</v>
      </c>
      <c r="D518" s="137" t="s">
        <v>2</v>
      </c>
      <c r="E518" s="137">
        <v>9.08</v>
      </c>
      <c r="F518" s="137" t="s">
        <v>77</v>
      </c>
      <c r="G518" s="136">
        <v>45726</v>
      </c>
      <c r="H518" s="137" t="s">
        <v>79</v>
      </c>
      <c r="I518" s="137" t="s">
        <v>825</v>
      </c>
      <c r="J518" s="137" t="s">
        <v>2300</v>
      </c>
      <c r="K518" s="137"/>
      <c r="L518" s="137"/>
      <c r="M518" s="137"/>
      <c r="N518" s="137"/>
      <c r="O518" s="137" t="s">
        <v>674</v>
      </c>
      <c r="Q518" s="3">
        <f t="shared" si="8"/>
        <v>9.08</v>
      </c>
    </row>
    <row r="519" spans="1:17" x14ac:dyDescent="0.35">
      <c r="A519" s="137" t="s">
        <v>27</v>
      </c>
      <c r="B519" s="137" t="s">
        <v>382</v>
      </c>
      <c r="C519" s="137" t="s">
        <v>1</v>
      </c>
      <c r="D519" s="137" t="s">
        <v>2</v>
      </c>
      <c r="E519" s="137">
        <v>9.08</v>
      </c>
      <c r="F519" s="137" t="s">
        <v>77</v>
      </c>
      <c r="G519" s="136">
        <v>45736</v>
      </c>
      <c r="H519" s="137" t="s">
        <v>79</v>
      </c>
      <c r="I519" s="137" t="s">
        <v>131</v>
      </c>
      <c r="J519" s="137" t="s">
        <v>2344</v>
      </c>
      <c r="K519" s="137"/>
      <c r="L519" s="137"/>
      <c r="M519" s="137"/>
      <c r="N519" s="137"/>
      <c r="O519" s="137" t="s">
        <v>2345</v>
      </c>
      <c r="Q519" s="3">
        <f t="shared" si="8"/>
        <v>9.08</v>
      </c>
    </row>
    <row r="520" spans="1:17" x14ac:dyDescent="0.35">
      <c r="A520" s="137" t="s">
        <v>27</v>
      </c>
      <c r="B520" s="137" t="s">
        <v>355</v>
      </c>
      <c r="C520" s="137" t="s">
        <v>1</v>
      </c>
      <c r="D520" s="137" t="s">
        <v>2</v>
      </c>
      <c r="E520" s="137">
        <v>9.0500000000000007</v>
      </c>
      <c r="F520" s="137" t="s">
        <v>77</v>
      </c>
      <c r="G520" s="136">
        <v>45663</v>
      </c>
      <c r="H520" s="137" t="s">
        <v>79</v>
      </c>
      <c r="I520" s="137" t="s">
        <v>199</v>
      </c>
      <c r="J520" s="137" t="s">
        <v>200</v>
      </c>
      <c r="K520" s="137"/>
      <c r="L520" s="137"/>
      <c r="M520" s="137"/>
      <c r="N520" s="137"/>
      <c r="O520" s="137" t="s">
        <v>267</v>
      </c>
      <c r="Q520" s="3">
        <f t="shared" ref="Q520:Q583" si="9">ABS(E520)</f>
        <v>9.0500000000000007</v>
      </c>
    </row>
    <row r="521" spans="1:17" x14ac:dyDescent="0.35">
      <c r="A521" s="137" t="s">
        <v>0</v>
      </c>
      <c r="B521" s="137" t="s">
        <v>345</v>
      </c>
      <c r="C521" s="137" t="s">
        <v>1</v>
      </c>
      <c r="D521" s="137" t="s">
        <v>2</v>
      </c>
      <c r="E521" s="137">
        <v>8.8000000000000007</v>
      </c>
      <c r="F521" s="137" t="s">
        <v>77</v>
      </c>
      <c r="G521" s="136">
        <v>45712</v>
      </c>
      <c r="H521" s="137" t="s">
        <v>78</v>
      </c>
      <c r="I521" s="137" t="s">
        <v>2079</v>
      </c>
      <c r="J521" s="137"/>
      <c r="K521" s="137" t="s">
        <v>2080</v>
      </c>
      <c r="L521" s="137" t="s">
        <v>2081</v>
      </c>
      <c r="M521" s="137" t="s">
        <v>195</v>
      </c>
      <c r="N521" s="137"/>
      <c r="O521" s="137"/>
      <c r="Q521" s="3">
        <f t="shared" si="9"/>
        <v>8.8000000000000007</v>
      </c>
    </row>
    <row r="522" spans="1:17" x14ac:dyDescent="0.35">
      <c r="A522" s="137" t="s">
        <v>0</v>
      </c>
      <c r="B522" s="137" t="s">
        <v>345</v>
      </c>
      <c r="C522" s="137" t="s">
        <v>1</v>
      </c>
      <c r="D522" s="137" t="s">
        <v>2</v>
      </c>
      <c r="E522" s="137">
        <v>8.8000000000000007</v>
      </c>
      <c r="F522" s="137" t="s">
        <v>77</v>
      </c>
      <c r="G522" s="136">
        <v>45726</v>
      </c>
      <c r="H522" s="137" t="s">
        <v>78</v>
      </c>
      <c r="I522" s="137" t="s">
        <v>2089</v>
      </c>
      <c r="J522" s="137"/>
      <c r="K522" s="137" t="s">
        <v>2090</v>
      </c>
      <c r="L522" s="137" t="s">
        <v>2091</v>
      </c>
      <c r="M522" s="137" t="s">
        <v>195</v>
      </c>
      <c r="Q522" s="3">
        <f t="shared" si="9"/>
        <v>8.8000000000000007</v>
      </c>
    </row>
    <row r="523" spans="1:17" x14ac:dyDescent="0.35">
      <c r="A523" s="137" t="s">
        <v>0</v>
      </c>
      <c r="B523" s="137" t="s">
        <v>345</v>
      </c>
      <c r="C523" s="137" t="s">
        <v>1</v>
      </c>
      <c r="D523" s="137" t="s">
        <v>2</v>
      </c>
      <c r="E523" s="137">
        <v>8.74</v>
      </c>
      <c r="F523" s="137" t="s">
        <v>77</v>
      </c>
      <c r="G523" s="136">
        <v>45677</v>
      </c>
      <c r="H523" s="137" t="s">
        <v>78</v>
      </c>
      <c r="I523" s="137" t="s">
        <v>2051</v>
      </c>
      <c r="J523" s="137"/>
      <c r="K523" s="137" t="s">
        <v>735</v>
      </c>
      <c r="L523" s="137" t="s">
        <v>2052</v>
      </c>
      <c r="M523" s="137" t="s">
        <v>195</v>
      </c>
      <c r="N523" s="137"/>
      <c r="O523" s="137"/>
      <c r="Q523" s="3">
        <f t="shared" si="9"/>
        <v>8.74</v>
      </c>
    </row>
    <row r="524" spans="1:17" x14ac:dyDescent="0.35">
      <c r="A524" s="137" t="s">
        <v>0</v>
      </c>
      <c r="B524" s="137" t="s">
        <v>399</v>
      </c>
      <c r="C524" s="137" t="s">
        <v>1</v>
      </c>
      <c r="D524" s="137" t="s">
        <v>2</v>
      </c>
      <c r="E524" s="137">
        <v>8.2899999999999991</v>
      </c>
      <c r="F524" s="137" t="s">
        <v>77</v>
      </c>
      <c r="G524" s="136">
        <v>45705</v>
      </c>
      <c r="H524" s="137" t="s">
        <v>78</v>
      </c>
      <c r="I524" s="137" t="s">
        <v>2069</v>
      </c>
      <c r="J524" s="137"/>
      <c r="K524" s="137" t="s">
        <v>193</v>
      </c>
      <c r="L524" s="137" t="s">
        <v>2406</v>
      </c>
      <c r="M524" s="137" t="s">
        <v>194</v>
      </c>
      <c r="Q524" s="3">
        <f t="shared" si="9"/>
        <v>8.2899999999999991</v>
      </c>
    </row>
    <row r="525" spans="1:17" x14ac:dyDescent="0.35">
      <c r="A525" s="137" t="s">
        <v>27</v>
      </c>
      <c r="B525" s="137" t="s">
        <v>430</v>
      </c>
      <c r="C525" s="137" t="s">
        <v>1</v>
      </c>
      <c r="D525" s="137" t="s">
        <v>2</v>
      </c>
      <c r="E525" s="137">
        <v>8.18</v>
      </c>
      <c r="F525" s="137" t="s">
        <v>77</v>
      </c>
      <c r="G525" s="136">
        <v>45729</v>
      </c>
      <c r="H525" s="137" t="s">
        <v>79</v>
      </c>
      <c r="I525" s="137" t="s">
        <v>215</v>
      </c>
      <c r="J525" s="137" t="s">
        <v>2308</v>
      </c>
      <c r="K525" s="137"/>
      <c r="L525" s="137"/>
      <c r="M525" s="137"/>
      <c r="N525" s="137"/>
      <c r="O525" s="137" t="s">
        <v>273</v>
      </c>
      <c r="Q525" s="3">
        <f t="shared" si="9"/>
        <v>8.18</v>
      </c>
    </row>
    <row r="526" spans="1:17" x14ac:dyDescent="0.35">
      <c r="A526" s="137" t="s">
        <v>27</v>
      </c>
      <c r="B526" s="137" t="s">
        <v>529</v>
      </c>
      <c r="C526" s="137" t="s">
        <v>1</v>
      </c>
      <c r="D526" s="137" t="s">
        <v>2</v>
      </c>
      <c r="E526" s="137">
        <v>8.18</v>
      </c>
      <c r="F526" s="137" t="s">
        <v>77</v>
      </c>
      <c r="G526" s="136">
        <v>45729</v>
      </c>
      <c r="H526" s="137" t="s">
        <v>79</v>
      </c>
      <c r="I526" s="137" t="s">
        <v>549</v>
      </c>
      <c r="J526" s="137" t="s">
        <v>2141</v>
      </c>
      <c r="K526" s="137"/>
      <c r="L526" s="137"/>
      <c r="M526" s="137"/>
      <c r="N526" s="137"/>
      <c r="O526" s="137" t="s">
        <v>281</v>
      </c>
      <c r="Q526" s="3">
        <f t="shared" si="9"/>
        <v>8.18</v>
      </c>
    </row>
    <row r="527" spans="1:17" x14ac:dyDescent="0.35">
      <c r="A527" s="137" t="s">
        <v>27</v>
      </c>
      <c r="B527" s="137" t="s">
        <v>377</v>
      </c>
      <c r="C527" s="137" t="s">
        <v>1</v>
      </c>
      <c r="D527" s="137" t="s">
        <v>2</v>
      </c>
      <c r="E527" s="137">
        <v>8.14</v>
      </c>
      <c r="F527" s="137" t="s">
        <v>77</v>
      </c>
      <c r="G527" s="136">
        <v>45685</v>
      </c>
      <c r="H527" s="137" t="s">
        <v>79</v>
      </c>
      <c r="I527" s="137" t="s">
        <v>209</v>
      </c>
      <c r="J527" s="137" t="s">
        <v>210</v>
      </c>
      <c r="K527" s="137"/>
      <c r="L527" s="137"/>
      <c r="M527" s="137"/>
      <c r="N527" s="137"/>
      <c r="O527" s="137" t="s">
        <v>270</v>
      </c>
      <c r="Q527" s="3">
        <f t="shared" si="9"/>
        <v>8.14</v>
      </c>
    </row>
    <row r="528" spans="1:17" x14ac:dyDescent="0.35">
      <c r="A528" s="137" t="s">
        <v>27</v>
      </c>
      <c r="B528" s="137" t="s">
        <v>377</v>
      </c>
      <c r="C528" s="137" t="s">
        <v>1</v>
      </c>
      <c r="D528" s="137" t="s">
        <v>2</v>
      </c>
      <c r="E528" s="137">
        <v>8.14</v>
      </c>
      <c r="F528" s="137" t="s">
        <v>77</v>
      </c>
      <c r="G528" s="136">
        <v>45705</v>
      </c>
      <c r="H528" s="137" t="s">
        <v>79</v>
      </c>
      <c r="I528" s="137" t="s">
        <v>209</v>
      </c>
      <c r="J528" s="137" t="s">
        <v>210</v>
      </c>
      <c r="K528" s="137"/>
      <c r="L528" s="137"/>
      <c r="M528" s="137"/>
      <c r="N528" s="137"/>
      <c r="O528" s="137" t="s">
        <v>270</v>
      </c>
      <c r="Q528" s="3">
        <f t="shared" si="9"/>
        <v>8.14</v>
      </c>
    </row>
    <row r="529" spans="1:17" x14ac:dyDescent="0.35">
      <c r="A529" s="137" t="s">
        <v>27</v>
      </c>
      <c r="B529" s="137" t="s">
        <v>377</v>
      </c>
      <c r="C529" s="137" t="s">
        <v>1</v>
      </c>
      <c r="D529" s="137" t="s">
        <v>2</v>
      </c>
      <c r="E529" s="137">
        <v>8.14</v>
      </c>
      <c r="F529" s="137" t="s">
        <v>77</v>
      </c>
      <c r="G529" s="136">
        <v>45720</v>
      </c>
      <c r="H529" s="137" t="s">
        <v>79</v>
      </c>
      <c r="I529" s="137" t="s">
        <v>209</v>
      </c>
      <c r="J529" s="137" t="s">
        <v>210</v>
      </c>
      <c r="K529" s="137"/>
      <c r="L529" s="137"/>
      <c r="M529" s="137"/>
      <c r="N529" s="137"/>
      <c r="O529" s="137" t="s">
        <v>270</v>
      </c>
      <c r="Q529" s="3">
        <f t="shared" si="9"/>
        <v>8.14</v>
      </c>
    </row>
    <row r="530" spans="1:17" x14ac:dyDescent="0.35">
      <c r="A530" s="137" t="s">
        <v>27</v>
      </c>
      <c r="B530" s="137" t="s">
        <v>377</v>
      </c>
      <c r="C530" s="137" t="s">
        <v>1</v>
      </c>
      <c r="D530" s="137" t="s">
        <v>2</v>
      </c>
      <c r="E530" s="137">
        <v>8.14</v>
      </c>
      <c r="F530" s="137" t="s">
        <v>77</v>
      </c>
      <c r="G530" s="136">
        <v>45727</v>
      </c>
      <c r="H530" s="137" t="s">
        <v>79</v>
      </c>
      <c r="I530" s="137" t="s">
        <v>209</v>
      </c>
      <c r="J530" s="137" t="s">
        <v>210</v>
      </c>
      <c r="K530" s="137"/>
      <c r="L530" s="137"/>
      <c r="M530" s="137"/>
      <c r="N530" s="137"/>
      <c r="O530" s="137" t="s">
        <v>270</v>
      </c>
      <c r="Q530" s="3">
        <f t="shared" si="9"/>
        <v>8.14</v>
      </c>
    </row>
    <row r="531" spans="1:17" x14ac:dyDescent="0.35">
      <c r="A531" s="137" t="s">
        <v>27</v>
      </c>
      <c r="B531" s="137" t="s">
        <v>377</v>
      </c>
      <c r="C531" s="137" t="s">
        <v>1</v>
      </c>
      <c r="D531" s="137" t="s">
        <v>2</v>
      </c>
      <c r="E531" s="137">
        <v>8.14</v>
      </c>
      <c r="F531" s="137" t="s">
        <v>77</v>
      </c>
      <c r="G531" s="136">
        <v>45747</v>
      </c>
      <c r="H531" s="137" t="s">
        <v>79</v>
      </c>
      <c r="I531" s="137" t="s">
        <v>209</v>
      </c>
      <c r="J531" s="137" t="s">
        <v>210</v>
      </c>
      <c r="K531" s="137"/>
      <c r="L531" s="137"/>
      <c r="M531" s="137"/>
      <c r="N531" s="137"/>
      <c r="O531" s="137" t="s">
        <v>270</v>
      </c>
      <c r="Q531" s="3">
        <f t="shared" si="9"/>
        <v>8.14</v>
      </c>
    </row>
    <row r="532" spans="1:17" x14ac:dyDescent="0.35">
      <c r="A532" s="137" t="s">
        <v>27</v>
      </c>
      <c r="B532" s="137" t="s">
        <v>530</v>
      </c>
      <c r="C532" s="137" t="s">
        <v>1</v>
      </c>
      <c r="D532" s="137" t="s">
        <v>2</v>
      </c>
      <c r="E532" s="137">
        <v>8.09</v>
      </c>
      <c r="F532" s="137" t="s">
        <v>77</v>
      </c>
      <c r="G532" s="136">
        <v>45698</v>
      </c>
      <c r="H532" s="137" t="s">
        <v>79</v>
      </c>
      <c r="I532" s="137" t="s">
        <v>706</v>
      </c>
      <c r="J532" s="137" t="s">
        <v>2220</v>
      </c>
      <c r="K532" s="137"/>
      <c r="L532" s="137"/>
      <c r="M532" s="137"/>
      <c r="N532" s="137"/>
      <c r="O532" s="137" t="s">
        <v>574</v>
      </c>
      <c r="Q532" s="3">
        <f t="shared" si="9"/>
        <v>8.09</v>
      </c>
    </row>
    <row r="533" spans="1:17" x14ac:dyDescent="0.35">
      <c r="A533" s="137" t="s">
        <v>0</v>
      </c>
      <c r="B533" s="137" t="s">
        <v>655</v>
      </c>
      <c r="C533" s="137" t="s">
        <v>1</v>
      </c>
      <c r="D533" s="137" t="s">
        <v>2</v>
      </c>
      <c r="E533" s="137">
        <v>7.85</v>
      </c>
      <c r="F533" s="137" t="s">
        <v>77</v>
      </c>
      <c r="G533" s="136">
        <v>45712</v>
      </c>
      <c r="H533" s="137" t="s">
        <v>78</v>
      </c>
      <c r="I533" s="137" t="s">
        <v>2079</v>
      </c>
      <c r="J533" s="137"/>
      <c r="K533" s="137" t="s">
        <v>2080</v>
      </c>
      <c r="L533" s="137" t="s">
        <v>2081</v>
      </c>
      <c r="M533" s="137" t="s">
        <v>195</v>
      </c>
      <c r="Q533" s="3">
        <f t="shared" si="9"/>
        <v>7.85</v>
      </c>
    </row>
    <row r="534" spans="1:17" x14ac:dyDescent="0.35">
      <c r="A534" s="137" t="s">
        <v>0</v>
      </c>
      <c r="B534" s="137" t="s">
        <v>655</v>
      </c>
      <c r="C534" s="137" t="s">
        <v>1</v>
      </c>
      <c r="D534" s="137" t="s">
        <v>2</v>
      </c>
      <c r="E534" s="137">
        <v>7.85</v>
      </c>
      <c r="F534" s="137" t="s">
        <v>77</v>
      </c>
      <c r="G534" s="136">
        <v>45726</v>
      </c>
      <c r="H534" s="137" t="s">
        <v>78</v>
      </c>
      <c r="I534" s="137" t="s">
        <v>2089</v>
      </c>
      <c r="J534" s="137"/>
      <c r="K534" s="137" t="s">
        <v>2090</v>
      </c>
      <c r="L534" s="137" t="s">
        <v>2091</v>
      </c>
      <c r="M534" s="137" t="s">
        <v>195</v>
      </c>
      <c r="N534" s="137"/>
      <c r="O534" s="137"/>
      <c r="Q534" s="3">
        <f t="shared" si="9"/>
        <v>7.85</v>
      </c>
    </row>
    <row r="535" spans="1:17" x14ac:dyDescent="0.35">
      <c r="A535" s="137" t="s">
        <v>0</v>
      </c>
      <c r="B535" s="137" t="s">
        <v>655</v>
      </c>
      <c r="C535" s="137" t="s">
        <v>1</v>
      </c>
      <c r="D535" s="137" t="s">
        <v>2</v>
      </c>
      <c r="E535" s="137">
        <v>7.82</v>
      </c>
      <c r="F535" s="137" t="s">
        <v>77</v>
      </c>
      <c r="G535" s="136">
        <v>45677</v>
      </c>
      <c r="H535" s="137" t="s">
        <v>78</v>
      </c>
      <c r="I535" s="137" t="s">
        <v>2051</v>
      </c>
      <c r="J535" s="137"/>
      <c r="K535" s="137" t="s">
        <v>735</v>
      </c>
      <c r="L535" s="137" t="s">
        <v>2052</v>
      </c>
      <c r="M535" s="137" t="s">
        <v>195</v>
      </c>
      <c r="N535" s="31"/>
      <c r="O535" s="31"/>
      <c r="Q535" s="3">
        <f t="shared" si="9"/>
        <v>7.82</v>
      </c>
    </row>
    <row r="536" spans="1:17" x14ac:dyDescent="0.35">
      <c r="A536" s="137" t="s">
        <v>27</v>
      </c>
      <c r="B536" s="137" t="s">
        <v>355</v>
      </c>
      <c r="C536" s="137" t="s">
        <v>1</v>
      </c>
      <c r="D536" s="137" t="s">
        <v>2</v>
      </c>
      <c r="E536" s="137">
        <v>7.26</v>
      </c>
      <c r="F536" s="137" t="s">
        <v>77</v>
      </c>
      <c r="G536" s="136">
        <v>45713</v>
      </c>
      <c r="H536" s="137" t="s">
        <v>79</v>
      </c>
      <c r="I536" s="137" t="s">
        <v>199</v>
      </c>
      <c r="J536" s="137" t="s">
        <v>200</v>
      </c>
      <c r="K536" s="137"/>
      <c r="L536" s="137"/>
      <c r="M536" s="137"/>
      <c r="N536" s="137"/>
      <c r="O536" s="137" t="s">
        <v>2256</v>
      </c>
      <c r="Q536" s="3">
        <f t="shared" si="9"/>
        <v>7.26</v>
      </c>
    </row>
    <row r="537" spans="1:17" x14ac:dyDescent="0.35">
      <c r="A537" s="137" t="s">
        <v>27</v>
      </c>
      <c r="B537" s="137" t="s">
        <v>529</v>
      </c>
      <c r="C537" s="137" t="s">
        <v>1</v>
      </c>
      <c r="D537" s="137" t="s">
        <v>2</v>
      </c>
      <c r="E537" s="137">
        <v>6.78</v>
      </c>
      <c r="F537" s="137" t="s">
        <v>77</v>
      </c>
      <c r="G537" s="136">
        <v>45670</v>
      </c>
      <c r="H537" s="137" t="s">
        <v>79</v>
      </c>
      <c r="I537" s="137" t="s">
        <v>559</v>
      </c>
      <c r="J537" s="137" t="s">
        <v>2127</v>
      </c>
      <c r="K537" s="137"/>
      <c r="L537" s="137"/>
      <c r="M537" s="137"/>
      <c r="N537" s="137"/>
      <c r="O537" s="137" t="s">
        <v>640</v>
      </c>
      <c r="Q537" s="3">
        <f t="shared" si="9"/>
        <v>6.78</v>
      </c>
    </row>
    <row r="538" spans="1:17" x14ac:dyDescent="0.35">
      <c r="A538" s="137" t="s">
        <v>27</v>
      </c>
      <c r="B538" s="137" t="s">
        <v>529</v>
      </c>
      <c r="C538" s="137" t="s">
        <v>1</v>
      </c>
      <c r="D538" s="137" t="s">
        <v>2</v>
      </c>
      <c r="E538" s="137">
        <v>6.5</v>
      </c>
      <c r="F538" s="137" t="s">
        <v>77</v>
      </c>
      <c r="G538" s="136">
        <v>45685</v>
      </c>
      <c r="H538" s="137" t="s">
        <v>79</v>
      </c>
      <c r="I538" s="137" t="s">
        <v>552</v>
      </c>
      <c r="J538" s="137" t="s">
        <v>660</v>
      </c>
      <c r="K538" s="137"/>
      <c r="L538" s="137"/>
      <c r="M538" s="137"/>
      <c r="N538" s="137"/>
      <c r="O538" s="137" t="s">
        <v>281</v>
      </c>
      <c r="Q538" s="3">
        <f t="shared" si="9"/>
        <v>6.5</v>
      </c>
    </row>
    <row r="539" spans="1:17" x14ac:dyDescent="0.35">
      <c r="A539" s="137" t="s">
        <v>27</v>
      </c>
      <c r="B539" s="137" t="s">
        <v>529</v>
      </c>
      <c r="C539" s="137" t="s">
        <v>1</v>
      </c>
      <c r="D539" s="137" t="s">
        <v>2</v>
      </c>
      <c r="E539" s="137">
        <v>6.5</v>
      </c>
      <c r="F539" s="137" t="s">
        <v>77</v>
      </c>
      <c r="G539" s="136">
        <v>45705</v>
      </c>
      <c r="H539" s="137" t="s">
        <v>79</v>
      </c>
      <c r="I539" s="137" t="s">
        <v>552</v>
      </c>
      <c r="J539" s="137" t="s">
        <v>660</v>
      </c>
      <c r="K539" s="137"/>
      <c r="L539" s="137"/>
      <c r="M539" s="137"/>
      <c r="N539" s="137"/>
      <c r="O539" s="137" t="s">
        <v>281</v>
      </c>
      <c r="Q539" s="3">
        <f t="shared" si="9"/>
        <v>6.5</v>
      </c>
    </row>
    <row r="540" spans="1:17" x14ac:dyDescent="0.35">
      <c r="A540" s="137" t="s">
        <v>27</v>
      </c>
      <c r="B540" s="137" t="s">
        <v>355</v>
      </c>
      <c r="C540" s="137" t="s">
        <v>1</v>
      </c>
      <c r="D540" s="137" t="s">
        <v>2</v>
      </c>
      <c r="E540" s="137">
        <v>6.3999999999999995</v>
      </c>
      <c r="F540" s="137" t="s">
        <v>77</v>
      </c>
      <c r="G540" s="136">
        <v>45713</v>
      </c>
      <c r="H540" s="137" t="s">
        <v>79</v>
      </c>
      <c r="I540" s="137" t="s">
        <v>199</v>
      </c>
      <c r="J540" s="137" t="s">
        <v>249</v>
      </c>
      <c r="K540" s="137"/>
      <c r="L540" s="137"/>
      <c r="M540" s="137"/>
      <c r="N540" s="137"/>
      <c r="O540" s="137" t="s">
        <v>267</v>
      </c>
      <c r="Q540" s="3">
        <f t="shared" si="9"/>
        <v>6.3999999999999995</v>
      </c>
    </row>
    <row r="541" spans="1:17" x14ac:dyDescent="0.35">
      <c r="A541" s="137" t="s">
        <v>27</v>
      </c>
      <c r="B541" s="137" t="s">
        <v>588</v>
      </c>
      <c r="C541" s="137" t="s">
        <v>1</v>
      </c>
      <c r="D541" s="137" t="s">
        <v>2</v>
      </c>
      <c r="E541" s="137">
        <v>6.36</v>
      </c>
      <c r="F541" s="137" t="s">
        <v>77</v>
      </c>
      <c r="G541" s="136">
        <v>45706</v>
      </c>
      <c r="H541" s="137" t="s">
        <v>79</v>
      </c>
      <c r="I541" s="137" t="s">
        <v>716</v>
      </c>
      <c r="J541" s="137" t="s">
        <v>2244</v>
      </c>
      <c r="K541" s="137"/>
      <c r="L541" s="137"/>
      <c r="M541" s="137"/>
      <c r="N541" s="137"/>
      <c r="O541" s="137" t="s">
        <v>268</v>
      </c>
      <c r="Q541" s="3">
        <f t="shared" si="9"/>
        <v>6.36</v>
      </c>
    </row>
    <row r="542" spans="1:17" x14ac:dyDescent="0.35">
      <c r="A542" s="137" t="s">
        <v>27</v>
      </c>
      <c r="B542" s="137" t="s">
        <v>339</v>
      </c>
      <c r="C542" s="137" t="s">
        <v>1</v>
      </c>
      <c r="D542" s="137" t="s">
        <v>2</v>
      </c>
      <c r="E542" s="137">
        <v>6.27</v>
      </c>
      <c r="F542" s="137" t="s">
        <v>77</v>
      </c>
      <c r="G542" s="136">
        <v>45726</v>
      </c>
      <c r="H542" s="137" t="s">
        <v>79</v>
      </c>
      <c r="I542" s="137" t="s">
        <v>729</v>
      </c>
      <c r="J542" s="137" t="s">
        <v>732</v>
      </c>
      <c r="K542" s="137"/>
      <c r="L542" s="137"/>
      <c r="M542" s="137"/>
      <c r="N542" s="137"/>
      <c r="O542" s="137" t="s">
        <v>562</v>
      </c>
      <c r="Q542" s="3">
        <f t="shared" si="9"/>
        <v>6.27</v>
      </c>
    </row>
    <row r="543" spans="1:17" x14ac:dyDescent="0.35">
      <c r="A543" s="137" t="s">
        <v>27</v>
      </c>
      <c r="B543" s="137" t="s">
        <v>481</v>
      </c>
      <c r="C543" s="137" t="s">
        <v>1</v>
      </c>
      <c r="D543" s="137" t="s">
        <v>2</v>
      </c>
      <c r="E543" s="137">
        <v>6.25</v>
      </c>
      <c r="F543" s="137" t="s">
        <v>77</v>
      </c>
      <c r="G543" s="136">
        <v>45700</v>
      </c>
      <c r="H543" s="137" t="s">
        <v>79</v>
      </c>
      <c r="I543" s="137" t="s">
        <v>172</v>
      </c>
      <c r="J543" s="137" t="s">
        <v>173</v>
      </c>
      <c r="K543" s="137"/>
      <c r="L543" s="137"/>
      <c r="M543" s="137"/>
      <c r="N543" s="137"/>
      <c r="O543" s="137" t="s">
        <v>277</v>
      </c>
      <c r="Q543" s="3">
        <f t="shared" si="9"/>
        <v>6.25</v>
      </c>
    </row>
    <row r="544" spans="1:17" x14ac:dyDescent="0.35">
      <c r="A544" s="137" t="s">
        <v>27</v>
      </c>
      <c r="B544" s="137" t="s">
        <v>400</v>
      </c>
      <c r="C544" s="137" t="s">
        <v>1</v>
      </c>
      <c r="D544" s="137" t="s">
        <v>2</v>
      </c>
      <c r="E544" s="137">
        <v>6.2</v>
      </c>
      <c r="F544" s="137" t="s">
        <v>77</v>
      </c>
      <c r="G544" s="136">
        <v>45665</v>
      </c>
      <c r="H544" s="137" t="s">
        <v>78</v>
      </c>
      <c r="I544" s="137" t="s">
        <v>2122</v>
      </c>
      <c r="J544" s="137"/>
      <c r="K544" s="137" t="s">
        <v>725</v>
      </c>
      <c r="L544" s="137" t="s">
        <v>2123</v>
      </c>
      <c r="M544" s="137" t="s">
        <v>222</v>
      </c>
      <c r="N544" s="137"/>
      <c r="O544" s="137"/>
      <c r="Q544" s="3">
        <f t="shared" si="9"/>
        <v>6.2</v>
      </c>
    </row>
    <row r="545" spans="1:17" x14ac:dyDescent="0.35">
      <c r="A545" s="137" t="s">
        <v>27</v>
      </c>
      <c r="B545" s="137" t="s">
        <v>321</v>
      </c>
      <c r="C545" s="137" t="s">
        <v>1</v>
      </c>
      <c r="D545" s="137" t="s">
        <v>2</v>
      </c>
      <c r="E545" s="137">
        <v>5.95</v>
      </c>
      <c r="F545" s="137" t="s">
        <v>77</v>
      </c>
      <c r="G545" s="136">
        <v>45744</v>
      </c>
      <c r="H545" s="137" t="s">
        <v>79</v>
      </c>
      <c r="I545" s="137" t="s">
        <v>213</v>
      </c>
      <c r="J545" s="137" t="s">
        <v>214</v>
      </c>
      <c r="K545" s="137"/>
      <c r="L545" s="137"/>
      <c r="M545" s="137"/>
      <c r="N545" s="137"/>
      <c r="O545" s="137" t="s">
        <v>271</v>
      </c>
      <c r="Q545" s="3">
        <f t="shared" si="9"/>
        <v>5.95</v>
      </c>
    </row>
    <row r="546" spans="1:17" x14ac:dyDescent="0.35">
      <c r="A546" s="137" t="s">
        <v>27</v>
      </c>
      <c r="B546" s="137" t="s">
        <v>421</v>
      </c>
      <c r="C546" s="137" t="s">
        <v>1</v>
      </c>
      <c r="D546" s="137" t="s">
        <v>2</v>
      </c>
      <c r="E546" s="137">
        <v>5.91</v>
      </c>
      <c r="F546" s="137" t="s">
        <v>77</v>
      </c>
      <c r="G546" s="136">
        <v>45720</v>
      </c>
      <c r="H546" s="137" t="s">
        <v>79</v>
      </c>
      <c r="I546" s="137" t="s">
        <v>236</v>
      </c>
      <c r="J546" s="137" t="s">
        <v>210</v>
      </c>
      <c r="K546" s="137"/>
      <c r="L546" s="137"/>
      <c r="M546" s="137"/>
      <c r="N546" s="137"/>
      <c r="O546" s="137" t="s">
        <v>281</v>
      </c>
      <c r="Q546" s="3">
        <f t="shared" si="9"/>
        <v>5.91</v>
      </c>
    </row>
    <row r="547" spans="1:17" x14ac:dyDescent="0.35">
      <c r="A547" s="137" t="s">
        <v>27</v>
      </c>
      <c r="B547" s="137" t="s">
        <v>481</v>
      </c>
      <c r="C547" s="137" t="s">
        <v>1</v>
      </c>
      <c r="D547" s="137" t="s">
        <v>2</v>
      </c>
      <c r="E547" s="137">
        <v>5.68</v>
      </c>
      <c r="F547" s="137" t="s">
        <v>77</v>
      </c>
      <c r="G547" s="136">
        <v>45744</v>
      </c>
      <c r="H547" s="137" t="s">
        <v>79</v>
      </c>
      <c r="I547" s="137" t="s">
        <v>2221</v>
      </c>
      <c r="J547" s="137" t="s">
        <v>2222</v>
      </c>
      <c r="K547" s="137"/>
      <c r="L547" s="137"/>
      <c r="M547" s="137"/>
      <c r="N547" s="137"/>
      <c r="O547" s="137" t="s">
        <v>679</v>
      </c>
      <c r="Q547" s="3">
        <f t="shared" si="9"/>
        <v>5.68</v>
      </c>
    </row>
    <row r="548" spans="1:17" x14ac:dyDescent="0.35">
      <c r="A548" s="137" t="s">
        <v>0</v>
      </c>
      <c r="B548" s="137" t="s">
        <v>322</v>
      </c>
      <c r="C548" s="137" t="s">
        <v>1</v>
      </c>
      <c r="D548" s="137" t="s">
        <v>2</v>
      </c>
      <c r="E548" s="137">
        <v>5.62</v>
      </c>
      <c r="F548" s="137" t="s">
        <v>77</v>
      </c>
      <c r="G548" s="136">
        <v>45712</v>
      </c>
      <c r="H548" s="137" t="s">
        <v>78</v>
      </c>
      <c r="I548" s="137" t="s">
        <v>2079</v>
      </c>
      <c r="J548" s="137"/>
      <c r="K548" s="137" t="s">
        <v>2080</v>
      </c>
      <c r="L548" s="137" t="s">
        <v>2081</v>
      </c>
      <c r="M548" s="137" t="s">
        <v>195</v>
      </c>
      <c r="N548" s="137"/>
      <c r="O548" s="137"/>
      <c r="Q548" s="3">
        <f t="shared" si="9"/>
        <v>5.62</v>
      </c>
    </row>
    <row r="549" spans="1:17" x14ac:dyDescent="0.35">
      <c r="A549" s="137" t="s">
        <v>0</v>
      </c>
      <c r="B549" s="137" t="s">
        <v>322</v>
      </c>
      <c r="C549" s="137" t="s">
        <v>1</v>
      </c>
      <c r="D549" s="137" t="s">
        <v>2</v>
      </c>
      <c r="E549" s="137">
        <v>5.62</v>
      </c>
      <c r="F549" s="137" t="s">
        <v>77</v>
      </c>
      <c r="G549" s="136">
        <v>45726</v>
      </c>
      <c r="H549" s="137" t="s">
        <v>78</v>
      </c>
      <c r="I549" s="137" t="s">
        <v>2089</v>
      </c>
      <c r="J549" s="137"/>
      <c r="K549" s="137" t="s">
        <v>2090</v>
      </c>
      <c r="L549" s="137" t="s">
        <v>2091</v>
      </c>
      <c r="M549" s="137" t="s">
        <v>195</v>
      </c>
      <c r="N549" s="137"/>
      <c r="O549" s="137"/>
      <c r="Q549" s="3">
        <f t="shared" si="9"/>
        <v>5.62</v>
      </c>
    </row>
    <row r="550" spans="1:17" x14ac:dyDescent="0.35">
      <c r="A550" s="137" t="s">
        <v>0</v>
      </c>
      <c r="B550" s="137" t="s">
        <v>322</v>
      </c>
      <c r="C550" s="137" t="s">
        <v>1</v>
      </c>
      <c r="D550" s="137" t="s">
        <v>2</v>
      </c>
      <c r="E550" s="137">
        <v>5.59</v>
      </c>
      <c r="F550" s="137" t="s">
        <v>77</v>
      </c>
      <c r="G550" s="136">
        <v>45677</v>
      </c>
      <c r="H550" s="137" t="s">
        <v>78</v>
      </c>
      <c r="I550" s="137" t="s">
        <v>2051</v>
      </c>
      <c r="J550" s="137"/>
      <c r="K550" s="137" t="s">
        <v>735</v>
      </c>
      <c r="L550" s="137" t="s">
        <v>2052</v>
      </c>
      <c r="M550" s="137" t="s">
        <v>195</v>
      </c>
      <c r="N550" s="137"/>
      <c r="O550" s="137"/>
      <c r="Q550" s="3">
        <f t="shared" si="9"/>
        <v>5.59</v>
      </c>
    </row>
    <row r="551" spans="1:17" x14ac:dyDescent="0.35">
      <c r="A551" s="137" t="s">
        <v>27</v>
      </c>
      <c r="B551" s="137" t="s">
        <v>529</v>
      </c>
      <c r="C551" s="137" t="s">
        <v>1</v>
      </c>
      <c r="D551" s="137" t="s">
        <v>2</v>
      </c>
      <c r="E551" s="137">
        <v>5.52</v>
      </c>
      <c r="F551" s="137" t="s">
        <v>77</v>
      </c>
      <c r="G551" s="136">
        <v>45685</v>
      </c>
      <c r="H551" s="137" t="s">
        <v>79</v>
      </c>
      <c r="I551" s="137" t="s">
        <v>2165</v>
      </c>
      <c r="J551" s="137" t="s">
        <v>210</v>
      </c>
      <c r="K551" s="137"/>
      <c r="L551" s="137"/>
      <c r="M551" s="137"/>
      <c r="N551" s="137"/>
      <c r="O551" s="137" t="s">
        <v>2166</v>
      </c>
      <c r="Q551" s="3">
        <f t="shared" si="9"/>
        <v>5.52</v>
      </c>
    </row>
    <row r="552" spans="1:17" x14ac:dyDescent="0.35">
      <c r="A552" s="137" t="s">
        <v>27</v>
      </c>
      <c r="B552" s="137" t="s">
        <v>321</v>
      </c>
      <c r="C552" s="137" t="s">
        <v>1</v>
      </c>
      <c r="D552" s="137" t="s">
        <v>2</v>
      </c>
      <c r="E552" s="137">
        <v>5.41</v>
      </c>
      <c r="F552" s="137" t="s">
        <v>77</v>
      </c>
      <c r="G552" s="136">
        <v>45685</v>
      </c>
      <c r="H552" s="137" t="s">
        <v>79</v>
      </c>
      <c r="I552" s="137" t="s">
        <v>213</v>
      </c>
      <c r="J552" s="137" t="s">
        <v>214</v>
      </c>
      <c r="K552" s="137"/>
      <c r="L552" s="137"/>
      <c r="M552" s="137"/>
      <c r="N552" s="137"/>
      <c r="O552" s="137" t="s">
        <v>271</v>
      </c>
      <c r="Q552" s="3">
        <f t="shared" si="9"/>
        <v>5.41</v>
      </c>
    </row>
    <row r="553" spans="1:17" x14ac:dyDescent="0.35">
      <c r="A553" s="137" t="s">
        <v>27</v>
      </c>
      <c r="B553" s="137" t="s">
        <v>384</v>
      </c>
      <c r="C553" s="137" t="s">
        <v>1</v>
      </c>
      <c r="D553" s="137" t="s">
        <v>2</v>
      </c>
      <c r="E553" s="137">
        <v>5.32</v>
      </c>
      <c r="F553" s="137" t="s">
        <v>77</v>
      </c>
      <c r="G553" s="136">
        <v>45685</v>
      </c>
      <c r="H553" s="137" t="s">
        <v>79</v>
      </c>
      <c r="I553" s="137" t="s">
        <v>257</v>
      </c>
      <c r="J553" s="137" t="s">
        <v>241</v>
      </c>
      <c r="K553" s="137"/>
      <c r="L553" s="137"/>
      <c r="M553" s="137"/>
      <c r="N553" s="137"/>
      <c r="O553" s="137" t="s">
        <v>289</v>
      </c>
      <c r="Q553" s="3">
        <f t="shared" si="9"/>
        <v>5.32</v>
      </c>
    </row>
    <row r="554" spans="1:17" x14ac:dyDescent="0.35">
      <c r="A554" s="137" t="s">
        <v>27</v>
      </c>
      <c r="B554" s="137" t="s">
        <v>384</v>
      </c>
      <c r="C554" s="137" t="s">
        <v>1</v>
      </c>
      <c r="D554" s="137" t="s">
        <v>2</v>
      </c>
      <c r="E554" s="137">
        <v>5.32</v>
      </c>
      <c r="F554" s="137" t="s">
        <v>77</v>
      </c>
      <c r="G554" s="136">
        <v>45705</v>
      </c>
      <c r="H554" s="137" t="s">
        <v>79</v>
      </c>
      <c r="I554" s="137" t="s">
        <v>257</v>
      </c>
      <c r="J554" s="137" t="s">
        <v>241</v>
      </c>
      <c r="K554" s="137"/>
      <c r="L554" s="137"/>
      <c r="M554" s="137"/>
      <c r="N554" s="137"/>
      <c r="O554" s="137" t="s">
        <v>289</v>
      </c>
      <c r="Q554" s="3">
        <f t="shared" si="9"/>
        <v>5.32</v>
      </c>
    </row>
    <row r="555" spans="1:17" x14ac:dyDescent="0.35">
      <c r="A555" s="137" t="s">
        <v>27</v>
      </c>
      <c r="B555" s="137" t="s">
        <v>373</v>
      </c>
      <c r="C555" s="137" t="s">
        <v>1</v>
      </c>
      <c r="D555" s="137" t="s">
        <v>2</v>
      </c>
      <c r="E555" s="137">
        <v>5.27</v>
      </c>
      <c r="F555" s="137" t="s">
        <v>77</v>
      </c>
      <c r="G555" s="136">
        <v>45673</v>
      </c>
      <c r="H555" s="137" t="s">
        <v>79</v>
      </c>
      <c r="I555" s="137" t="s">
        <v>203</v>
      </c>
      <c r="J555" s="137" t="s">
        <v>2130</v>
      </c>
      <c r="K555" s="137"/>
      <c r="L555" s="137"/>
      <c r="M555" s="137"/>
      <c r="N555" s="137"/>
      <c r="O555" s="137" t="s">
        <v>269</v>
      </c>
      <c r="Q555" s="3">
        <f t="shared" si="9"/>
        <v>5.27</v>
      </c>
    </row>
    <row r="556" spans="1:17" x14ac:dyDescent="0.35">
      <c r="A556" s="137" t="s">
        <v>27</v>
      </c>
      <c r="B556" s="137" t="s">
        <v>327</v>
      </c>
      <c r="C556" s="137" t="s">
        <v>1</v>
      </c>
      <c r="D556" s="137" t="s">
        <v>2</v>
      </c>
      <c r="E556" s="137">
        <v>5.09</v>
      </c>
      <c r="F556" s="137" t="s">
        <v>77</v>
      </c>
      <c r="G556" s="136">
        <v>45677</v>
      </c>
      <c r="H556" s="137" t="s">
        <v>79</v>
      </c>
      <c r="I556" s="137" t="s">
        <v>713</v>
      </c>
      <c r="J556" s="137" t="s">
        <v>658</v>
      </c>
      <c r="K556" s="137"/>
      <c r="L556" s="137"/>
      <c r="M556" s="137"/>
      <c r="N556" s="137"/>
      <c r="O556" s="137" t="s">
        <v>2140</v>
      </c>
      <c r="Q556" s="3">
        <f t="shared" si="9"/>
        <v>5.09</v>
      </c>
    </row>
    <row r="557" spans="1:17" x14ac:dyDescent="0.35">
      <c r="A557" s="137" t="s">
        <v>27</v>
      </c>
      <c r="B557" s="137" t="s">
        <v>367</v>
      </c>
      <c r="C557" s="137" t="s">
        <v>1</v>
      </c>
      <c r="D557" s="137" t="s">
        <v>2</v>
      </c>
      <c r="E557" s="137">
        <v>5.09</v>
      </c>
      <c r="F557" s="137" t="s">
        <v>77</v>
      </c>
      <c r="G557" s="136">
        <v>45722</v>
      </c>
      <c r="H557" s="137" t="s">
        <v>79</v>
      </c>
      <c r="I557" s="137" t="s">
        <v>2279</v>
      </c>
      <c r="J557" s="137" t="s">
        <v>2280</v>
      </c>
      <c r="K557" s="137"/>
      <c r="L557" s="137"/>
      <c r="M557" s="137"/>
      <c r="N557" s="137"/>
      <c r="O557" s="137" t="s">
        <v>2140</v>
      </c>
      <c r="Q557" s="3">
        <f t="shared" si="9"/>
        <v>5.09</v>
      </c>
    </row>
    <row r="558" spans="1:17" x14ac:dyDescent="0.35">
      <c r="A558" s="137" t="s">
        <v>27</v>
      </c>
      <c r="B558" s="137" t="s">
        <v>327</v>
      </c>
      <c r="C558" s="137" t="s">
        <v>1</v>
      </c>
      <c r="D558" s="137" t="s">
        <v>2</v>
      </c>
      <c r="E558" s="137">
        <v>5.09</v>
      </c>
      <c r="F558" s="137" t="s">
        <v>77</v>
      </c>
      <c r="G558" s="136">
        <v>45722</v>
      </c>
      <c r="H558" s="137" t="s">
        <v>79</v>
      </c>
      <c r="I558" s="137" t="s">
        <v>713</v>
      </c>
      <c r="J558" s="137" t="s">
        <v>2281</v>
      </c>
      <c r="K558" s="137"/>
      <c r="L558" s="137"/>
      <c r="M558" s="137"/>
      <c r="N558" s="137"/>
      <c r="O558" s="137" t="s">
        <v>2140</v>
      </c>
      <c r="Q558" s="3">
        <f t="shared" si="9"/>
        <v>5.09</v>
      </c>
    </row>
    <row r="559" spans="1:17" x14ac:dyDescent="0.35">
      <c r="A559" s="137" t="s">
        <v>27</v>
      </c>
      <c r="B559" s="137" t="s">
        <v>327</v>
      </c>
      <c r="C559" s="137" t="s">
        <v>1</v>
      </c>
      <c r="D559" s="137" t="s">
        <v>2</v>
      </c>
      <c r="E559" s="137">
        <v>5.09</v>
      </c>
      <c r="F559" s="137" t="s">
        <v>77</v>
      </c>
      <c r="G559" s="136">
        <v>45744</v>
      </c>
      <c r="H559" s="137" t="s">
        <v>79</v>
      </c>
      <c r="I559" s="137" t="s">
        <v>2382</v>
      </c>
      <c r="J559" s="137" t="s">
        <v>252</v>
      </c>
      <c r="K559" s="137"/>
      <c r="L559" s="137"/>
      <c r="M559" s="137"/>
      <c r="N559" s="137"/>
      <c r="O559" s="137" t="s">
        <v>2140</v>
      </c>
      <c r="Q559" s="3">
        <f t="shared" si="9"/>
        <v>5.09</v>
      </c>
    </row>
    <row r="560" spans="1:17" x14ac:dyDescent="0.35">
      <c r="A560" s="137" t="s">
        <v>27</v>
      </c>
      <c r="B560" s="137" t="s">
        <v>560</v>
      </c>
      <c r="C560" s="137" t="s">
        <v>1</v>
      </c>
      <c r="D560" s="137" t="s">
        <v>2</v>
      </c>
      <c r="E560" s="137">
        <v>4.91</v>
      </c>
      <c r="F560" s="137" t="s">
        <v>77</v>
      </c>
      <c r="G560" s="136">
        <v>45688</v>
      </c>
      <c r="H560" s="137" t="s">
        <v>79</v>
      </c>
      <c r="I560" s="137" t="s">
        <v>552</v>
      </c>
      <c r="J560" s="137" t="s">
        <v>660</v>
      </c>
      <c r="K560" s="137"/>
      <c r="L560" s="137"/>
      <c r="M560" s="137"/>
      <c r="N560" s="137"/>
      <c r="O560" s="137" t="s">
        <v>298</v>
      </c>
      <c r="Q560" s="3">
        <f t="shared" si="9"/>
        <v>4.91</v>
      </c>
    </row>
    <row r="561" spans="1:17" x14ac:dyDescent="0.35">
      <c r="A561" s="137" t="s">
        <v>27</v>
      </c>
      <c r="B561" s="137" t="s">
        <v>355</v>
      </c>
      <c r="C561" s="137" t="s">
        <v>1</v>
      </c>
      <c r="D561" s="137" t="s">
        <v>2</v>
      </c>
      <c r="E561" s="137">
        <v>4.8499999999999996</v>
      </c>
      <c r="F561" s="137" t="s">
        <v>77</v>
      </c>
      <c r="G561" s="136">
        <v>45744</v>
      </c>
      <c r="H561" s="137" t="s">
        <v>79</v>
      </c>
      <c r="I561" s="137" t="s">
        <v>199</v>
      </c>
      <c r="J561" s="137" t="s">
        <v>249</v>
      </c>
      <c r="K561" s="137"/>
      <c r="L561" s="137"/>
      <c r="M561" s="137"/>
      <c r="N561" s="137"/>
      <c r="O561" s="137" t="s">
        <v>267</v>
      </c>
      <c r="Q561" s="3">
        <f t="shared" si="9"/>
        <v>4.8499999999999996</v>
      </c>
    </row>
    <row r="562" spans="1:17" x14ac:dyDescent="0.35">
      <c r="A562" s="137" t="s">
        <v>0</v>
      </c>
      <c r="B562" s="137" t="s">
        <v>666</v>
      </c>
      <c r="C562" s="137" t="s">
        <v>1</v>
      </c>
      <c r="D562" s="137" t="s">
        <v>2</v>
      </c>
      <c r="E562" s="137">
        <v>4.82</v>
      </c>
      <c r="F562" s="137" t="s">
        <v>77</v>
      </c>
      <c r="G562" s="136">
        <v>45712</v>
      </c>
      <c r="H562" s="137" t="s">
        <v>78</v>
      </c>
      <c r="I562" s="137" t="s">
        <v>2079</v>
      </c>
      <c r="J562" s="137"/>
      <c r="K562" s="137" t="s">
        <v>2080</v>
      </c>
      <c r="L562" s="137" t="s">
        <v>2081</v>
      </c>
      <c r="M562" s="137" t="s">
        <v>195</v>
      </c>
      <c r="N562" s="137"/>
      <c r="O562" s="137"/>
      <c r="Q562" s="3">
        <f t="shared" si="9"/>
        <v>4.82</v>
      </c>
    </row>
    <row r="563" spans="1:17" x14ac:dyDescent="0.35">
      <c r="A563" s="137" t="s">
        <v>0</v>
      </c>
      <c r="B563" s="137" t="s">
        <v>666</v>
      </c>
      <c r="C563" s="137" t="s">
        <v>1</v>
      </c>
      <c r="D563" s="137" t="s">
        <v>2</v>
      </c>
      <c r="E563" s="137">
        <v>4.82</v>
      </c>
      <c r="F563" s="137" t="s">
        <v>77</v>
      </c>
      <c r="G563" s="136">
        <v>45726</v>
      </c>
      <c r="H563" s="137" t="s">
        <v>78</v>
      </c>
      <c r="I563" s="137" t="s">
        <v>2089</v>
      </c>
      <c r="J563" s="137"/>
      <c r="K563" s="137" t="s">
        <v>2090</v>
      </c>
      <c r="L563" s="137" t="s">
        <v>2091</v>
      </c>
      <c r="M563" s="137" t="s">
        <v>195</v>
      </c>
      <c r="N563" s="137"/>
      <c r="O563" s="137"/>
      <c r="Q563" s="3">
        <f t="shared" si="9"/>
        <v>4.82</v>
      </c>
    </row>
    <row r="564" spans="1:17" x14ac:dyDescent="0.35">
      <c r="A564" s="137" t="s">
        <v>27</v>
      </c>
      <c r="B564" s="137" t="s">
        <v>399</v>
      </c>
      <c r="C564" s="137" t="s">
        <v>1</v>
      </c>
      <c r="D564" s="137" t="s">
        <v>2</v>
      </c>
      <c r="E564" s="137">
        <v>4.8</v>
      </c>
      <c r="F564" s="137" t="s">
        <v>77</v>
      </c>
      <c r="G564" s="136">
        <v>45684</v>
      </c>
      <c r="H564" s="137" t="s">
        <v>78</v>
      </c>
      <c r="I564" s="137" t="s">
        <v>2161</v>
      </c>
      <c r="J564" s="137"/>
      <c r="K564" s="137" t="s">
        <v>156</v>
      </c>
      <c r="L564" s="137" t="s">
        <v>2431</v>
      </c>
      <c r="M564" s="137" t="s">
        <v>194</v>
      </c>
      <c r="N564" s="137"/>
      <c r="O564" s="137"/>
      <c r="Q564" s="3">
        <f t="shared" si="9"/>
        <v>4.8</v>
      </c>
    </row>
    <row r="565" spans="1:17" x14ac:dyDescent="0.35">
      <c r="A565" s="137" t="s">
        <v>0</v>
      </c>
      <c r="B565" s="137" t="s">
        <v>666</v>
      </c>
      <c r="C565" s="137" t="s">
        <v>1</v>
      </c>
      <c r="D565" s="137" t="s">
        <v>2</v>
      </c>
      <c r="E565" s="137">
        <v>4.79</v>
      </c>
      <c r="F565" s="137" t="s">
        <v>77</v>
      </c>
      <c r="G565" s="136">
        <v>45677</v>
      </c>
      <c r="H565" s="137" t="s">
        <v>78</v>
      </c>
      <c r="I565" s="137" t="s">
        <v>2051</v>
      </c>
      <c r="J565" s="137"/>
      <c r="K565" s="137" t="s">
        <v>735</v>
      </c>
      <c r="L565" s="137" t="s">
        <v>2052</v>
      </c>
      <c r="M565" s="137" t="s">
        <v>195</v>
      </c>
      <c r="Q565" s="3">
        <f t="shared" si="9"/>
        <v>4.79</v>
      </c>
    </row>
    <row r="566" spans="1:17" x14ac:dyDescent="0.35">
      <c r="A566" s="137" t="s">
        <v>27</v>
      </c>
      <c r="B566" s="137" t="s">
        <v>377</v>
      </c>
      <c r="C566" s="137" t="s">
        <v>1</v>
      </c>
      <c r="D566" s="137" t="s">
        <v>2</v>
      </c>
      <c r="E566" s="137">
        <v>4.7300000000000004</v>
      </c>
      <c r="F566" s="137" t="s">
        <v>77</v>
      </c>
      <c r="G566" s="136">
        <v>45685</v>
      </c>
      <c r="H566" s="137" t="s">
        <v>79</v>
      </c>
      <c r="I566" s="137" t="s">
        <v>723</v>
      </c>
      <c r="J566" s="137" t="s">
        <v>210</v>
      </c>
      <c r="K566" s="137"/>
      <c r="L566" s="137"/>
      <c r="M566" s="137"/>
      <c r="N566" s="137"/>
      <c r="O566" s="137" t="s">
        <v>2163</v>
      </c>
      <c r="Q566" s="3">
        <f t="shared" si="9"/>
        <v>4.7300000000000004</v>
      </c>
    </row>
    <row r="567" spans="1:17" x14ac:dyDescent="0.35">
      <c r="A567" s="137" t="s">
        <v>27</v>
      </c>
      <c r="B567" s="137" t="s">
        <v>373</v>
      </c>
      <c r="C567" s="137" t="s">
        <v>1</v>
      </c>
      <c r="D567" s="137" t="s">
        <v>2</v>
      </c>
      <c r="E567" s="137">
        <v>4.7</v>
      </c>
      <c r="F567" s="137" t="s">
        <v>77</v>
      </c>
      <c r="G567" s="136">
        <v>45730</v>
      </c>
      <c r="H567" s="137" t="s">
        <v>79</v>
      </c>
      <c r="I567" s="137" t="s">
        <v>203</v>
      </c>
      <c r="J567" s="137" t="s">
        <v>154</v>
      </c>
      <c r="K567" s="137"/>
      <c r="L567" s="137"/>
      <c r="M567" s="137"/>
      <c r="N567" s="137"/>
      <c r="O567" s="137" t="s">
        <v>269</v>
      </c>
      <c r="Q567" s="3">
        <f t="shared" si="9"/>
        <v>4.7</v>
      </c>
    </row>
    <row r="568" spans="1:17" x14ac:dyDescent="0.35">
      <c r="A568" s="137" t="s">
        <v>27</v>
      </c>
      <c r="B568" s="137" t="s">
        <v>496</v>
      </c>
      <c r="C568" s="137" t="s">
        <v>1</v>
      </c>
      <c r="D568" s="137" t="s">
        <v>2</v>
      </c>
      <c r="E568" s="137">
        <v>4.5999999999999996</v>
      </c>
      <c r="F568" s="137" t="s">
        <v>77</v>
      </c>
      <c r="G568" s="136">
        <v>45681</v>
      </c>
      <c r="H568" s="137" t="s">
        <v>79</v>
      </c>
      <c r="I568" s="137" t="s">
        <v>233</v>
      </c>
      <c r="J568" s="137" t="s">
        <v>210</v>
      </c>
      <c r="K568" s="137"/>
      <c r="L568" s="137"/>
      <c r="M568" s="137"/>
      <c r="N568" s="137"/>
      <c r="O568" s="137" t="s">
        <v>292</v>
      </c>
      <c r="Q568" s="3">
        <f t="shared" si="9"/>
        <v>4.5999999999999996</v>
      </c>
    </row>
    <row r="569" spans="1:17" x14ac:dyDescent="0.35">
      <c r="A569" s="137" t="s">
        <v>0</v>
      </c>
      <c r="B569" s="137" t="s">
        <v>399</v>
      </c>
      <c r="C569" s="137" t="s">
        <v>1</v>
      </c>
      <c r="D569" s="137" t="s">
        <v>2</v>
      </c>
      <c r="E569" s="137">
        <v>4.5</v>
      </c>
      <c r="F569" s="137" t="s">
        <v>77</v>
      </c>
      <c r="G569" s="136">
        <v>45695</v>
      </c>
      <c r="H569" s="137" t="s">
        <v>78</v>
      </c>
      <c r="I569" s="137" t="s">
        <v>2067</v>
      </c>
      <c r="J569" s="137"/>
      <c r="K569" s="137" t="s">
        <v>156</v>
      </c>
      <c r="L569" s="137" t="s">
        <v>2404</v>
      </c>
      <c r="M569" s="137" t="s">
        <v>194</v>
      </c>
      <c r="N569" s="137"/>
      <c r="O569" s="137"/>
      <c r="Q569" s="3">
        <f t="shared" si="9"/>
        <v>4.5</v>
      </c>
    </row>
    <row r="570" spans="1:17" x14ac:dyDescent="0.35">
      <c r="A570" s="137" t="s">
        <v>0</v>
      </c>
      <c r="B570" s="137" t="s">
        <v>399</v>
      </c>
      <c r="C570" s="137" t="s">
        <v>1</v>
      </c>
      <c r="D570" s="137" t="s">
        <v>2</v>
      </c>
      <c r="E570" s="137">
        <v>4.5</v>
      </c>
      <c r="F570" s="137" t="s">
        <v>77</v>
      </c>
      <c r="G570" s="136">
        <v>45712</v>
      </c>
      <c r="H570" s="137" t="s">
        <v>78</v>
      </c>
      <c r="I570" s="137" t="s">
        <v>2078</v>
      </c>
      <c r="J570" s="137"/>
      <c r="K570" s="137" t="s">
        <v>156</v>
      </c>
      <c r="L570" s="137" t="s">
        <v>2409</v>
      </c>
      <c r="M570" s="137" t="s">
        <v>194</v>
      </c>
      <c r="Q570" s="3">
        <f t="shared" si="9"/>
        <v>4.5</v>
      </c>
    </row>
    <row r="571" spans="1:17" x14ac:dyDescent="0.35">
      <c r="A571" s="137" t="s">
        <v>0</v>
      </c>
      <c r="B571" s="137" t="s">
        <v>399</v>
      </c>
      <c r="C571" s="137" t="s">
        <v>1</v>
      </c>
      <c r="D571" s="137" t="s">
        <v>2</v>
      </c>
      <c r="E571" s="137">
        <v>4.5</v>
      </c>
      <c r="F571" s="137" t="s">
        <v>77</v>
      </c>
      <c r="G571" s="136">
        <v>45720</v>
      </c>
      <c r="H571" s="137" t="s">
        <v>78</v>
      </c>
      <c r="I571" s="137" t="s">
        <v>2084</v>
      </c>
      <c r="J571" s="137"/>
      <c r="K571" s="137" t="s">
        <v>156</v>
      </c>
      <c r="L571" s="137" t="s">
        <v>2410</v>
      </c>
      <c r="M571" s="137" t="s">
        <v>194</v>
      </c>
      <c r="N571" s="137"/>
      <c r="O571" s="137"/>
      <c r="Q571" s="3">
        <f t="shared" si="9"/>
        <v>4.5</v>
      </c>
    </row>
    <row r="572" spans="1:17" x14ac:dyDescent="0.35">
      <c r="A572" s="137" t="s">
        <v>0</v>
      </c>
      <c r="B572" s="137" t="s">
        <v>399</v>
      </c>
      <c r="C572" s="137" t="s">
        <v>1</v>
      </c>
      <c r="D572" s="137" t="s">
        <v>2</v>
      </c>
      <c r="E572" s="137">
        <v>4.5</v>
      </c>
      <c r="F572" s="137" t="s">
        <v>77</v>
      </c>
      <c r="G572" s="136">
        <v>45723</v>
      </c>
      <c r="H572" s="137" t="s">
        <v>78</v>
      </c>
      <c r="I572" s="137" t="s">
        <v>2086</v>
      </c>
      <c r="J572" s="137"/>
      <c r="K572" s="137" t="s">
        <v>156</v>
      </c>
      <c r="L572" s="137" t="s">
        <v>2412</v>
      </c>
      <c r="M572" s="137" t="s">
        <v>194</v>
      </c>
      <c r="N572" s="31"/>
      <c r="O572" s="31"/>
      <c r="Q572" s="3">
        <f t="shared" si="9"/>
        <v>4.5</v>
      </c>
    </row>
    <row r="573" spans="1:17" x14ac:dyDescent="0.35">
      <c r="A573" s="137" t="s">
        <v>27</v>
      </c>
      <c r="B573" s="137" t="s">
        <v>399</v>
      </c>
      <c r="C573" s="137" t="s">
        <v>1</v>
      </c>
      <c r="D573" s="137" t="s">
        <v>2</v>
      </c>
      <c r="E573" s="137">
        <v>4.5</v>
      </c>
      <c r="F573" s="137" t="s">
        <v>77</v>
      </c>
      <c r="G573" s="136">
        <v>45664</v>
      </c>
      <c r="H573" s="137" t="s">
        <v>78</v>
      </c>
      <c r="I573" s="137" t="s">
        <v>2111</v>
      </c>
      <c r="J573" s="137"/>
      <c r="K573" s="137" t="s">
        <v>193</v>
      </c>
      <c r="L573" s="137" t="s">
        <v>2421</v>
      </c>
      <c r="M573" s="137" t="s">
        <v>194</v>
      </c>
      <c r="N573" s="137"/>
      <c r="O573" s="137"/>
      <c r="Q573" s="3">
        <f t="shared" si="9"/>
        <v>4.5</v>
      </c>
    </row>
    <row r="574" spans="1:17" x14ac:dyDescent="0.35">
      <c r="A574" s="137" t="s">
        <v>27</v>
      </c>
      <c r="B574" s="137" t="s">
        <v>430</v>
      </c>
      <c r="C574" s="137" t="s">
        <v>1</v>
      </c>
      <c r="D574" s="137" t="s">
        <v>2</v>
      </c>
      <c r="E574" s="137">
        <v>4.2</v>
      </c>
      <c r="F574" s="137" t="s">
        <v>77</v>
      </c>
      <c r="G574" s="136">
        <v>45714</v>
      </c>
      <c r="H574" s="137" t="s">
        <v>79</v>
      </c>
      <c r="I574" s="137" t="s">
        <v>244</v>
      </c>
      <c r="J574" s="137" t="s">
        <v>171</v>
      </c>
      <c r="K574" s="137"/>
      <c r="L574" s="137"/>
      <c r="M574" s="137"/>
      <c r="N574" s="137"/>
      <c r="O574" s="137" t="s">
        <v>741</v>
      </c>
      <c r="Q574" s="3">
        <f t="shared" si="9"/>
        <v>4.2</v>
      </c>
    </row>
    <row r="575" spans="1:17" x14ac:dyDescent="0.35">
      <c r="A575" s="137" t="s">
        <v>0</v>
      </c>
      <c r="B575" s="137" t="s">
        <v>664</v>
      </c>
      <c r="C575" s="137" t="s">
        <v>1</v>
      </c>
      <c r="D575" s="137" t="s">
        <v>2</v>
      </c>
      <c r="E575" s="137">
        <v>4.1500000000000004</v>
      </c>
      <c r="F575" s="137" t="s">
        <v>77</v>
      </c>
      <c r="G575" s="136">
        <v>45712</v>
      </c>
      <c r="H575" s="137" t="s">
        <v>78</v>
      </c>
      <c r="I575" s="137" t="s">
        <v>2079</v>
      </c>
      <c r="J575" s="137"/>
      <c r="K575" s="137" t="s">
        <v>2080</v>
      </c>
      <c r="L575" s="137" t="s">
        <v>2081</v>
      </c>
      <c r="M575" s="137" t="s">
        <v>195</v>
      </c>
      <c r="N575" s="137"/>
      <c r="O575" s="137"/>
      <c r="Q575" s="3">
        <f t="shared" si="9"/>
        <v>4.1500000000000004</v>
      </c>
    </row>
    <row r="576" spans="1:17" x14ac:dyDescent="0.35">
      <c r="A576" s="137" t="s">
        <v>0</v>
      </c>
      <c r="B576" s="137" t="s">
        <v>664</v>
      </c>
      <c r="C576" s="137" t="s">
        <v>1</v>
      </c>
      <c r="D576" s="137" t="s">
        <v>2</v>
      </c>
      <c r="E576" s="137">
        <v>4.1500000000000004</v>
      </c>
      <c r="F576" s="137" t="s">
        <v>77</v>
      </c>
      <c r="G576" s="136">
        <v>45726</v>
      </c>
      <c r="H576" s="137" t="s">
        <v>78</v>
      </c>
      <c r="I576" s="137" t="s">
        <v>2089</v>
      </c>
      <c r="J576" s="137"/>
      <c r="K576" s="137" t="s">
        <v>2090</v>
      </c>
      <c r="L576" s="137" t="s">
        <v>2091</v>
      </c>
      <c r="M576" s="137" t="s">
        <v>195</v>
      </c>
      <c r="N576" s="137"/>
      <c r="O576" s="137"/>
      <c r="Q576" s="3">
        <f t="shared" si="9"/>
        <v>4.1500000000000004</v>
      </c>
    </row>
    <row r="577" spans="1:32" x14ac:dyDescent="0.35">
      <c r="A577" s="137" t="s">
        <v>0</v>
      </c>
      <c r="B577" s="137" t="s">
        <v>664</v>
      </c>
      <c r="C577" s="137" t="s">
        <v>1</v>
      </c>
      <c r="D577" s="137" t="s">
        <v>2</v>
      </c>
      <c r="E577" s="137">
        <v>4.12</v>
      </c>
      <c r="F577" s="137" t="s">
        <v>77</v>
      </c>
      <c r="G577" s="136">
        <v>45677</v>
      </c>
      <c r="H577" s="137" t="s">
        <v>78</v>
      </c>
      <c r="I577" s="137" t="s">
        <v>2051</v>
      </c>
      <c r="J577" s="137"/>
      <c r="K577" s="137" t="s">
        <v>735</v>
      </c>
      <c r="L577" s="137" t="s">
        <v>2052</v>
      </c>
      <c r="M577" s="137" t="s">
        <v>195</v>
      </c>
      <c r="N577" s="137"/>
      <c r="O577" s="137"/>
      <c r="Q577" s="3">
        <f t="shared" si="9"/>
        <v>4.12</v>
      </c>
    </row>
    <row r="578" spans="1:32" x14ac:dyDescent="0.35">
      <c r="A578" s="137" t="s">
        <v>27</v>
      </c>
      <c r="B578" s="137" t="s">
        <v>377</v>
      </c>
      <c r="C578" s="137" t="s">
        <v>1</v>
      </c>
      <c r="D578" s="137" t="s">
        <v>2</v>
      </c>
      <c r="E578" s="137">
        <v>3.95</v>
      </c>
      <c r="F578" s="137" t="s">
        <v>77</v>
      </c>
      <c r="G578" s="136">
        <v>45674</v>
      </c>
      <c r="H578" s="137" t="s">
        <v>79</v>
      </c>
      <c r="I578" s="137" t="s">
        <v>515</v>
      </c>
      <c r="J578" s="137" t="s">
        <v>210</v>
      </c>
      <c r="K578" s="137"/>
      <c r="L578" s="137"/>
      <c r="M578" s="137"/>
      <c r="N578" s="137"/>
      <c r="O578" s="137" t="s">
        <v>692</v>
      </c>
      <c r="Q578" s="3">
        <f t="shared" si="9"/>
        <v>3.95</v>
      </c>
    </row>
    <row r="579" spans="1:32" x14ac:dyDescent="0.35">
      <c r="A579" s="137" t="s">
        <v>27</v>
      </c>
      <c r="B579" s="137" t="s">
        <v>339</v>
      </c>
      <c r="C579" s="137" t="s">
        <v>1</v>
      </c>
      <c r="D579" s="137" t="s">
        <v>2</v>
      </c>
      <c r="E579" s="137">
        <v>3.95</v>
      </c>
      <c r="F579" s="137" t="s">
        <v>77</v>
      </c>
      <c r="G579" s="136">
        <v>45678</v>
      </c>
      <c r="H579" s="137" t="s">
        <v>79</v>
      </c>
      <c r="I579" s="137" t="s">
        <v>729</v>
      </c>
      <c r="J579" s="137" t="s">
        <v>732</v>
      </c>
      <c r="K579" s="137"/>
      <c r="L579" s="137"/>
      <c r="M579" s="137"/>
      <c r="N579" s="137"/>
      <c r="O579" s="137" t="s">
        <v>2147</v>
      </c>
      <c r="Q579" s="3">
        <f t="shared" si="9"/>
        <v>3.95</v>
      </c>
    </row>
    <row r="580" spans="1:32" x14ac:dyDescent="0.35">
      <c r="A580" s="137" t="s">
        <v>27</v>
      </c>
      <c r="B580" s="137" t="s">
        <v>529</v>
      </c>
      <c r="C580" s="137" t="s">
        <v>1</v>
      </c>
      <c r="D580" s="137" t="s">
        <v>2</v>
      </c>
      <c r="E580" s="137">
        <v>3.95</v>
      </c>
      <c r="F580" s="137" t="s">
        <v>77</v>
      </c>
      <c r="G580" s="136">
        <v>45720</v>
      </c>
      <c r="H580" s="137" t="s">
        <v>79</v>
      </c>
      <c r="I580" s="137" t="s">
        <v>236</v>
      </c>
      <c r="J580" s="137" t="s">
        <v>210</v>
      </c>
      <c r="K580" s="137"/>
      <c r="L580" s="137"/>
      <c r="M580" s="137"/>
      <c r="N580" s="137"/>
      <c r="O580" s="137" t="s">
        <v>281</v>
      </c>
      <c r="Q580" s="3">
        <f t="shared" si="9"/>
        <v>3.95</v>
      </c>
    </row>
    <row r="581" spans="1:32" x14ac:dyDescent="0.35">
      <c r="A581" s="137" t="s">
        <v>27</v>
      </c>
      <c r="B581" s="137" t="s">
        <v>321</v>
      </c>
      <c r="C581" s="137" t="s">
        <v>1</v>
      </c>
      <c r="D581" s="137" t="s">
        <v>2</v>
      </c>
      <c r="E581" s="137">
        <v>3.95</v>
      </c>
      <c r="F581" s="137" t="s">
        <v>77</v>
      </c>
      <c r="G581" s="136">
        <v>45726</v>
      </c>
      <c r="H581" s="137" t="s">
        <v>79</v>
      </c>
      <c r="I581" s="137" t="s">
        <v>213</v>
      </c>
      <c r="J581" s="137" t="s">
        <v>214</v>
      </c>
      <c r="K581" s="137"/>
      <c r="L581" s="137"/>
      <c r="M581" s="137"/>
      <c r="N581" s="137"/>
      <c r="O581" s="137" t="s">
        <v>282</v>
      </c>
      <c r="Q581" s="3">
        <f t="shared" si="9"/>
        <v>3.95</v>
      </c>
    </row>
    <row r="582" spans="1:32" x14ac:dyDescent="0.35">
      <c r="A582" s="137" t="s">
        <v>27</v>
      </c>
      <c r="B582" s="137" t="s">
        <v>430</v>
      </c>
      <c r="C582" s="137" t="s">
        <v>1</v>
      </c>
      <c r="D582" s="137" t="s">
        <v>2</v>
      </c>
      <c r="E582" s="137">
        <v>3.82</v>
      </c>
      <c r="F582" s="137" t="s">
        <v>77</v>
      </c>
      <c r="G582" s="136">
        <v>45742</v>
      </c>
      <c r="H582" s="137" t="s">
        <v>79</v>
      </c>
      <c r="I582" s="137" t="s">
        <v>717</v>
      </c>
      <c r="J582" s="137" t="s">
        <v>154</v>
      </c>
      <c r="K582" s="137"/>
      <c r="L582" s="137"/>
      <c r="M582" s="137"/>
      <c r="N582" s="137"/>
      <c r="O582" s="137" t="s">
        <v>741</v>
      </c>
      <c r="Q582" s="3">
        <f t="shared" si="9"/>
        <v>3.82</v>
      </c>
    </row>
    <row r="583" spans="1:32" x14ac:dyDescent="0.35">
      <c r="A583" s="137" t="s">
        <v>0</v>
      </c>
      <c r="B583" s="137" t="s">
        <v>610</v>
      </c>
      <c r="C583" s="137" t="s">
        <v>1</v>
      </c>
      <c r="D583" s="137" t="s">
        <v>2</v>
      </c>
      <c r="E583" s="137">
        <v>3.74</v>
      </c>
      <c r="F583" s="137" t="s">
        <v>77</v>
      </c>
      <c r="G583" s="136">
        <v>45712</v>
      </c>
      <c r="H583" s="137" t="s">
        <v>78</v>
      </c>
      <c r="I583" s="137" t="s">
        <v>2079</v>
      </c>
      <c r="J583" s="137"/>
      <c r="K583" s="137" t="s">
        <v>2080</v>
      </c>
      <c r="L583" s="137" t="s">
        <v>2081</v>
      </c>
      <c r="M583" s="137" t="s">
        <v>195</v>
      </c>
      <c r="N583" s="81"/>
      <c r="O583" s="81"/>
      <c r="P583" s="79"/>
      <c r="Q583" s="3">
        <f t="shared" si="9"/>
        <v>3.74</v>
      </c>
      <c r="R583" s="78"/>
      <c r="T583" s="81"/>
      <c r="U583" s="81"/>
      <c r="W583" s="81"/>
      <c r="X583" s="81"/>
      <c r="Y583" s="81"/>
      <c r="Z583" s="81"/>
      <c r="AA583" s="81"/>
      <c r="AB583" s="81"/>
      <c r="AC583" s="81"/>
      <c r="AD583" s="81"/>
      <c r="AE583" s="81"/>
      <c r="AF583" s="81"/>
    </row>
    <row r="584" spans="1:32" x14ac:dyDescent="0.35">
      <c r="A584" s="137" t="s">
        <v>0</v>
      </c>
      <c r="B584" s="137" t="s">
        <v>610</v>
      </c>
      <c r="C584" s="137" t="s">
        <v>1</v>
      </c>
      <c r="D584" s="137" t="s">
        <v>2</v>
      </c>
      <c r="E584" s="137">
        <v>3.74</v>
      </c>
      <c r="F584" s="137" t="s">
        <v>77</v>
      </c>
      <c r="G584" s="136">
        <v>45726</v>
      </c>
      <c r="H584" s="137" t="s">
        <v>78</v>
      </c>
      <c r="I584" s="137" t="s">
        <v>2089</v>
      </c>
      <c r="J584" s="137"/>
      <c r="K584" s="137" t="s">
        <v>2090</v>
      </c>
      <c r="L584" s="137" t="s">
        <v>2091</v>
      </c>
      <c r="M584" s="137" t="s">
        <v>195</v>
      </c>
      <c r="N584" s="137"/>
      <c r="O584" s="137"/>
      <c r="Q584" s="3">
        <f t="shared" ref="Q584:Q594" si="10">ABS(E584)</f>
        <v>3.74</v>
      </c>
    </row>
    <row r="585" spans="1:32" x14ac:dyDescent="0.35">
      <c r="A585" s="137" t="s">
        <v>0</v>
      </c>
      <c r="B585" s="137" t="s">
        <v>610</v>
      </c>
      <c r="C585" s="137" t="s">
        <v>1</v>
      </c>
      <c r="D585" s="137" t="s">
        <v>2</v>
      </c>
      <c r="E585" s="137">
        <v>3.68</v>
      </c>
      <c r="F585" s="137" t="s">
        <v>77</v>
      </c>
      <c r="G585" s="136">
        <v>45677</v>
      </c>
      <c r="H585" s="137" t="s">
        <v>78</v>
      </c>
      <c r="I585" s="137" t="s">
        <v>2051</v>
      </c>
      <c r="J585" s="137"/>
      <c r="K585" s="137" t="s">
        <v>735</v>
      </c>
      <c r="L585" s="137" t="s">
        <v>2052</v>
      </c>
      <c r="M585" s="137" t="s">
        <v>195</v>
      </c>
      <c r="N585" s="137"/>
      <c r="O585" s="137"/>
      <c r="Q585" s="3">
        <f t="shared" si="10"/>
        <v>3.68</v>
      </c>
    </row>
    <row r="586" spans="1:32" x14ac:dyDescent="0.35">
      <c r="A586" s="137" t="s">
        <v>27</v>
      </c>
      <c r="B586" s="137" t="s">
        <v>530</v>
      </c>
      <c r="C586" s="137" t="s">
        <v>1</v>
      </c>
      <c r="D586" s="137" t="s">
        <v>2</v>
      </c>
      <c r="E586" s="137">
        <v>3.64</v>
      </c>
      <c r="F586" s="137" t="s">
        <v>77</v>
      </c>
      <c r="G586" s="136">
        <v>45685</v>
      </c>
      <c r="H586" s="137" t="s">
        <v>79</v>
      </c>
      <c r="I586" s="137" t="s">
        <v>706</v>
      </c>
      <c r="J586" s="137" t="s">
        <v>669</v>
      </c>
      <c r="K586" s="137"/>
      <c r="L586" s="137"/>
      <c r="M586" s="137"/>
      <c r="N586" s="137"/>
      <c r="O586" s="137" t="s">
        <v>574</v>
      </c>
      <c r="Q586" s="3">
        <f t="shared" si="10"/>
        <v>3.64</v>
      </c>
    </row>
    <row r="587" spans="1:32" x14ac:dyDescent="0.35">
      <c r="A587" s="137" t="s">
        <v>27</v>
      </c>
      <c r="B587" s="137" t="s">
        <v>384</v>
      </c>
      <c r="C587" s="137" t="s">
        <v>1</v>
      </c>
      <c r="D587" s="137" t="s">
        <v>2</v>
      </c>
      <c r="E587" s="137">
        <v>3.59</v>
      </c>
      <c r="F587" s="137" t="s">
        <v>77</v>
      </c>
      <c r="G587" s="136">
        <v>45677</v>
      </c>
      <c r="H587" s="137" t="s">
        <v>79</v>
      </c>
      <c r="I587" s="137" t="s">
        <v>260</v>
      </c>
      <c r="J587" s="137" t="s">
        <v>210</v>
      </c>
      <c r="K587" s="137"/>
      <c r="L587" s="137"/>
      <c r="M587" s="137"/>
      <c r="N587" s="137"/>
      <c r="O587" s="137" t="s">
        <v>289</v>
      </c>
      <c r="Q587" s="3">
        <f t="shared" si="10"/>
        <v>3.59</v>
      </c>
    </row>
    <row r="588" spans="1:32" x14ac:dyDescent="0.35">
      <c r="A588" s="137" t="s">
        <v>27</v>
      </c>
      <c r="B588" s="137" t="s">
        <v>329</v>
      </c>
      <c r="C588" s="137" t="s">
        <v>1</v>
      </c>
      <c r="D588" s="137" t="s">
        <v>2</v>
      </c>
      <c r="E588" s="137">
        <v>3.36</v>
      </c>
      <c r="F588" s="137" t="s">
        <v>77</v>
      </c>
      <c r="G588" s="136">
        <v>45705</v>
      </c>
      <c r="H588" s="137" t="s">
        <v>79</v>
      </c>
      <c r="I588" s="137" t="s">
        <v>2229</v>
      </c>
      <c r="J588" s="137" t="s">
        <v>2230</v>
      </c>
      <c r="K588" s="137"/>
      <c r="L588" s="137"/>
      <c r="M588" s="137"/>
      <c r="N588" s="137"/>
      <c r="O588" s="137" t="s">
        <v>276</v>
      </c>
      <c r="Q588" s="3">
        <f t="shared" si="10"/>
        <v>3.36</v>
      </c>
    </row>
    <row r="589" spans="1:32" x14ac:dyDescent="0.35">
      <c r="A589" s="137" t="s">
        <v>27</v>
      </c>
      <c r="B589" s="137" t="s">
        <v>377</v>
      </c>
      <c r="C589" s="137" t="s">
        <v>1</v>
      </c>
      <c r="D589" s="137" t="s">
        <v>2</v>
      </c>
      <c r="E589" s="137">
        <v>3.18</v>
      </c>
      <c r="F589" s="137" t="s">
        <v>77</v>
      </c>
      <c r="G589" s="136">
        <v>45720</v>
      </c>
      <c r="H589" s="137" t="s">
        <v>79</v>
      </c>
      <c r="I589" s="137" t="s">
        <v>723</v>
      </c>
      <c r="J589" s="137" t="s">
        <v>210</v>
      </c>
      <c r="K589" s="137"/>
      <c r="L589" s="137"/>
      <c r="M589" s="137"/>
      <c r="N589" s="137"/>
      <c r="O589" s="137" t="s">
        <v>2163</v>
      </c>
      <c r="Q589" s="3">
        <f t="shared" si="10"/>
        <v>3.18</v>
      </c>
    </row>
    <row r="590" spans="1:32" x14ac:dyDescent="0.35">
      <c r="A590" s="137" t="s">
        <v>27</v>
      </c>
      <c r="B590" s="137" t="s">
        <v>400</v>
      </c>
      <c r="C590" s="137" t="s">
        <v>1</v>
      </c>
      <c r="D590" s="137" t="s">
        <v>2</v>
      </c>
      <c r="E590" s="137">
        <v>2.9</v>
      </c>
      <c r="F590" s="137" t="s">
        <v>77</v>
      </c>
      <c r="G590" s="136">
        <v>45695</v>
      </c>
      <c r="H590" s="137" t="s">
        <v>79</v>
      </c>
      <c r="I590" s="137" t="s">
        <v>2211</v>
      </c>
      <c r="J590" s="137" t="s">
        <v>2212</v>
      </c>
      <c r="K590" s="137"/>
      <c r="L590" s="137"/>
      <c r="M590" s="137"/>
      <c r="N590" s="137"/>
      <c r="O590" s="137" t="s">
        <v>2213</v>
      </c>
      <c r="Q590" s="3">
        <f t="shared" si="10"/>
        <v>2.9</v>
      </c>
    </row>
    <row r="591" spans="1:32" x14ac:dyDescent="0.35">
      <c r="A591" s="137" t="s">
        <v>27</v>
      </c>
      <c r="B591" s="137" t="s">
        <v>377</v>
      </c>
      <c r="C591" s="137" t="s">
        <v>1</v>
      </c>
      <c r="D591" s="137" t="s">
        <v>2</v>
      </c>
      <c r="E591" s="137">
        <v>2.73</v>
      </c>
      <c r="F591" s="137" t="s">
        <v>77</v>
      </c>
      <c r="G591" s="136">
        <v>45664</v>
      </c>
      <c r="H591" s="137" t="s">
        <v>79</v>
      </c>
      <c r="I591" s="137" t="s">
        <v>209</v>
      </c>
      <c r="J591" s="137" t="s">
        <v>210</v>
      </c>
      <c r="K591" s="137"/>
      <c r="L591" s="137"/>
      <c r="M591" s="137"/>
      <c r="N591" s="137"/>
      <c r="O591" s="137" t="s">
        <v>270</v>
      </c>
      <c r="Q591" s="3">
        <f t="shared" si="10"/>
        <v>2.73</v>
      </c>
    </row>
    <row r="592" spans="1:32" x14ac:dyDescent="0.35">
      <c r="A592" s="137" t="s">
        <v>0</v>
      </c>
      <c r="B592" s="137" t="s">
        <v>356</v>
      </c>
      <c r="C592" s="137" t="s">
        <v>1</v>
      </c>
      <c r="D592" s="137" t="s">
        <v>2</v>
      </c>
      <c r="E592" s="137">
        <v>2.52</v>
      </c>
      <c r="F592" s="137" t="s">
        <v>77</v>
      </c>
      <c r="G592" s="136">
        <v>45712</v>
      </c>
      <c r="H592" s="137" t="s">
        <v>78</v>
      </c>
      <c r="I592" s="137" t="s">
        <v>2079</v>
      </c>
      <c r="J592" s="137"/>
      <c r="K592" s="137" t="s">
        <v>2080</v>
      </c>
      <c r="L592" s="137" t="s">
        <v>2081</v>
      </c>
      <c r="M592" s="137" t="s">
        <v>195</v>
      </c>
      <c r="N592" s="137"/>
      <c r="O592" s="137"/>
      <c r="Q592" s="3">
        <f t="shared" si="10"/>
        <v>2.52</v>
      </c>
    </row>
    <row r="593" spans="1:17" x14ac:dyDescent="0.35">
      <c r="A593" s="137" t="s">
        <v>0</v>
      </c>
      <c r="B593" s="137" t="s">
        <v>356</v>
      </c>
      <c r="C593" s="137" t="s">
        <v>1</v>
      </c>
      <c r="D593" s="137" t="s">
        <v>2</v>
      </c>
      <c r="E593" s="137">
        <v>2.52</v>
      </c>
      <c r="F593" s="137" t="s">
        <v>77</v>
      </c>
      <c r="G593" s="136">
        <v>45726</v>
      </c>
      <c r="H593" s="137" t="s">
        <v>78</v>
      </c>
      <c r="I593" s="137" t="s">
        <v>2089</v>
      </c>
      <c r="J593" s="137"/>
      <c r="K593" s="137" t="s">
        <v>2090</v>
      </c>
      <c r="L593" s="137" t="s">
        <v>2091</v>
      </c>
      <c r="M593" s="137" t="s">
        <v>195</v>
      </c>
      <c r="Q593" s="3">
        <f t="shared" si="10"/>
        <v>2.52</v>
      </c>
    </row>
    <row r="594" spans="1:17" x14ac:dyDescent="0.35">
      <c r="A594" s="137" t="s">
        <v>0</v>
      </c>
      <c r="B594" s="137" t="s">
        <v>356</v>
      </c>
      <c r="C594" s="137" t="s">
        <v>1</v>
      </c>
      <c r="D594" s="137" t="s">
        <v>2</v>
      </c>
      <c r="E594" s="137">
        <v>2.4900000000000002</v>
      </c>
      <c r="F594" s="137" t="s">
        <v>77</v>
      </c>
      <c r="G594" s="136">
        <v>45677</v>
      </c>
      <c r="H594" s="137" t="s">
        <v>78</v>
      </c>
      <c r="I594" s="137" t="s">
        <v>2051</v>
      </c>
      <c r="J594" s="137"/>
      <c r="K594" s="137" t="s">
        <v>735</v>
      </c>
      <c r="L594" s="137" t="s">
        <v>2052</v>
      </c>
      <c r="M594" s="137" t="s">
        <v>195</v>
      </c>
      <c r="Q594" s="3">
        <f t="shared" si="10"/>
        <v>2.4900000000000002</v>
      </c>
    </row>
    <row r="595" spans="1:17" x14ac:dyDescent="0.35">
      <c r="A595" s="116"/>
      <c r="B595" s="116"/>
      <c r="C595" s="116"/>
      <c r="D595" s="116"/>
      <c r="E595" s="116"/>
      <c r="F595" s="116"/>
      <c r="G595" s="136"/>
      <c r="H595" s="116"/>
      <c r="I595" s="116"/>
      <c r="J595" s="116"/>
      <c r="K595" s="116"/>
      <c r="L595" s="116"/>
      <c r="M595" s="116"/>
      <c r="N595" s="116"/>
      <c r="O595" s="116"/>
    </row>
    <row r="596" spans="1:17" x14ac:dyDescent="0.35">
      <c r="A596" s="116"/>
      <c r="B596" s="116"/>
      <c r="C596" s="116"/>
      <c r="D596" s="116"/>
      <c r="E596" s="116"/>
      <c r="F596" s="116"/>
      <c r="G596" s="136"/>
      <c r="H596" s="116"/>
      <c r="I596" s="116"/>
      <c r="J596" s="116"/>
      <c r="K596" s="116"/>
      <c r="L596" s="116"/>
      <c r="M596" s="116"/>
      <c r="N596" s="116"/>
      <c r="O596" s="116"/>
    </row>
    <row r="597" spans="1:17" x14ac:dyDescent="0.35">
      <c r="A597" s="116"/>
      <c r="B597" s="116"/>
      <c r="C597" s="116"/>
      <c r="D597" s="116"/>
      <c r="E597" s="116"/>
      <c r="F597" s="116"/>
      <c r="G597" s="136"/>
      <c r="H597" s="116"/>
      <c r="I597" s="116"/>
      <c r="J597" s="116"/>
      <c r="K597" s="116"/>
      <c r="L597" s="116"/>
      <c r="M597" s="116"/>
      <c r="N597" s="116"/>
      <c r="O597" s="116"/>
    </row>
    <row r="598" spans="1:17" x14ac:dyDescent="0.35">
      <c r="A598" s="116"/>
      <c r="B598" s="116"/>
      <c r="C598" s="116"/>
      <c r="D598" s="116"/>
      <c r="E598" s="116"/>
      <c r="F598" s="116"/>
      <c r="G598" s="136"/>
      <c r="H598" s="116"/>
      <c r="I598" s="116"/>
      <c r="J598" s="116"/>
      <c r="K598" s="116"/>
      <c r="L598" s="116"/>
      <c r="M598" s="116"/>
    </row>
    <row r="599" spans="1:17" x14ac:dyDescent="0.35">
      <c r="A599" s="116"/>
      <c r="B599" s="116"/>
      <c r="C599" s="116"/>
      <c r="D599" s="116"/>
      <c r="E599" s="116"/>
      <c r="F599" s="116"/>
      <c r="G599" s="136"/>
      <c r="H599" s="116"/>
      <c r="I599" s="116"/>
      <c r="J599" s="116"/>
      <c r="K599" s="116"/>
      <c r="L599" s="116"/>
      <c r="M599" s="116"/>
      <c r="N599" s="31"/>
      <c r="O599" s="31"/>
    </row>
    <row r="600" spans="1:17" x14ac:dyDescent="0.35">
      <c r="A600" s="116"/>
      <c r="B600" s="116"/>
      <c r="C600" s="116"/>
      <c r="D600" s="116"/>
      <c r="E600" s="116"/>
      <c r="F600" s="116"/>
      <c r="G600" s="136"/>
      <c r="H600" s="116"/>
      <c r="I600" s="116"/>
      <c r="J600" s="116"/>
      <c r="K600" s="116"/>
      <c r="L600" s="116"/>
      <c r="M600" s="116"/>
    </row>
    <row r="601" spans="1:17" x14ac:dyDescent="0.35">
      <c r="A601" s="116"/>
      <c r="B601" s="116"/>
      <c r="C601" s="116"/>
      <c r="D601" s="116"/>
      <c r="E601" s="116"/>
      <c r="F601" s="116"/>
      <c r="G601" s="136"/>
      <c r="H601" s="116"/>
      <c r="I601" s="116"/>
      <c r="J601" s="116"/>
      <c r="K601" s="116"/>
      <c r="L601" s="116"/>
      <c r="M601" s="116"/>
    </row>
    <row r="602" spans="1:17" x14ac:dyDescent="0.35">
      <c r="A602" s="116"/>
      <c r="B602" s="116"/>
      <c r="C602" s="116"/>
      <c r="D602" s="116"/>
      <c r="E602" s="116"/>
      <c r="F602" s="116"/>
      <c r="G602" s="136"/>
      <c r="H602" s="116"/>
      <c r="I602" s="116"/>
      <c r="J602" s="116"/>
      <c r="K602" s="116"/>
      <c r="L602" s="116"/>
      <c r="M602" s="116"/>
    </row>
    <row r="603" spans="1:17" x14ac:dyDescent="0.35">
      <c r="A603" s="116"/>
      <c r="B603" s="116"/>
      <c r="C603" s="116"/>
      <c r="D603" s="116"/>
      <c r="E603" s="116"/>
      <c r="F603" s="116"/>
      <c r="G603" s="136"/>
      <c r="H603" s="116"/>
      <c r="I603" s="116"/>
      <c r="J603" s="116"/>
      <c r="K603" s="116"/>
      <c r="L603" s="116"/>
      <c r="M603" s="116"/>
      <c r="N603" s="116"/>
      <c r="O603" s="116"/>
    </row>
    <row r="604" spans="1:17" x14ac:dyDescent="0.35">
      <c r="A604" s="116"/>
      <c r="B604" s="116"/>
      <c r="C604" s="116"/>
      <c r="D604" s="116"/>
      <c r="E604" s="116"/>
      <c r="F604" s="116"/>
      <c r="G604" s="136"/>
      <c r="H604" s="116"/>
      <c r="I604" s="116"/>
      <c r="J604" s="116"/>
      <c r="K604" s="116"/>
      <c r="L604" s="116"/>
      <c r="M604" s="116"/>
    </row>
    <row r="605" spans="1:17" x14ac:dyDescent="0.35">
      <c r="A605" s="116"/>
      <c r="B605" s="116"/>
      <c r="C605" s="116"/>
      <c r="D605" s="116"/>
      <c r="E605" s="116"/>
      <c r="F605" s="116"/>
      <c r="G605" s="136"/>
      <c r="H605" s="116"/>
      <c r="I605" s="116"/>
      <c r="J605" s="116"/>
      <c r="K605" s="116"/>
      <c r="L605" s="116"/>
      <c r="M605" s="116"/>
    </row>
    <row r="606" spans="1:17" x14ac:dyDescent="0.35">
      <c r="A606" s="116"/>
      <c r="B606" s="116"/>
      <c r="C606" s="116"/>
      <c r="D606" s="116"/>
      <c r="E606" s="116"/>
      <c r="F606" s="116"/>
      <c r="G606" s="136"/>
      <c r="H606" s="116"/>
      <c r="I606" s="116"/>
      <c r="J606" s="116"/>
      <c r="K606" s="116"/>
      <c r="L606" s="116"/>
      <c r="M606" s="116"/>
    </row>
    <row r="607" spans="1:17" x14ac:dyDescent="0.35">
      <c r="A607" s="116"/>
      <c r="B607" s="116"/>
      <c r="C607" s="116"/>
      <c r="D607" s="116"/>
      <c r="E607" s="116"/>
      <c r="F607" s="116"/>
      <c r="G607" s="136"/>
      <c r="H607" s="116"/>
      <c r="I607" s="116"/>
      <c r="J607" s="116"/>
      <c r="K607" s="116"/>
      <c r="L607" s="116"/>
      <c r="M607" s="116"/>
    </row>
    <row r="608" spans="1:17" x14ac:dyDescent="0.35">
      <c r="A608" s="116"/>
      <c r="B608" s="116"/>
      <c r="C608" s="116"/>
      <c r="D608" s="116"/>
      <c r="E608" s="116"/>
      <c r="F608" s="116"/>
      <c r="G608" s="136"/>
      <c r="H608" s="116"/>
      <c r="I608" s="116"/>
      <c r="J608" s="116"/>
      <c r="K608" s="116"/>
      <c r="L608" s="116"/>
      <c r="M608" s="116"/>
      <c r="N608" s="116"/>
      <c r="O608" s="116"/>
    </row>
    <row r="609" spans="1:15" x14ac:dyDescent="0.35">
      <c r="A609" s="116"/>
      <c r="B609" s="116"/>
      <c r="C609" s="116"/>
      <c r="D609" s="116"/>
      <c r="E609" s="116"/>
      <c r="F609" s="116"/>
      <c r="G609" s="136"/>
      <c r="H609" s="116"/>
      <c r="I609" s="116"/>
      <c r="J609" s="116"/>
      <c r="K609" s="116"/>
      <c r="L609" s="116"/>
      <c r="M609" s="116"/>
      <c r="N609" s="31"/>
      <c r="O609" s="31"/>
    </row>
    <row r="610" spans="1:15" x14ac:dyDescent="0.35">
      <c r="A610" s="116"/>
      <c r="B610" s="116"/>
      <c r="C610" s="116"/>
      <c r="D610" s="116"/>
      <c r="E610" s="116"/>
      <c r="F610" s="116"/>
      <c r="G610" s="136"/>
      <c r="H610" s="116"/>
      <c r="I610" s="116"/>
      <c r="J610" s="116"/>
      <c r="K610" s="116"/>
      <c r="L610" s="116"/>
      <c r="M610" s="116"/>
      <c r="N610" s="116"/>
      <c r="O610" s="116"/>
    </row>
    <row r="611" spans="1:15" x14ac:dyDescent="0.35">
      <c r="A611" s="116"/>
      <c r="B611" s="116"/>
      <c r="C611" s="116"/>
      <c r="D611" s="116"/>
      <c r="E611" s="116"/>
      <c r="F611" s="116"/>
      <c r="G611" s="136"/>
      <c r="H611" s="116"/>
      <c r="I611" s="116"/>
      <c r="J611" s="116"/>
      <c r="K611" s="116"/>
      <c r="L611" s="116"/>
      <c r="M611" s="116"/>
      <c r="N611" s="116"/>
      <c r="O611" s="116"/>
    </row>
    <row r="612" spans="1:15" x14ac:dyDescent="0.35">
      <c r="A612" s="116"/>
      <c r="B612" s="116"/>
      <c r="C612" s="116"/>
      <c r="D612" s="116"/>
      <c r="E612" s="116"/>
      <c r="F612" s="116"/>
      <c r="G612" s="136"/>
      <c r="H612" s="116"/>
      <c r="I612" s="116"/>
      <c r="J612" s="116"/>
      <c r="K612" s="116"/>
      <c r="L612" s="116"/>
      <c r="M612" s="116"/>
      <c r="N612" s="116"/>
      <c r="O612" s="116"/>
    </row>
    <row r="613" spans="1:15" x14ac:dyDescent="0.35">
      <c r="A613" s="116"/>
      <c r="B613" s="116"/>
      <c r="C613" s="116"/>
      <c r="D613" s="116"/>
      <c r="E613" s="116"/>
      <c r="F613" s="116"/>
      <c r="G613" s="136"/>
      <c r="H613" s="116"/>
      <c r="I613" s="116"/>
      <c r="J613" s="116"/>
      <c r="K613" s="116"/>
      <c r="L613" s="116"/>
      <c r="M613" s="116"/>
      <c r="N613" s="116"/>
      <c r="O613" s="116"/>
    </row>
    <row r="614" spans="1:15" x14ac:dyDescent="0.35">
      <c r="A614" s="116"/>
      <c r="B614" s="116"/>
      <c r="C614" s="116"/>
      <c r="D614" s="116"/>
      <c r="E614" s="116"/>
      <c r="F614" s="116"/>
      <c r="G614" s="136"/>
      <c r="H614" s="116"/>
      <c r="I614" s="116"/>
      <c r="J614" s="116"/>
      <c r="K614" s="116"/>
      <c r="L614" s="116"/>
      <c r="M614" s="116"/>
      <c r="N614" s="116"/>
      <c r="O614" s="116"/>
    </row>
    <row r="615" spans="1:15" x14ac:dyDescent="0.35">
      <c r="A615" s="116"/>
      <c r="B615" s="116"/>
      <c r="C615" s="116"/>
      <c r="D615" s="116"/>
      <c r="E615" s="116"/>
      <c r="F615" s="116"/>
      <c r="G615" s="136"/>
      <c r="H615" s="116"/>
      <c r="I615" s="116"/>
      <c r="J615" s="116"/>
      <c r="K615" s="116"/>
      <c r="L615" s="116"/>
      <c r="M615" s="116"/>
      <c r="N615" s="116"/>
      <c r="O615" s="116"/>
    </row>
    <row r="616" spans="1:15" x14ac:dyDescent="0.35">
      <c r="A616" s="116"/>
      <c r="B616" s="116"/>
      <c r="C616" s="116"/>
      <c r="D616" s="116"/>
      <c r="E616" s="116"/>
      <c r="F616" s="116"/>
      <c r="G616" s="136"/>
      <c r="H616" s="116"/>
      <c r="I616" s="116"/>
      <c r="J616" s="116"/>
      <c r="K616" s="116"/>
      <c r="L616" s="116"/>
      <c r="M616" s="116"/>
      <c r="N616" s="116"/>
      <c r="O616" s="116"/>
    </row>
    <row r="617" spans="1:15" x14ac:dyDescent="0.35">
      <c r="A617" s="116"/>
      <c r="B617" s="116"/>
      <c r="C617" s="116"/>
      <c r="D617" s="116"/>
      <c r="E617" s="116"/>
      <c r="F617" s="116"/>
      <c r="G617" s="136"/>
      <c r="H617" s="116"/>
      <c r="I617" s="116"/>
      <c r="J617" s="116"/>
      <c r="K617" s="116"/>
      <c r="L617" s="116"/>
      <c r="M617" s="116"/>
      <c r="N617" s="116"/>
      <c r="O617" s="116"/>
    </row>
    <row r="618" spans="1:15" x14ac:dyDescent="0.35">
      <c r="A618" s="116"/>
      <c r="B618" s="116"/>
      <c r="C618" s="116"/>
      <c r="D618" s="116"/>
      <c r="E618" s="116"/>
      <c r="F618" s="116"/>
      <c r="G618" s="136"/>
      <c r="H618" s="116"/>
      <c r="I618" s="116"/>
      <c r="J618" s="116"/>
      <c r="K618" s="116"/>
      <c r="L618" s="116"/>
      <c r="M618" s="116"/>
      <c r="N618" s="116"/>
      <c r="O618" s="116"/>
    </row>
    <row r="619" spans="1:15" x14ac:dyDescent="0.35">
      <c r="A619" s="116"/>
      <c r="B619" s="116"/>
      <c r="C619" s="116"/>
      <c r="D619" s="116"/>
      <c r="E619" s="116"/>
      <c r="F619" s="116"/>
      <c r="G619" s="136"/>
      <c r="H619" s="116"/>
      <c r="I619" s="116"/>
      <c r="J619" s="116"/>
      <c r="K619" s="116"/>
      <c r="L619" s="116"/>
      <c r="M619" s="116"/>
      <c r="N619" s="116"/>
      <c r="O619" s="116"/>
    </row>
    <row r="620" spans="1:15" x14ac:dyDescent="0.35">
      <c r="A620" s="116"/>
      <c r="B620" s="116"/>
      <c r="C620" s="116"/>
      <c r="D620" s="116"/>
      <c r="E620" s="116"/>
      <c r="F620" s="116"/>
      <c r="G620" s="136"/>
      <c r="H620" s="116"/>
      <c r="I620" s="116"/>
      <c r="J620" s="116"/>
      <c r="K620" s="116"/>
      <c r="L620" s="116"/>
      <c r="M620" s="116"/>
      <c r="N620" s="116"/>
      <c r="O620" s="116"/>
    </row>
    <row r="621" spans="1:15" x14ac:dyDescent="0.35">
      <c r="A621" s="116"/>
      <c r="B621" s="116"/>
      <c r="C621" s="116"/>
      <c r="D621" s="116"/>
      <c r="E621" s="116"/>
      <c r="F621" s="116"/>
      <c r="G621" s="136"/>
      <c r="H621" s="116"/>
      <c r="I621" s="116"/>
      <c r="J621" s="116"/>
      <c r="K621" s="116"/>
      <c r="L621" s="116"/>
      <c r="M621" s="116"/>
      <c r="N621" s="116"/>
      <c r="O621" s="116"/>
    </row>
    <row r="622" spans="1:15" x14ac:dyDescent="0.35">
      <c r="A622" s="116"/>
      <c r="B622" s="116"/>
      <c r="C622" s="116"/>
      <c r="D622" s="116"/>
      <c r="E622" s="116"/>
      <c r="F622" s="116"/>
      <c r="G622" s="136"/>
      <c r="H622" s="116"/>
      <c r="I622" s="116"/>
      <c r="J622" s="116"/>
      <c r="K622" s="116"/>
      <c r="L622" s="116"/>
      <c r="M622" s="116"/>
    </row>
    <row r="623" spans="1:15" x14ac:dyDescent="0.35">
      <c r="A623" s="116"/>
      <c r="B623" s="116"/>
      <c r="C623" s="116"/>
      <c r="D623" s="116"/>
      <c r="E623" s="116"/>
      <c r="F623" s="116"/>
      <c r="G623" s="136"/>
      <c r="H623" s="116"/>
      <c r="I623" s="116"/>
      <c r="J623" s="116"/>
      <c r="K623" s="116"/>
      <c r="L623" s="116"/>
      <c r="M623" s="116"/>
    </row>
    <row r="624" spans="1:15" x14ac:dyDescent="0.35">
      <c r="A624" s="116"/>
      <c r="B624" s="116"/>
      <c r="C624" s="116"/>
      <c r="D624" s="116"/>
      <c r="E624" s="116"/>
      <c r="F624" s="116"/>
      <c r="G624" s="136"/>
      <c r="H624" s="116"/>
      <c r="I624" s="116"/>
      <c r="J624" s="116"/>
      <c r="K624" s="116"/>
      <c r="L624" s="116"/>
      <c r="M624" s="116"/>
    </row>
    <row r="625" spans="1:15" x14ac:dyDescent="0.35">
      <c r="A625" s="116"/>
      <c r="B625" s="116"/>
      <c r="C625" s="116"/>
      <c r="D625" s="116"/>
      <c r="E625" s="116"/>
      <c r="F625" s="116"/>
      <c r="G625" s="136"/>
      <c r="H625" s="116"/>
      <c r="I625" s="116"/>
      <c r="J625" s="116"/>
      <c r="K625" s="116"/>
      <c r="L625" s="116"/>
      <c r="M625" s="116"/>
    </row>
    <row r="626" spans="1:15" x14ac:dyDescent="0.35">
      <c r="A626" s="116"/>
      <c r="B626" s="116"/>
      <c r="C626" s="116"/>
      <c r="D626" s="116"/>
      <c r="E626" s="116"/>
      <c r="F626" s="116"/>
      <c r="G626" s="136"/>
      <c r="H626" s="116"/>
      <c r="I626" s="116"/>
      <c r="J626" s="116"/>
      <c r="K626" s="116"/>
      <c r="L626" s="116"/>
      <c r="M626" s="116"/>
      <c r="N626" s="31"/>
      <c r="O626" s="31"/>
    </row>
    <row r="627" spans="1:15" x14ac:dyDescent="0.35">
      <c r="A627" s="116"/>
      <c r="B627" s="116"/>
      <c r="C627" s="116"/>
      <c r="D627" s="116"/>
      <c r="E627" s="116"/>
      <c r="F627" s="116"/>
      <c r="G627" s="136"/>
      <c r="H627" s="116"/>
      <c r="I627" s="116"/>
      <c r="J627" s="116"/>
      <c r="K627" s="116"/>
      <c r="L627" s="116"/>
      <c r="M627" s="116"/>
      <c r="N627" s="31"/>
      <c r="O627" s="31"/>
    </row>
    <row r="628" spans="1:15" x14ac:dyDescent="0.35">
      <c r="A628" s="116"/>
      <c r="B628" s="116"/>
      <c r="C628" s="116"/>
      <c r="D628" s="116"/>
      <c r="E628" s="116"/>
      <c r="F628" s="116"/>
      <c r="G628" s="136"/>
      <c r="H628" s="116"/>
      <c r="I628" s="116"/>
      <c r="J628" s="116"/>
      <c r="K628" s="116"/>
      <c r="L628" s="116"/>
      <c r="M628" s="116"/>
    </row>
    <row r="629" spans="1:15" x14ac:dyDescent="0.35">
      <c r="A629" s="116"/>
      <c r="B629" s="116"/>
      <c r="C629" s="116"/>
      <c r="D629" s="116"/>
      <c r="E629" s="116"/>
      <c r="F629" s="116"/>
      <c r="G629" s="136"/>
      <c r="H629" s="116"/>
      <c r="I629" s="116"/>
      <c r="J629" s="116"/>
      <c r="K629" s="116"/>
      <c r="L629" s="116"/>
      <c r="M629" s="116"/>
    </row>
    <row r="630" spans="1:15" x14ac:dyDescent="0.35">
      <c r="A630" s="116"/>
      <c r="B630" s="116"/>
      <c r="C630" s="116"/>
      <c r="D630" s="116"/>
      <c r="E630" s="116"/>
      <c r="F630" s="116"/>
      <c r="G630" s="136"/>
      <c r="H630" s="116"/>
      <c r="I630" s="116"/>
      <c r="J630" s="116"/>
      <c r="K630" s="116"/>
      <c r="L630" s="116"/>
      <c r="M630" s="116"/>
    </row>
    <row r="631" spans="1:15" x14ac:dyDescent="0.35">
      <c r="A631" s="116"/>
      <c r="B631" s="116"/>
      <c r="C631" s="116"/>
      <c r="D631" s="116"/>
      <c r="E631" s="116"/>
      <c r="F631" s="116"/>
      <c r="G631" s="136"/>
      <c r="H631" s="116"/>
      <c r="I631" s="116"/>
      <c r="J631" s="116"/>
      <c r="K631" s="116"/>
      <c r="L631" s="116"/>
      <c r="M631" s="116"/>
    </row>
    <row r="632" spans="1:15" x14ac:dyDescent="0.35">
      <c r="A632" s="116"/>
      <c r="B632" s="116"/>
      <c r="C632" s="116"/>
      <c r="D632" s="116"/>
      <c r="E632" s="116"/>
      <c r="F632" s="116"/>
      <c r="G632" s="136"/>
      <c r="H632" s="116"/>
      <c r="I632" s="116"/>
      <c r="J632" s="116"/>
      <c r="K632" s="116"/>
      <c r="L632" s="116"/>
      <c r="M632" s="116"/>
    </row>
    <row r="633" spans="1:15" x14ac:dyDescent="0.35">
      <c r="A633" s="116"/>
      <c r="B633" s="116"/>
      <c r="C633" s="116"/>
      <c r="D633" s="116"/>
      <c r="E633" s="116"/>
      <c r="F633" s="116"/>
      <c r="G633" s="136"/>
      <c r="H633" s="116"/>
      <c r="I633" s="116"/>
      <c r="J633" s="116"/>
      <c r="K633" s="116"/>
      <c r="L633" s="116"/>
      <c r="M633" s="116"/>
      <c r="N633" s="31"/>
      <c r="O633" s="31"/>
    </row>
    <row r="634" spans="1:15" x14ac:dyDescent="0.35">
      <c r="A634" s="116"/>
      <c r="B634" s="116"/>
      <c r="C634" s="116"/>
      <c r="D634" s="116"/>
      <c r="E634" s="116"/>
      <c r="F634" s="116"/>
      <c r="G634" s="136"/>
      <c r="H634" s="116"/>
      <c r="I634" s="116"/>
      <c r="J634" s="116"/>
      <c r="K634" s="116"/>
      <c r="L634" s="116"/>
      <c r="M634" s="116"/>
      <c r="N634" s="116"/>
      <c r="O634" s="116"/>
    </row>
    <row r="635" spans="1:15" x14ac:dyDescent="0.35">
      <c r="A635" s="116"/>
      <c r="B635" s="116"/>
      <c r="C635" s="116"/>
      <c r="D635" s="116"/>
      <c r="E635" s="116"/>
      <c r="F635" s="116"/>
      <c r="G635" s="136"/>
      <c r="H635" s="116"/>
      <c r="I635" s="116"/>
      <c r="J635" s="116"/>
      <c r="K635" s="116"/>
      <c r="L635" s="116"/>
      <c r="M635" s="116"/>
      <c r="N635" s="31"/>
      <c r="O635" s="31"/>
    </row>
    <row r="636" spans="1:15" x14ac:dyDescent="0.35">
      <c r="A636" s="116"/>
      <c r="B636" s="116"/>
      <c r="C636" s="116"/>
      <c r="D636" s="116"/>
      <c r="E636" s="116"/>
      <c r="F636" s="116"/>
      <c r="G636" s="136"/>
      <c r="H636" s="116"/>
      <c r="I636" s="116"/>
      <c r="J636" s="116"/>
      <c r="K636" s="116"/>
      <c r="L636" s="116"/>
      <c r="M636" s="116"/>
    </row>
    <row r="637" spans="1:15" x14ac:dyDescent="0.35">
      <c r="A637" s="116"/>
      <c r="B637" s="116"/>
      <c r="C637" s="116"/>
      <c r="D637" s="116"/>
      <c r="E637" s="116"/>
      <c r="F637" s="116"/>
      <c r="G637" s="136"/>
      <c r="H637" s="116"/>
      <c r="I637" s="116"/>
      <c r="J637" s="116"/>
      <c r="K637" s="116"/>
      <c r="L637" s="116"/>
      <c r="M637" s="116"/>
    </row>
    <row r="638" spans="1:15" x14ac:dyDescent="0.35">
      <c r="A638" s="116"/>
      <c r="B638" s="116"/>
      <c r="C638" s="116"/>
      <c r="D638" s="116"/>
      <c r="E638" s="116"/>
      <c r="F638" s="116"/>
      <c r="G638" s="136"/>
      <c r="H638" s="116"/>
      <c r="I638" s="116"/>
      <c r="J638" s="116"/>
      <c r="K638" s="116"/>
      <c r="L638" s="116"/>
      <c r="M638" s="116"/>
      <c r="N638" s="31"/>
      <c r="O638" s="31"/>
    </row>
    <row r="639" spans="1:15" x14ac:dyDescent="0.35">
      <c r="A639" s="116"/>
      <c r="B639" s="116"/>
      <c r="C639" s="116"/>
      <c r="D639" s="116"/>
      <c r="E639" s="116"/>
      <c r="F639" s="116"/>
      <c r="G639" s="136"/>
      <c r="H639" s="116"/>
      <c r="I639" s="116"/>
      <c r="J639" s="116"/>
      <c r="K639" s="116"/>
      <c r="L639" s="116"/>
      <c r="M639" s="116"/>
    </row>
    <row r="640" spans="1:15" x14ac:dyDescent="0.35">
      <c r="A640" s="116"/>
      <c r="B640" s="116"/>
      <c r="C640" s="116"/>
      <c r="D640" s="116"/>
      <c r="E640" s="116"/>
      <c r="F640" s="116"/>
      <c r="G640" s="136"/>
      <c r="H640" s="116"/>
      <c r="I640" s="116"/>
      <c r="J640" s="116"/>
      <c r="K640" s="116"/>
      <c r="L640" s="116"/>
      <c r="M640" s="116"/>
    </row>
    <row r="641" spans="1:15" x14ac:dyDescent="0.35">
      <c r="A641" s="116"/>
      <c r="B641" s="116"/>
      <c r="C641" s="116"/>
      <c r="D641" s="116"/>
      <c r="E641" s="116"/>
      <c r="F641" s="116"/>
      <c r="G641" s="136"/>
      <c r="H641" s="116"/>
      <c r="I641" s="116"/>
      <c r="J641" s="116"/>
      <c r="K641" s="116"/>
      <c r="L641" s="116"/>
      <c r="M641" s="116"/>
    </row>
    <row r="642" spans="1:15" x14ac:dyDescent="0.35">
      <c r="A642" s="116"/>
      <c r="B642" s="116"/>
      <c r="C642" s="116"/>
      <c r="D642" s="116"/>
      <c r="E642" s="116"/>
      <c r="F642" s="116"/>
      <c r="G642" s="136"/>
      <c r="H642" s="116"/>
      <c r="I642" s="116"/>
      <c r="J642" s="116"/>
      <c r="K642" s="116"/>
      <c r="L642" s="116"/>
      <c r="M642" s="116"/>
      <c r="N642" s="31"/>
      <c r="O642" s="31"/>
    </row>
    <row r="643" spans="1:15" x14ac:dyDescent="0.35">
      <c r="A643" s="116"/>
      <c r="B643" s="116"/>
      <c r="C643" s="116"/>
      <c r="D643" s="116"/>
      <c r="E643" s="116"/>
      <c r="F643" s="116"/>
      <c r="G643" s="136"/>
      <c r="H643" s="116"/>
      <c r="I643" s="116"/>
      <c r="J643" s="116"/>
      <c r="K643" s="116"/>
      <c r="L643" s="116"/>
      <c r="M643" s="116"/>
    </row>
    <row r="644" spans="1:15" x14ac:dyDescent="0.35">
      <c r="A644" s="116"/>
      <c r="B644" s="116"/>
      <c r="C644" s="116"/>
      <c r="D644" s="116"/>
      <c r="E644" s="116"/>
      <c r="F644" s="116"/>
      <c r="G644" s="136"/>
      <c r="H644" s="116"/>
      <c r="I644" s="116"/>
      <c r="J644" s="116"/>
      <c r="K644" s="116"/>
      <c r="L644" s="116"/>
      <c r="M644" s="116"/>
    </row>
    <row r="645" spans="1:15" x14ac:dyDescent="0.35">
      <c r="A645" s="116"/>
      <c r="B645" s="116"/>
      <c r="C645" s="116"/>
      <c r="D645" s="116"/>
      <c r="E645" s="116"/>
      <c r="F645" s="116"/>
      <c r="G645" s="136"/>
      <c r="H645" s="116"/>
      <c r="I645" s="116"/>
      <c r="J645" s="116"/>
      <c r="K645" s="116"/>
      <c r="L645" s="116"/>
      <c r="M645" s="116"/>
    </row>
    <row r="646" spans="1:15" x14ac:dyDescent="0.35">
      <c r="A646" s="116"/>
      <c r="B646" s="116"/>
      <c r="C646" s="116"/>
      <c r="D646" s="116"/>
      <c r="E646" s="116"/>
      <c r="F646" s="116"/>
      <c r="G646" s="136"/>
      <c r="H646" s="116"/>
      <c r="I646" s="116"/>
      <c r="J646" s="116"/>
      <c r="K646" s="116"/>
      <c r="L646" s="116"/>
      <c r="M646" s="116"/>
    </row>
    <row r="647" spans="1:15" x14ac:dyDescent="0.35">
      <c r="A647" s="116"/>
      <c r="B647" s="116"/>
      <c r="C647" s="116"/>
      <c r="D647" s="116"/>
      <c r="E647" s="116"/>
      <c r="F647" s="116"/>
      <c r="G647" s="136"/>
      <c r="H647" s="116"/>
      <c r="I647" s="116"/>
      <c r="J647" s="116"/>
      <c r="K647" s="116"/>
      <c r="L647" s="116"/>
      <c r="M647" s="116"/>
    </row>
    <row r="648" spans="1:15" x14ac:dyDescent="0.35">
      <c r="A648" s="116"/>
      <c r="B648" s="116"/>
      <c r="C648" s="116"/>
      <c r="D648" s="116"/>
      <c r="E648" s="116"/>
      <c r="F648" s="116"/>
      <c r="G648" s="136"/>
      <c r="H648" s="116"/>
      <c r="I648" s="116"/>
      <c r="J648" s="116"/>
      <c r="K648" s="116"/>
      <c r="L648" s="116"/>
      <c r="M648" s="116"/>
      <c r="N648" s="116"/>
      <c r="O648" s="116"/>
    </row>
    <row r="649" spans="1:15" x14ac:dyDescent="0.35">
      <c r="A649" s="116"/>
      <c r="B649" s="116"/>
      <c r="C649" s="116"/>
      <c r="D649" s="116"/>
      <c r="E649" s="116"/>
      <c r="F649" s="116"/>
      <c r="G649" s="136"/>
      <c r="H649" s="116"/>
      <c r="I649" s="116"/>
      <c r="J649" s="116"/>
      <c r="K649" s="116"/>
      <c r="L649" s="116"/>
      <c r="M649" s="116"/>
    </row>
    <row r="650" spans="1:15" x14ac:dyDescent="0.35">
      <c r="A650" s="116"/>
      <c r="B650" s="116"/>
      <c r="C650" s="116"/>
      <c r="D650" s="116"/>
      <c r="E650" s="116"/>
      <c r="F650" s="116"/>
      <c r="G650" s="136"/>
      <c r="H650" s="116"/>
      <c r="I650" s="116"/>
      <c r="J650" s="116"/>
      <c r="K650" s="116"/>
      <c r="L650" s="116"/>
      <c r="M650" s="116"/>
      <c r="N650" s="116"/>
      <c r="O650" s="116"/>
    </row>
    <row r="651" spans="1:15" x14ac:dyDescent="0.35">
      <c r="A651" s="116"/>
      <c r="B651" s="116"/>
      <c r="C651" s="116"/>
      <c r="D651" s="116"/>
      <c r="E651" s="116"/>
      <c r="F651" s="116"/>
      <c r="G651" s="136"/>
      <c r="H651" s="116"/>
      <c r="I651" s="116"/>
      <c r="J651" s="116"/>
      <c r="K651" s="116"/>
      <c r="L651" s="116"/>
      <c r="M651" s="116"/>
      <c r="N651" s="116"/>
      <c r="O651" s="116"/>
    </row>
    <row r="652" spans="1:15" x14ac:dyDescent="0.35">
      <c r="A652" s="116"/>
      <c r="B652" s="116"/>
      <c r="C652" s="116"/>
      <c r="D652" s="116"/>
      <c r="E652" s="116"/>
      <c r="F652" s="116"/>
      <c r="G652" s="136"/>
      <c r="H652" s="116"/>
      <c r="I652" s="116"/>
      <c r="J652" s="116"/>
      <c r="K652" s="116"/>
      <c r="L652" s="116"/>
      <c r="M652" s="116"/>
      <c r="N652" s="31"/>
      <c r="O652" s="31"/>
    </row>
    <row r="653" spans="1:15" x14ac:dyDescent="0.35">
      <c r="A653" s="116"/>
      <c r="B653" s="116"/>
      <c r="C653" s="116"/>
      <c r="D653" s="116"/>
      <c r="E653" s="116"/>
      <c r="F653" s="116"/>
      <c r="G653" s="136"/>
      <c r="H653" s="116"/>
      <c r="I653" s="116"/>
      <c r="J653" s="116"/>
      <c r="K653" s="116"/>
      <c r="L653" s="116"/>
      <c r="M653" s="116"/>
    </row>
    <row r="654" spans="1:15" x14ac:dyDescent="0.35">
      <c r="A654" s="116"/>
      <c r="B654" s="116"/>
      <c r="C654" s="116"/>
      <c r="D654" s="116"/>
      <c r="E654" s="116"/>
      <c r="F654" s="116"/>
      <c r="G654" s="136"/>
      <c r="H654" s="116"/>
      <c r="I654" s="116"/>
      <c r="J654" s="116"/>
      <c r="K654" s="116"/>
      <c r="L654" s="116"/>
      <c r="M654" s="116"/>
    </row>
    <row r="655" spans="1:15" x14ac:dyDescent="0.35">
      <c r="A655" s="116"/>
      <c r="B655" s="116"/>
      <c r="C655" s="116"/>
      <c r="D655" s="116"/>
      <c r="E655" s="116"/>
      <c r="F655" s="116"/>
      <c r="G655" s="136"/>
      <c r="H655" s="116"/>
      <c r="I655" s="116"/>
      <c r="J655" s="116"/>
      <c r="K655" s="116"/>
      <c r="L655" s="116"/>
      <c r="M655" s="116"/>
    </row>
    <row r="656" spans="1:15" x14ac:dyDescent="0.35">
      <c r="A656" s="116"/>
      <c r="B656" s="116"/>
      <c r="C656" s="116"/>
      <c r="D656" s="116"/>
      <c r="E656" s="116"/>
      <c r="F656" s="116"/>
      <c r="G656" s="136"/>
      <c r="H656" s="116"/>
      <c r="I656" s="116"/>
      <c r="J656" s="116"/>
      <c r="K656" s="116"/>
      <c r="L656" s="116"/>
      <c r="M656" s="116"/>
    </row>
    <row r="657" spans="1:15" x14ac:dyDescent="0.35">
      <c r="A657" s="116"/>
      <c r="B657" s="116"/>
      <c r="C657" s="116"/>
      <c r="D657" s="116"/>
      <c r="E657" s="116"/>
      <c r="F657" s="116"/>
      <c r="G657" s="136"/>
      <c r="H657" s="116"/>
      <c r="I657" s="116"/>
      <c r="J657" s="116"/>
      <c r="K657" s="116"/>
      <c r="L657" s="116"/>
      <c r="M657" s="116"/>
    </row>
    <row r="658" spans="1:15" x14ac:dyDescent="0.35">
      <c r="A658" s="116"/>
      <c r="B658" s="116"/>
      <c r="C658" s="116"/>
      <c r="D658" s="116"/>
      <c r="E658" s="116"/>
      <c r="F658" s="116"/>
      <c r="G658" s="136"/>
      <c r="H658" s="116"/>
      <c r="I658" s="116"/>
      <c r="J658" s="116"/>
      <c r="K658" s="116"/>
      <c r="L658" s="116"/>
      <c r="M658" s="116"/>
      <c r="N658" s="116"/>
      <c r="O658" s="116"/>
    </row>
    <row r="659" spans="1:15" x14ac:dyDescent="0.35">
      <c r="A659" s="116"/>
      <c r="B659" s="116"/>
      <c r="C659" s="116"/>
      <c r="D659" s="116"/>
      <c r="E659" s="116"/>
      <c r="F659" s="116"/>
      <c r="G659" s="136"/>
      <c r="H659" s="116"/>
      <c r="I659" s="116"/>
      <c r="J659" s="116"/>
      <c r="K659" s="116"/>
      <c r="L659" s="116"/>
      <c r="M659" s="116"/>
    </row>
    <row r="660" spans="1:15" x14ac:dyDescent="0.35">
      <c r="A660" s="116"/>
      <c r="B660" s="116"/>
      <c r="C660" s="116"/>
      <c r="D660" s="116"/>
      <c r="E660" s="116"/>
      <c r="F660" s="116"/>
      <c r="G660" s="136"/>
      <c r="H660" s="116"/>
      <c r="I660" s="116"/>
      <c r="J660" s="116"/>
      <c r="K660" s="116"/>
      <c r="L660" s="116"/>
      <c r="M660" s="116"/>
      <c r="N660" s="31"/>
      <c r="O660" s="31"/>
    </row>
    <row r="661" spans="1:15" x14ac:dyDescent="0.35">
      <c r="A661" s="116"/>
      <c r="B661" s="116"/>
      <c r="C661" s="116"/>
      <c r="D661" s="116"/>
      <c r="E661" s="116"/>
      <c r="F661" s="116"/>
      <c r="G661" s="136"/>
      <c r="H661" s="116"/>
      <c r="I661" s="116"/>
      <c r="J661" s="116"/>
      <c r="K661" s="116"/>
      <c r="L661" s="116"/>
      <c r="M661" s="116"/>
      <c r="N661" s="116"/>
      <c r="O661" s="116"/>
    </row>
    <row r="662" spans="1:15" x14ac:dyDescent="0.35">
      <c r="A662" s="116"/>
      <c r="B662" s="116"/>
      <c r="C662" s="116"/>
      <c r="D662" s="116"/>
      <c r="E662" s="116"/>
      <c r="F662" s="116"/>
      <c r="G662" s="136"/>
      <c r="H662" s="116"/>
      <c r="I662" s="116"/>
      <c r="J662" s="116"/>
      <c r="K662" s="116"/>
      <c r="L662" s="116"/>
      <c r="M662" s="116"/>
      <c r="N662" s="116"/>
      <c r="O662" s="116"/>
    </row>
    <row r="663" spans="1:15" x14ac:dyDescent="0.35">
      <c r="A663" s="116"/>
      <c r="B663" s="116"/>
      <c r="C663" s="116"/>
      <c r="D663" s="116"/>
      <c r="E663" s="116"/>
      <c r="F663" s="116"/>
      <c r="G663" s="136"/>
      <c r="H663" s="116"/>
      <c r="I663" s="116"/>
      <c r="J663" s="116"/>
      <c r="K663" s="116"/>
      <c r="L663" s="116"/>
      <c r="M663" s="116"/>
    </row>
    <row r="664" spans="1:15" x14ac:dyDescent="0.35">
      <c r="A664" s="116"/>
      <c r="B664" s="116"/>
      <c r="C664" s="116"/>
      <c r="D664" s="116"/>
      <c r="E664" s="116"/>
      <c r="F664" s="116"/>
      <c r="G664" s="136"/>
      <c r="H664" s="116"/>
      <c r="I664" s="116"/>
      <c r="J664" s="116"/>
      <c r="K664" s="116"/>
      <c r="L664" s="116"/>
      <c r="M664" s="116"/>
      <c r="N664" s="31"/>
      <c r="O664" s="31"/>
    </row>
    <row r="665" spans="1:15" x14ac:dyDescent="0.35">
      <c r="A665" s="116"/>
      <c r="B665" s="116"/>
      <c r="C665" s="116"/>
      <c r="D665" s="116"/>
      <c r="E665" s="116"/>
      <c r="F665" s="116"/>
      <c r="G665" s="136"/>
      <c r="H665" s="116"/>
      <c r="I665" s="116"/>
      <c r="J665" s="116"/>
      <c r="K665" s="116"/>
      <c r="L665" s="116"/>
      <c r="M665" s="116"/>
      <c r="N665" s="116"/>
      <c r="O665" s="116"/>
    </row>
    <row r="666" spans="1:15" x14ac:dyDescent="0.35">
      <c r="A666" s="116"/>
      <c r="B666" s="116"/>
      <c r="C666" s="116"/>
      <c r="D666" s="116"/>
      <c r="E666" s="116"/>
      <c r="F666" s="116"/>
      <c r="G666" s="136"/>
      <c r="H666" s="116"/>
      <c r="I666" s="116"/>
      <c r="J666" s="116"/>
      <c r="K666" s="116"/>
      <c r="L666" s="116"/>
      <c r="M666" s="116"/>
      <c r="N666" s="116"/>
      <c r="O666" s="116"/>
    </row>
    <row r="667" spans="1:15" x14ac:dyDescent="0.35">
      <c r="A667" s="116"/>
      <c r="B667" s="116"/>
      <c r="C667" s="116"/>
      <c r="D667" s="116"/>
      <c r="E667" s="116"/>
      <c r="F667" s="116"/>
      <c r="G667" s="136"/>
      <c r="H667" s="116"/>
      <c r="I667" s="116"/>
      <c r="J667" s="116"/>
      <c r="K667" s="116"/>
      <c r="L667" s="116"/>
      <c r="M667" s="116"/>
      <c r="N667" s="116"/>
      <c r="O667" s="116"/>
    </row>
    <row r="668" spans="1:15" x14ac:dyDescent="0.35">
      <c r="A668" s="116"/>
      <c r="B668" s="116"/>
      <c r="C668" s="116"/>
      <c r="D668" s="116"/>
      <c r="E668" s="116"/>
      <c r="F668" s="116"/>
      <c r="G668" s="136"/>
      <c r="H668" s="116"/>
      <c r="I668" s="116"/>
      <c r="J668" s="116"/>
      <c r="K668" s="116"/>
      <c r="L668" s="116"/>
      <c r="M668" s="116"/>
      <c r="N668" s="116"/>
      <c r="O668" s="116"/>
    </row>
    <row r="669" spans="1:15" x14ac:dyDescent="0.35">
      <c r="A669" s="116"/>
      <c r="B669" s="116"/>
      <c r="C669" s="116"/>
      <c r="D669" s="116"/>
      <c r="E669" s="116"/>
      <c r="F669" s="116"/>
      <c r="G669" s="136"/>
      <c r="H669" s="116"/>
      <c r="I669" s="116"/>
      <c r="J669" s="116"/>
      <c r="K669" s="116"/>
      <c r="L669" s="116"/>
      <c r="M669" s="116"/>
      <c r="N669" s="116"/>
      <c r="O669" s="116"/>
    </row>
    <row r="670" spans="1:15" x14ac:dyDescent="0.35">
      <c r="A670" s="116"/>
      <c r="B670" s="116"/>
      <c r="C670" s="116"/>
      <c r="D670" s="116"/>
      <c r="E670" s="116"/>
      <c r="F670" s="116"/>
      <c r="G670" s="136"/>
      <c r="H670" s="116"/>
      <c r="I670" s="116"/>
      <c r="J670" s="116"/>
      <c r="K670" s="116"/>
      <c r="L670" s="116"/>
      <c r="M670" s="116"/>
      <c r="N670" s="116"/>
      <c r="O670" s="116"/>
    </row>
    <row r="671" spans="1:15" x14ac:dyDescent="0.35">
      <c r="A671" s="116"/>
      <c r="B671" s="116"/>
      <c r="C671" s="116"/>
      <c r="D671" s="116"/>
      <c r="E671" s="116"/>
      <c r="F671" s="116"/>
      <c r="G671" s="136"/>
      <c r="H671" s="116"/>
      <c r="I671" s="116"/>
      <c r="J671" s="116"/>
      <c r="K671" s="116"/>
      <c r="L671" s="116"/>
      <c r="M671" s="116"/>
    </row>
    <row r="672" spans="1:15" x14ac:dyDescent="0.35">
      <c r="A672" s="116"/>
      <c r="B672" s="116"/>
      <c r="C672" s="116"/>
      <c r="D672" s="116"/>
      <c r="E672" s="116"/>
      <c r="F672" s="116"/>
      <c r="G672" s="136"/>
      <c r="H672" s="116"/>
      <c r="I672" s="116"/>
      <c r="J672" s="116"/>
      <c r="K672" s="116"/>
      <c r="L672" s="116"/>
      <c r="M672" s="116"/>
    </row>
    <row r="673" spans="1:13" x14ac:dyDescent="0.35">
      <c r="A673" s="116"/>
      <c r="B673" s="116"/>
      <c r="C673" s="116"/>
      <c r="D673" s="116"/>
      <c r="E673" s="116"/>
      <c r="F673" s="116"/>
      <c r="G673" s="136"/>
      <c r="H673" s="116"/>
      <c r="I673" s="116"/>
      <c r="J673" s="116"/>
      <c r="K673" s="116"/>
      <c r="L673" s="116"/>
      <c r="M673" s="116"/>
    </row>
    <row r="674" spans="1:13" x14ac:dyDescent="0.35">
      <c r="A674" s="116"/>
      <c r="B674" s="116"/>
      <c r="C674" s="116"/>
      <c r="D674" s="116"/>
      <c r="E674" s="116"/>
      <c r="F674" s="116"/>
      <c r="G674" s="136"/>
      <c r="H674" s="116"/>
      <c r="I674" s="116"/>
      <c r="J674" s="116"/>
      <c r="K674" s="116"/>
      <c r="L674" s="116"/>
      <c r="M674" s="116"/>
    </row>
    <row r="675" spans="1:13" x14ac:dyDescent="0.35">
      <c r="A675" s="116"/>
      <c r="B675" s="116"/>
      <c r="C675" s="116"/>
      <c r="D675" s="116"/>
      <c r="E675" s="116"/>
      <c r="F675" s="116"/>
      <c r="G675" s="136"/>
      <c r="H675" s="116"/>
      <c r="I675" s="116"/>
      <c r="J675" s="116"/>
      <c r="K675" s="116"/>
      <c r="L675" s="116"/>
      <c r="M675" s="116"/>
    </row>
    <row r="676" spans="1:13" x14ac:dyDescent="0.35">
      <c r="A676" s="116"/>
      <c r="B676" s="116"/>
      <c r="C676" s="116"/>
      <c r="D676" s="116"/>
      <c r="E676" s="116"/>
      <c r="F676" s="116"/>
      <c r="G676" s="136"/>
      <c r="H676" s="116"/>
      <c r="I676" s="116"/>
      <c r="J676" s="116"/>
      <c r="K676" s="116"/>
      <c r="L676" s="116"/>
      <c r="M676" s="116"/>
    </row>
    <row r="677" spans="1:13" x14ac:dyDescent="0.35">
      <c r="A677" s="116"/>
      <c r="B677" s="116"/>
      <c r="C677" s="116"/>
      <c r="D677" s="116"/>
      <c r="E677" s="116"/>
      <c r="F677" s="116"/>
      <c r="G677" s="136"/>
      <c r="H677" s="116"/>
      <c r="I677" s="116"/>
      <c r="J677" s="116"/>
      <c r="K677" s="116"/>
      <c r="L677" s="116"/>
      <c r="M677" s="116"/>
    </row>
    <row r="678" spans="1:13" x14ac:dyDescent="0.35">
      <c r="A678" s="116"/>
      <c r="B678" s="116"/>
      <c r="C678" s="116"/>
      <c r="D678" s="116"/>
      <c r="E678" s="116"/>
      <c r="F678" s="116"/>
      <c r="G678" s="136"/>
      <c r="H678" s="116"/>
      <c r="I678" s="116"/>
      <c r="J678" s="116"/>
      <c r="K678" s="116"/>
      <c r="L678" s="116"/>
      <c r="M678" s="116"/>
    </row>
    <row r="679" spans="1:13" x14ac:dyDescent="0.35">
      <c r="A679" s="116"/>
      <c r="B679" s="116"/>
      <c r="C679" s="116"/>
      <c r="D679" s="116"/>
      <c r="E679" s="116"/>
      <c r="F679" s="116"/>
      <c r="G679" s="136"/>
      <c r="H679" s="116"/>
      <c r="I679" s="116"/>
      <c r="J679" s="116"/>
      <c r="K679" s="116"/>
      <c r="L679" s="116"/>
      <c r="M679" s="116"/>
    </row>
    <row r="680" spans="1:13" x14ac:dyDescent="0.35">
      <c r="A680" s="116"/>
      <c r="B680" s="116"/>
      <c r="C680" s="116"/>
      <c r="D680" s="116"/>
      <c r="E680" s="116"/>
      <c r="F680" s="116"/>
      <c r="G680" s="136"/>
      <c r="H680" s="116"/>
      <c r="I680" s="116"/>
      <c r="J680" s="116"/>
      <c r="K680" s="116"/>
      <c r="L680" s="116"/>
      <c r="M680" s="116"/>
    </row>
    <row r="681" spans="1:13" x14ac:dyDescent="0.35">
      <c r="A681" s="116"/>
      <c r="B681" s="116"/>
      <c r="C681" s="116"/>
      <c r="D681" s="116"/>
      <c r="E681" s="116"/>
      <c r="F681" s="116"/>
      <c r="G681" s="136"/>
      <c r="H681" s="116"/>
      <c r="I681" s="116"/>
      <c r="J681" s="116"/>
      <c r="K681" s="116"/>
      <c r="L681" s="116"/>
      <c r="M681" s="116"/>
    </row>
    <row r="682" spans="1:13" x14ac:dyDescent="0.35">
      <c r="A682" s="116"/>
      <c r="B682" s="116"/>
      <c r="C682" s="116"/>
      <c r="D682" s="116"/>
      <c r="E682" s="116"/>
      <c r="F682" s="116"/>
      <c r="G682" s="136"/>
      <c r="H682" s="116"/>
      <c r="I682" s="116"/>
      <c r="J682" s="116"/>
      <c r="K682" s="116"/>
      <c r="L682" s="116"/>
      <c r="M682" s="116"/>
    </row>
    <row r="683" spans="1:13" x14ac:dyDescent="0.35">
      <c r="A683" s="116"/>
      <c r="B683" s="116"/>
      <c r="C683" s="116"/>
      <c r="D683" s="116"/>
      <c r="E683" s="116"/>
      <c r="F683" s="116"/>
      <c r="G683" s="136"/>
      <c r="H683" s="116"/>
      <c r="I683" s="116"/>
      <c r="J683" s="116"/>
      <c r="K683" s="116"/>
      <c r="L683" s="116"/>
      <c r="M683" s="116"/>
    </row>
    <row r="684" spans="1:13" x14ac:dyDescent="0.35">
      <c r="A684" s="116"/>
      <c r="B684" s="116"/>
      <c r="C684" s="116"/>
      <c r="D684" s="116"/>
      <c r="E684" s="116"/>
      <c r="F684" s="116"/>
      <c r="G684" s="136"/>
      <c r="H684" s="116"/>
      <c r="I684" s="116"/>
      <c r="J684" s="116"/>
      <c r="K684" s="116"/>
      <c r="L684" s="116"/>
      <c r="M684" s="116"/>
    </row>
    <row r="685" spans="1:13" x14ac:dyDescent="0.35">
      <c r="A685" s="116"/>
      <c r="B685" s="116"/>
      <c r="C685" s="116"/>
      <c r="D685" s="116"/>
      <c r="E685" s="116"/>
      <c r="F685" s="116"/>
      <c r="G685" s="136"/>
      <c r="H685" s="116"/>
      <c r="I685" s="116"/>
      <c r="J685" s="116"/>
      <c r="K685" s="116"/>
      <c r="L685" s="116"/>
      <c r="M685" s="116"/>
    </row>
    <row r="686" spans="1:13" x14ac:dyDescent="0.35">
      <c r="A686" s="116"/>
      <c r="B686" s="116"/>
      <c r="C686" s="116"/>
      <c r="D686" s="116"/>
      <c r="E686" s="116"/>
      <c r="F686" s="116"/>
      <c r="G686" s="136"/>
      <c r="H686" s="116"/>
      <c r="I686" s="116"/>
      <c r="J686" s="116"/>
      <c r="K686" s="116"/>
      <c r="L686" s="116"/>
      <c r="M686" s="116"/>
    </row>
    <row r="687" spans="1:13" x14ac:dyDescent="0.35">
      <c r="A687" s="116"/>
      <c r="B687" s="116"/>
      <c r="C687" s="116"/>
      <c r="D687" s="116"/>
      <c r="E687" s="116"/>
      <c r="F687" s="116"/>
      <c r="G687" s="136"/>
      <c r="H687" s="116"/>
      <c r="I687" s="116"/>
      <c r="J687" s="116"/>
      <c r="K687" s="116"/>
      <c r="L687" s="116"/>
      <c r="M687" s="116"/>
    </row>
    <row r="688" spans="1:13" x14ac:dyDescent="0.35">
      <c r="A688" s="116"/>
      <c r="B688" s="116"/>
      <c r="C688" s="116"/>
      <c r="D688" s="116"/>
      <c r="E688" s="116"/>
      <c r="F688" s="116"/>
      <c r="G688" s="136"/>
      <c r="H688" s="116"/>
      <c r="I688" s="116"/>
      <c r="J688" s="116"/>
      <c r="K688" s="116"/>
      <c r="L688" s="116"/>
      <c r="M688" s="116"/>
    </row>
    <row r="689" spans="1:15" x14ac:dyDescent="0.35">
      <c r="A689" s="116"/>
      <c r="B689" s="116"/>
      <c r="C689" s="116"/>
      <c r="D689" s="116"/>
      <c r="E689" s="116"/>
      <c r="F689" s="116"/>
      <c r="G689" s="136"/>
      <c r="H689" s="116"/>
      <c r="I689" s="116"/>
      <c r="J689" s="116"/>
      <c r="K689" s="116"/>
      <c r="L689" s="116"/>
      <c r="M689" s="116"/>
    </row>
    <row r="690" spans="1:15" x14ac:dyDescent="0.35">
      <c r="A690" s="116"/>
      <c r="B690" s="116"/>
      <c r="C690" s="116"/>
      <c r="D690" s="116"/>
      <c r="E690" s="116"/>
      <c r="F690" s="116"/>
      <c r="G690" s="136"/>
      <c r="H690" s="116"/>
      <c r="I690" s="116"/>
      <c r="J690" s="116"/>
      <c r="K690" s="116"/>
      <c r="L690" s="116"/>
      <c r="M690" s="116"/>
      <c r="N690" s="116"/>
      <c r="O690" s="116"/>
    </row>
    <row r="691" spans="1:15" x14ac:dyDescent="0.35">
      <c r="A691" s="116"/>
      <c r="B691" s="116"/>
      <c r="C691" s="116"/>
      <c r="D691" s="116"/>
      <c r="E691" s="116"/>
      <c r="F691" s="116"/>
      <c r="G691" s="136"/>
      <c r="H691" s="116"/>
      <c r="I691" s="116"/>
      <c r="J691" s="116"/>
      <c r="K691" s="116"/>
      <c r="L691" s="116"/>
      <c r="M691" s="116"/>
    </row>
    <row r="692" spans="1:15" x14ac:dyDescent="0.35">
      <c r="A692" s="116"/>
      <c r="B692" s="116"/>
      <c r="C692" s="116"/>
      <c r="D692" s="116"/>
      <c r="E692" s="116"/>
      <c r="F692" s="116"/>
      <c r="G692" s="136"/>
      <c r="H692" s="116"/>
      <c r="I692" s="116"/>
      <c r="J692" s="116"/>
      <c r="K692" s="116"/>
      <c r="L692" s="116"/>
      <c r="M692" s="116"/>
    </row>
    <row r="693" spans="1:15" x14ac:dyDescent="0.35">
      <c r="A693" s="116"/>
      <c r="B693" s="116"/>
      <c r="C693" s="116"/>
      <c r="D693" s="116"/>
      <c r="E693" s="116"/>
      <c r="F693" s="116"/>
      <c r="G693" s="136"/>
      <c r="H693" s="116"/>
      <c r="I693" s="116"/>
      <c r="J693" s="116"/>
      <c r="K693" s="116"/>
      <c r="L693" s="116"/>
      <c r="M693" s="116"/>
      <c r="N693" s="116"/>
      <c r="O693" s="116"/>
    </row>
    <row r="694" spans="1:15" x14ac:dyDescent="0.35">
      <c r="A694" s="116"/>
      <c r="B694" s="116"/>
      <c r="C694" s="116"/>
      <c r="D694" s="116"/>
      <c r="E694" s="116"/>
      <c r="F694" s="116"/>
      <c r="G694" s="136"/>
      <c r="H694" s="116"/>
      <c r="I694" s="116"/>
      <c r="J694" s="116"/>
      <c r="K694" s="116"/>
      <c r="L694" s="116"/>
      <c r="M694" s="116"/>
    </row>
    <row r="695" spans="1:15" x14ac:dyDescent="0.35">
      <c r="A695" s="116"/>
      <c r="B695" s="116"/>
      <c r="C695" s="116"/>
      <c r="D695" s="116"/>
      <c r="E695" s="116"/>
      <c r="F695" s="116"/>
      <c r="G695" s="136"/>
      <c r="H695" s="116"/>
      <c r="I695" s="116"/>
      <c r="J695" s="116"/>
      <c r="K695" s="116"/>
      <c r="L695" s="116"/>
      <c r="M695" s="116"/>
    </row>
    <row r="696" spans="1:15" x14ac:dyDescent="0.35">
      <c r="A696" s="116"/>
      <c r="B696" s="116"/>
      <c r="C696" s="116"/>
      <c r="D696" s="116"/>
      <c r="E696" s="116"/>
      <c r="F696" s="116"/>
      <c r="G696" s="136"/>
      <c r="H696" s="116"/>
      <c r="I696" s="116"/>
      <c r="J696" s="116"/>
      <c r="K696" s="116"/>
      <c r="L696" s="116"/>
      <c r="M696" s="116"/>
    </row>
    <row r="697" spans="1:15" x14ac:dyDescent="0.35">
      <c r="A697" s="116"/>
      <c r="B697" s="116"/>
      <c r="C697" s="116"/>
      <c r="D697" s="116"/>
      <c r="E697" s="116"/>
      <c r="F697" s="116"/>
      <c r="G697" s="136"/>
      <c r="H697" s="116"/>
      <c r="I697" s="116"/>
      <c r="J697" s="116"/>
      <c r="K697" s="116"/>
      <c r="L697" s="116"/>
      <c r="M697" s="116"/>
    </row>
    <row r="698" spans="1:15" x14ac:dyDescent="0.35">
      <c r="A698" s="116"/>
      <c r="B698" s="116"/>
      <c r="C698" s="116"/>
      <c r="D698" s="116"/>
      <c r="E698" s="116"/>
      <c r="F698" s="116"/>
      <c r="G698" s="136"/>
      <c r="H698" s="116"/>
      <c r="I698" s="116"/>
      <c r="J698" s="116"/>
      <c r="K698" s="116"/>
      <c r="L698" s="116"/>
      <c r="M698" s="116"/>
    </row>
    <row r="699" spans="1:15" x14ac:dyDescent="0.35">
      <c r="A699" s="116"/>
      <c r="B699" s="116"/>
      <c r="C699" s="116"/>
      <c r="D699" s="116"/>
      <c r="E699" s="116"/>
      <c r="F699" s="116"/>
      <c r="G699" s="136"/>
      <c r="H699" s="116"/>
      <c r="I699" s="116"/>
      <c r="J699" s="116"/>
      <c r="K699" s="116"/>
      <c r="L699" s="116"/>
      <c r="M699" s="116"/>
    </row>
    <row r="700" spans="1:15" x14ac:dyDescent="0.35">
      <c r="A700" s="116"/>
      <c r="B700" s="116"/>
      <c r="C700" s="116"/>
      <c r="D700" s="116"/>
      <c r="E700" s="116"/>
      <c r="F700" s="116"/>
      <c r="G700" s="136"/>
      <c r="H700" s="116"/>
      <c r="I700" s="116"/>
      <c r="J700" s="116"/>
      <c r="K700" s="116"/>
      <c r="L700" s="116"/>
      <c r="M700" s="116"/>
      <c r="N700" s="31"/>
      <c r="O700" s="31"/>
    </row>
    <row r="701" spans="1:15" x14ac:dyDescent="0.35">
      <c r="A701" s="116"/>
      <c r="B701" s="116"/>
      <c r="C701" s="116"/>
      <c r="D701" s="116"/>
      <c r="E701" s="116"/>
      <c r="F701" s="116"/>
      <c r="G701" s="136"/>
      <c r="H701" s="116"/>
      <c r="I701" s="116"/>
      <c r="J701" s="116"/>
      <c r="K701" s="116"/>
      <c r="L701" s="116"/>
      <c r="M701" s="116"/>
    </row>
    <row r="702" spans="1:15" x14ac:dyDescent="0.35">
      <c r="A702" s="116"/>
      <c r="B702" s="116"/>
      <c r="C702" s="116"/>
      <c r="D702" s="116"/>
      <c r="E702" s="116"/>
      <c r="F702" s="116"/>
      <c r="G702" s="136"/>
      <c r="H702" s="116"/>
      <c r="I702" s="116"/>
      <c r="J702" s="116"/>
      <c r="K702" s="116"/>
      <c r="L702" s="116"/>
      <c r="M702" s="116"/>
      <c r="N702" s="31"/>
      <c r="O702" s="31"/>
    </row>
    <row r="703" spans="1:15" x14ac:dyDescent="0.35">
      <c r="A703" s="116"/>
      <c r="B703" s="116"/>
      <c r="C703" s="116"/>
      <c r="D703" s="116"/>
      <c r="E703" s="116"/>
      <c r="F703" s="116"/>
      <c r="G703" s="136"/>
      <c r="H703" s="116"/>
      <c r="I703" s="116"/>
      <c r="J703" s="116"/>
      <c r="K703" s="116"/>
      <c r="L703" s="116"/>
      <c r="M703" s="116"/>
      <c r="N703" s="116"/>
      <c r="O703" s="116"/>
    </row>
    <row r="704" spans="1:15" x14ac:dyDescent="0.35">
      <c r="A704" s="116"/>
      <c r="B704" s="116"/>
      <c r="C704" s="116"/>
      <c r="D704" s="116"/>
      <c r="E704" s="116"/>
      <c r="F704" s="116"/>
      <c r="G704" s="136"/>
      <c r="H704" s="116"/>
      <c r="I704" s="116"/>
      <c r="J704" s="116"/>
      <c r="K704" s="116"/>
      <c r="L704" s="116"/>
      <c r="M704" s="116"/>
      <c r="N704" s="31"/>
      <c r="O704" s="31"/>
    </row>
    <row r="705" spans="1:15" x14ac:dyDescent="0.35">
      <c r="A705" s="116"/>
      <c r="B705" s="116"/>
      <c r="C705" s="116"/>
      <c r="D705" s="116"/>
      <c r="E705" s="116"/>
      <c r="F705" s="116"/>
      <c r="G705" s="136"/>
      <c r="H705" s="116"/>
      <c r="I705" s="116"/>
      <c r="J705" s="116"/>
      <c r="K705" s="116"/>
      <c r="L705" s="116"/>
      <c r="M705" s="116"/>
      <c r="N705" s="31"/>
      <c r="O705" s="31"/>
    </row>
    <row r="706" spans="1:15" x14ac:dyDescent="0.35">
      <c r="A706" s="116"/>
      <c r="B706" s="116"/>
      <c r="C706" s="116"/>
      <c r="D706" s="116"/>
      <c r="E706" s="116"/>
      <c r="F706" s="116"/>
      <c r="G706" s="136"/>
      <c r="H706" s="116"/>
      <c r="I706" s="116"/>
      <c r="J706" s="116"/>
      <c r="K706" s="116"/>
      <c r="L706" s="116"/>
      <c r="M706" s="116"/>
    </row>
    <row r="707" spans="1:15" x14ac:dyDescent="0.35">
      <c r="A707" s="116"/>
      <c r="B707" s="116"/>
      <c r="C707" s="116"/>
      <c r="D707" s="116"/>
      <c r="E707" s="116"/>
      <c r="F707" s="116"/>
      <c r="G707" s="136"/>
      <c r="H707" s="116"/>
      <c r="I707" s="116"/>
      <c r="J707" s="116"/>
      <c r="K707" s="116"/>
      <c r="L707" s="116"/>
      <c r="M707" s="116"/>
    </row>
    <row r="708" spans="1:15" x14ac:dyDescent="0.35">
      <c r="A708" s="116"/>
      <c r="B708" s="116"/>
      <c r="C708" s="116"/>
      <c r="D708" s="116"/>
      <c r="E708" s="116"/>
      <c r="F708" s="116"/>
      <c r="G708" s="136"/>
      <c r="H708" s="116"/>
      <c r="I708" s="116"/>
      <c r="J708" s="116"/>
      <c r="K708" s="116"/>
      <c r="L708" s="116"/>
      <c r="M708" s="116"/>
    </row>
    <row r="709" spans="1:15" x14ac:dyDescent="0.35">
      <c r="A709" s="116"/>
      <c r="B709" s="116"/>
      <c r="C709" s="116"/>
      <c r="D709" s="116"/>
      <c r="E709" s="116"/>
      <c r="F709" s="116"/>
      <c r="G709" s="136"/>
      <c r="H709" s="116"/>
      <c r="I709" s="116"/>
      <c r="J709" s="116"/>
      <c r="K709" s="116"/>
      <c r="L709" s="116"/>
      <c r="M709" s="116"/>
      <c r="N709" s="116"/>
      <c r="O709" s="116"/>
    </row>
    <row r="710" spans="1:15" x14ac:dyDescent="0.35">
      <c r="A710" s="116"/>
      <c r="B710" s="116"/>
      <c r="C710" s="116"/>
      <c r="D710" s="116"/>
      <c r="E710" s="116"/>
      <c r="F710" s="116"/>
      <c r="G710" s="136"/>
      <c r="H710" s="116"/>
      <c r="I710" s="116"/>
      <c r="J710" s="116"/>
      <c r="K710" s="116"/>
      <c r="L710" s="116"/>
      <c r="M710" s="116"/>
    </row>
    <row r="711" spans="1:15" x14ac:dyDescent="0.35">
      <c r="A711" s="116"/>
      <c r="B711" s="116"/>
      <c r="C711" s="116"/>
      <c r="D711" s="116"/>
      <c r="E711" s="116"/>
      <c r="F711" s="116"/>
      <c r="G711" s="136"/>
      <c r="H711" s="116"/>
      <c r="I711" s="116"/>
      <c r="J711" s="116"/>
      <c r="K711" s="116"/>
      <c r="L711" s="116"/>
      <c r="M711" s="116"/>
    </row>
    <row r="712" spans="1:15" x14ac:dyDescent="0.35">
      <c r="A712" s="116"/>
      <c r="B712" s="116"/>
      <c r="C712" s="116"/>
      <c r="D712" s="116"/>
      <c r="E712" s="116"/>
      <c r="F712" s="116"/>
      <c r="G712" s="136"/>
      <c r="H712" s="116"/>
      <c r="I712" s="116"/>
      <c r="J712" s="116"/>
      <c r="K712" s="116"/>
      <c r="L712" s="116"/>
      <c r="M712" s="116"/>
    </row>
    <row r="713" spans="1:15" x14ac:dyDescent="0.35">
      <c r="A713" s="116"/>
      <c r="B713" s="116"/>
      <c r="C713" s="116"/>
      <c r="D713" s="116"/>
      <c r="E713" s="116"/>
      <c r="F713" s="116"/>
      <c r="G713" s="136"/>
      <c r="H713" s="116"/>
      <c r="I713" s="116"/>
      <c r="J713" s="116"/>
      <c r="K713" s="116"/>
      <c r="L713" s="116"/>
      <c r="M713" s="116"/>
      <c r="N713" s="116"/>
      <c r="O713" s="116"/>
    </row>
    <row r="714" spans="1:15" x14ac:dyDescent="0.35">
      <c r="A714" s="116"/>
      <c r="B714" s="116"/>
      <c r="C714" s="116"/>
      <c r="D714" s="116"/>
      <c r="E714" s="116"/>
      <c r="F714" s="116"/>
      <c r="G714" s="136"/>
      <c r="H714" s="116"/>
      <c r="I714" s="116"/>
      <c r="J714" s="116"/>
      <c r="K714" s="116"/>
      <c r="L714" s="116"/>
      <c r="M714" s="116"/>
    </row>
    <row r="715" spans="1:15" x14ac:dyDescent="0.35">
      <c r="A715" s="116"/>
      <c r="B715" s="116"/>
      <c r="C715" s="116"/>
      <c r="D715" s="116"/>
      <c r="E715" s="116"/>
      <c r="F715" s="116"/>
      <c r="G715" s="136"/>
      <c r="H715" s="116"/>
      <c r="I715" s="116"/>
      <c r="J715" s="116"/>
      <c r="K715" s="116"/>
      <c r="L715" s="116"/>
      <c r="M715" s="116"/>
      <c r="N715" s="116"/>
      <c r="O715" s="116"/>
    </row>
    <row r="716" spans="1:15" x14ac:dyDescent="0.35">
      <c r="A716" s="116"/>
      <c r="B716" s="116"/>
      <c r="C716" s="116"/>
      <c r="D716" s="116"/>
      <c r="E716" s="116"/>
      <c r="F716" s="116"/>
      <c r="G716" s="136"/>
      <c r="H716" s="116"/>
      <c r="I716" s="116"/>
      <c r="J716" s="116"/>
      <c r="K716" s="116"/>
      <c r="L716" s="116"/>
      <c r="M716" s="116"/>
      <c r="N716" s="116"/>
      <c r="O716" s="116"/>
    </row>
    <row r="717" spans="1:15" x14ac:dyDescent="0.35">
      <c r="A717" s="116"/>
      <c r="B717" s="116"/>
      <c r="C717" s="116"/>
      <c r="D717" s="116"/>
      <c r="E717" s="116"/>
      <c r="F717" s="116"/>
      <c r="G717" s="136"/>
      <c r="H717" s="116"/>
      <c r="I717" s="116"/>
      <c r="J717" s="116"/>
      <c r="K717" s="116"/>
      <c r="L717" s="116"/>
      <c r="M717" s="116"/>
    </row>
    <row r="718" spans="1:15" x14ac:dyDescent="0.35">
      <c r="A718" s="116"/>
      <c r="B718" s="116"/>
      <c r="C718" s="116"/>
      <c r="D718" s="116"/>
      <c r="E718" s="116"/>
      <c r="F718" s="116"/>
      <c r="G718" s="136"/>
      <c r="H718" s="116"/>
      <c r="I718" s="116"/>
      <c r="J718" s="116"/>
      <c r="K718" s="116"/>
      <c r="L718" s="116"/>
      <c r="M718" s="116"/>
      <c r="N718" s="116"/>
      <c r="O718" s="116"/>
    </row>
    <row r="719" spans="1:15" x14ac:dyDescent="0.35">
      <c r="A719" s="116"/>
      <c r="B719" s="116"/>
      <c r="C719" s="116"/>
      <c r="D719" s="116"/>
      <c r="E719" s="116"/>
      <c r="F719" s="116"/>
      <c r="G719" s="136"/>
      <c r="H719" s="116"/>
      <c r="I719" s="116"/>
      <c r="J719" s="116"/>
      <c r="K719" s="116"/>
      <c r="L719" s="116"/>
      <c r="M719" s="116"/>
      <c r="N719" s="116"/>
      <c r="O719" s="116"/>
    </row>
    <row r="720" spans="1:15" x14ac:dyDescent="0.35">
      <c r="A720" s="116"/>
      <c r="B720" s="116"/>
      <c r="C720" s="116"/>
      <c r="D720" s="116"/>
      <c r="E720" s="116"/>
      <c r="F720" s="116"/>
      <c r="G720" s="136"/>
      <c r="H720" s="116"/>
      <c r="I720" s="116"/>
      <c r="J720" s="116"/>
      <c r="K720" s="116"/>
      <c r="L720" s="116"/>
      <c r="M720" s="116"/>
      <c r="N720" s="116"/>
      <c r="O720" s="116"/>
    </row>
    <row r="721" spans="1:15" x14ac:dyDescent="0.35">
      <c r="A721" s="116"/>
      <c r="B721" s="116"/>
      <c r="C721" s="116"/>
      <c r="D721" s="116"/>
      <c r="E721" s="116"/>
      <c r="F721" s="116"/>
      <c r="G721" s="136"/>
      <c r="H721" s="116"/>
      <c r="I721" s="116"/>
      <c r="J721" s="116"/>
      <c r="K721" s="116"/>
      <c r="L721" s="116"/>
      <c r="M721" s="116"/>
      <c r="N721" s="116"/>
      <c r="O721" s="116"/>
    </row>
    <row r="722" spans="1:15" x14ac:dyDescent="0.35">
      <c r="A722" s="116"/>
      <c r="B722" s="116"/>
      <c r="C722" s="116"/>
      <c r="D722" s="116"/>
      <c r="E722" s="116"/>
      <c r="F722" s="116"/>
      <c r="G722" s="136"/>
      <c r="H722" s="116"/>
      <c r="I722" s="116"/>
      <c r="J722" s="116"/>
      <c r="K722" s="116"/>
      <c r="L722" s="116"/>
      <c r="M722" s="116"/>
      <c r="N722" s="116"/>
      <c r="O722" s="116"/>
    </row>
    <row r="723" spans="1:15" x14ac:dyDescent="0.35">
      <c r="A723" s="116"/>
      <c r="B723" s="116"/>
      <c r="C723" s="116"/>
      <c r="D723" s="116"/>
      <c r="E723" s="116"/>
      <c r="F723" s="116"/>
      <c r="G723" s="136"/>
      <c r="H723" s="116"/>
      <c r="I723" s="116"/>
      <c r="J723" s="116"/>
      <c r="K723" s="116"/>
      <c r="L723" s="116"/>
      <c r="M723" s="116"/>
      <c r="N723" s="116"/>
      <c r="O723" s="116"/>
    </row>
    <row r="724" spans="1:15" x14ac:dyDescent="0.35">
      <c r="A724" s="116"/>
      <c r="B724" s="116"/>
      <c r="C724" s="116"/>
      <c r="D724" s="116"/>
      <c r="E724" s="116"/>
      <c r="F724" s="116"/>
      <c r="G724" s="136"/>
      <c r="H724" s="116"/>
      <c r="I724" s="116"/>
      <c r="J724" s="116"/>
      <c r="K724" s="116"/>
      <c r="L724" s="116"/>
      <c r="M724" s="116"/>
    </row>
    <row r="725" spans="1:15" x14ac:dyDescent="0.35">
      <c r="A725" s="116"/>
      <c r="B725" s="116"/>
      <c r="C725" s="116"/>
      <c r="D725" s="116"/>
      <c r="E725" s="116"/>
      <c r="F725" s="116"/>
      <c r="G725" s="136"/>
      <c r="H725" s="116"/>
      <c r="I725" s="116"/>
      <c r="J725" s="116"/>
      <c r="K725" s="116"/>
      <c r="L725" s="116"/>
      <c r="M725" s="116"/>
      <c r="N725" s="116"/>
      <c r="O725" s="116"/>
    </row>
    <row r="726" spans="1:15" x14ac:dyDescent="0.35">
      <c r="A726" s="116"/>
      <c r="B726" s="116"/>
      <c r="C726" s="116"/>
      <c r="D726" s="116"/>
      <c r="E726" s="116"/>
      <c r="F726" s="116"/>
      <c r="G726" s="136"/>
      <c r="H726" s="116"/>
      <c r="I726" s="116"/>
      <c r="J726" s="116"/>
      <c r="K726" s="116"/>
      <c r="L726" s="116"/>
      <c r="M726" s="116"/>
      <c r="N726" s="116"/>
      <c r="O726" s="116"/>
    </row>
    <row r="727" spans="1:15" x14ac:dyDescent="0.35">
      <c r="A727" s="116"/>
      <c r="B727" s="116"/>
      <c r="C727" s="116"/>
      <c r="D727" s="116"/>
      <c r="E727" s="116"/>
      <c r="F727" s="116"/>
      <c r="G727" s="136"/>
      <c r="H727" s="116"/>
      <c r="I727" s="116"/>
      <c r="J727" s="116"/>
      <c r="K727" s="116"/>
      <c r="L727" s="116"/>
      <c r="M727" s="116"/>
    </row>
    <row r="728" spans="1:15" x14ac:dyDescent="0.35">
      <c r="A728" s="116"/>
      <c r="B728" s="116"/>
      <c r="C728" s="116"/>
      <c r="D728" s="116"/>
      <c r="E728" s="116"/>
      <c r="F728" s="116"/>
      <c r="G728" s="136"/>
      <c r="H728" s="116"/>
      <c r="I728" s="116"/>
      <c r="J728" s="116"/>
      <c r="K728" s="116"/>
      <c r="L728" s="116"/>
      <c r="M728" s="116"/>
      <c r="N728" s="116"/>
      <c r="O728" s="116"/>
    </row>
    <row r="729" spans="1:15" x14ac:dyDescent="0.35">
      <c r="A729" s="116"/>
      <c r="B729" s="116"/>
      <c r="C729" s="116"/>
      <c r="D729" s="116"/>
      <c r="E729" s="116"/>
      <c r="F729" s="116"/>
      <c r="G729" s="136"/>
      <c r="H729" s="116"/>
      <c r="I729" s="116"/>
      <c r="J729" s="116"/>
      <c r="K729" s="116"/>
      <c r="L729" s="116"/>
      <c r="M729" s="116"/>
      <c r="N729" s="116"/>
      <c r="O729" s="116"/>
    </row>
    <row r="730" spans="1:15" x14ac:dyDescent="0.35">
      <c r="A730" s="116"/>
      <c r="B730" s="116"/>
      <c r="C730" s="116"/>
      <c r="D730" s="116"/>
      <c r="E730" s="116"/>
      <c r="F730" s="116"/>
      <c r="G730" s="136"/>
      <c r="H730" s="116"/>
      <c r="I730" s="116"/>
      <c r="J730" s="116"/>
      <c r="K730" s="116"/>
      <c r="L730" s="116"/>
      <c r="M730" s="116"/>
      <c r="N730" s="31"/>
      <c r="O730" s="31"/>
    </row>
    <row r="731" spans="1:15" x14ac:dyDescent="0.35">
      <c r="A731" s="116"/>
      <c r="B731" s="116"/>
      <c r="C731" s="116"/>
      <c r="D731" s="116"/>
      <c r="E731" s="116"/>
      <c r="F731" s="116"/>
      <c r="G731" s="136"/>
      <c r="H731" s="116"/>
      <c r="I731" s="116"/>
      <c r="J731" s="116"/>
      <c r="K731" s="116"/>
      <c r="L731" s="116"/>
      <c r="M731" s="116"/>
      <c r="N731" s="31"/>
      <c r="O731" s="31"/>
    </row>
    <row r="732" spans="1:15" x14ac:dyDescent="0.35">
      <c r="A732" s="116"/>
      <c r="B732" s="116"/>
      <c r="C732" s="116"/>
      <c r="D732" s="116"/>
      <c r="E732" s="116"/>
      <c r="F732" s="116"/>
      <c r="G732" s="136"/>
      <c r="H732" s="116"/>
      <c r="I732" s="116"/>
      <c r="J732" s="116"/>
      <c r="K732" s="116"/>
      <c r="L732" s="116"/>
      <c r="M732" s="116"/>
    </row>
    <row r="733" spans="1:15" x14ac:dyDescent="0.35">
      <c r="A733" s="116"/>
      <c r="B733" s="116"/>
      <c r="C733" s="116"/>
      <c r="D733" s="116"/>
      <c r="E733" s="116"/>
      <c r="F733" s="116"/>
      <c r="G733" s="136"/>
      <c r="H733" s="116"/>
      <c r="I733" s="116"/>
      <c r="J733" s="116"/>
      <c r="K733" s="116"/>
      <c r="L733" s="116"/>
      <c r="M733" s="116"/>
    </row>
    <row r="734" spans="1:15" x14ac:dyDescent="0.35">
      <c r="A734" s="116"/>
      <c r="B734" s="116"/>
      <c r="C734" s="116"/>
      <c r="D734" s="116"/>
      <c r="E734" s="116"/>
      <c r="F734" s="116"/>
      <c r="G734" s="136"/>
      <c r="H734" s="116"/>
      <c r="I734" s="116"/>
      <c r="J734" s="116"/>
      <c r="K734" s="116"/>
      <c r="L734" s="116"/>
      <c r="M734" s="116"/>
    </row>
    <row r="735" spans="1:15" x14ac:dyDescent="0.35">
      <c r="A735" s="116"/>
      <c r="B735" s="116"/>
      <c r="C735" s="116"/>
      <c r="D735" s="116"/>
      <c r="E735" s="116"/>
      <c r="F735" s="116"/>
      <c r="G735" s="136"/>
      <c r="H735" s="116"/>
      <c r="I735" s="116"/>
      <c r="J735" s="116"/>
      <c r="K735" s="116"/>
      <c r="L735" s="116"/>
      <c r="M735" s="116"/>
    </row>
    <row r="736" spans="1:15" x14ac:dyDescent="0.35">
      <c r="A736" s="116"/>
      <c r="B736" s="116"/>
      <c r="C736" s="116"/>
      <c r="D736" s="116"/>
      <c r="E736" s="116"/>
      <c r="F736" s="116"/>
      <c r="G736" s="136"/>
      <c r="H736" s="116"/>
      <c r="I736" s="116"/>
      <c r="J736" s="116"/>
      <c r="K736" s="116"/>
      <c r="L736" s="116"/>
      <c r="M736" s="116"/>
    </row>
    <row r="737" spans="1:15" x14ac:dyDescent="0.35">
      <c r="A737" s="116"/>
      <c r="B737" s="116"/>
      <c r="C737" s="116"/>
      <c r="D737" s="116"/>
      <c r="E737" s="116"/>
      <c r="F737" s="116"/>
      <c r="G737" s="136"/>
      <c r="H737" s="116"/>
      <c r="I737" s="116"/>
      <c r="J737" s="116"/>
      <c r="K737" s="116"/>
      <c r="L737" s="116"/>
      <c r="M737" s="116"/>
    </row>
    <row r="738" spans="1:15" x14ac:dyDescent="0.35">
      <c r="A738" s="116"/>
      <c r="B738" s="116"/>
      <c r="C738" s="116"/>
      <c r="D738" s="116"/>
      <c r="E738" s="116"/>
      <c r="F738" s="116"/>
      <c r="G738" s="136"/>
      <c r="H738" s="116"/>
      <c r="I738" s="116"/>
      <c r="J738" s="116"/>
      <c r="K738" s="116"/>
      <c r="L738" s="116"/>
      <c r="M738" s="116"/>
    </row>
    <row r="739" spans="1:15" x14ac:dyDescent="0.35">
      <c r="A739" s="116"/>
      <c r="B739" s="116"/>
      <c r="C739" s="116"/>
      <c r="D739" s="116"/>
      <c r="E739" s="116"/>
      <c r="F739" s="116"/>
      <c r="G739" s="136"/>
      <c r="H739" s="116"/>
      <c r="I739" s="116"/>
      <c r="J739" s="116"/>
      <c r="K739" s="116"/>
      <c r="L739" s="116"/>
      <c r="M739" s="116"/>
      <c r="N739" s="31"/>
      <c r="O739" s="31"/>
    </row>
    <row r="740" spans="1:15" x14ac:dyDescent="0.35">
      <c r="A740" s="116"/>
      <c r="B740" s="116"/>
      <c r="C740" s="116"/>
      <c r="D740" s="116"/>
      <c r="E740" s="116"/>
      <c r="F740" s="116"/>
      <c r="G740" s="136"/>
      <c r="H740" s="116"/>
      <c r="I740" s="116"/>
      <c r="J740" s="116"/>
      <c r="K740" s="116"/>
      <c r="L740" s="116"/>
      <c r="M740" s="116"/>
    </row>
    <row r="741" spans="1:15" x14ac:dyDescent="0.35">
      <c r="A741" s="116"/>
      <c r="B741" s="116"/>
      <c r="C741" s="116"/>
      <c r="D741" s="116"/>
      <c r="E741" s="116"/>
      <c r="F741" s="116"/>
      <c r="G741" s="136"/>
      <c r="H741" s="116"/>
      <c r="I741" s="116"/>
      <c r="J741" s="116"/>
      <c r="K741" s="116"/>
      <c r="L741" s="116"/>
      <c r="M741" s="116"/>
    </row>
    <row r="742" spans="1:15" x14ac:dyDescent="0.35">
      <c r="A742" s="116"/>
      <c r="B742" s="116"/>
      <c r="C742" s="116"/>
      <c r="D742" s="116"/>
      <c r="E742" s="116"/>
      <c r="F742" s="116"/>
      <c r="G742" s="136"/>
      <c r="H742" s="116"/>
      <c r="I742" s="116"/>
      <c r="J742" s="116"/>
      <c r="K742" s="116"/>
      <c r="L742" s="116"/>
      <c r="M742" s="116"/>
    </row>
    <row r="743" spans="1:15" x14ac:dyDescent="0.35">
      <c r="A743" s="116"/>
      <c r="B743" s="116"/>
      <c r="C743" s="116"/>
      <c r="D743" s="116"/>
      <c r="E743" s="116"/>
      <c r="F743" s="116"/>
      <c r="G743" s="136"/>
      <c r="H743" s="116"/>
      <c r="I743" s="116"/>
      <c r="J743" s="116"/>
      <c r="K743" s="116"/>
      <c r="L743" s="116"/>
      <c r="M743" s="116"/>
    </row>
    <row r="744" spans="1:15" x14ac:dyDescent="0.35">
      <c r="A744" s="116"/>
      <c r="B744" s="116"/>
      <c r="C744" s="116"/>
      <c r="D744" s="116"/>
      <c r="E744" s="116"/>
      <c r="F744" s="116"/>
      <c r="G744" s="136"/>
      <c r="H744" s="116"/>
      <c r="I744" s="116"/>
      <c r="J744" s="116"/>
      <c r="K744" s="116"/>
      <c r="L744" s="116"/>
      <c r="M744" s="116"/>
    </row>
    <row r="745" spans="1:15" x14ac:dyDescent="0.35">
      <c r="A745" s="116"/>
      <c r="B745" s="116"/>
      <c r="C745" s="116"/>
      <c r="D745" s="116"/>
      <c r="E745" s="116"/>
      <c r="F745" s="116"/>
      <c r="G745" s="136"/>
      <c r="H745" s="116"/>
      <c r="I745" s="116"/>
      <c r="J745" s="116"/>
      <c r="K745" s="116"/>
      <c r="L745" s="116"/>
      <c r="M745" s="116"/>
    </row>
    <row r="746" spans="1:15" x14ac:dyDescent="0.35">
      <c r="A746" s="116"/>
      <c r="B746" s="116"/>
      <c r="C746" s="116"/>
      <c r="D746" s="116"/>
      <c r="E746" s="116"/>
      <c r="F746" s="116"/>
      <c r="G746" s="136"/>
      <c r="H746" s="116"/>
      <c r="I746" s="116"/>
      <c r="J746" s="116"/>
      <c r="K746" s="116"/>
      <c r="L746" s="116"/>
      <c r="M746" s="116"/>
      <c r="N746" s="116"/>
      <c r="O746" s="116"/>
    </row>
    <row r="747" spans="1:15" x14ac:dyDescent="0.35">
      <c r="A747" s="116"/>
      <c r="B747" s="116"/>
      <c r="C747" s="116"/>
      <c r="D747" s="116"/>
      <c r="E747" s="116"/>
      <c r="F747" s="116"/>
      <c r="G747" s="136"/>
      <c r="H747" s="116"/>
      <c r="I747" s="116"/>
      <c r="J747" s="116"/>
      <c r="K747" s="116"/>
      <c r="L747" s="116"/>
      <c r="M747" s="116"/>
    </row>
    <row r="748" spans="1:15" x14ac:dyDescent="0.35">
      <c r="A748" s="116"/>
      <c r="B748" s="116"/>
      <c r="C748" s="116"/>
      <c r="D748" s="116"/>
      <c r="E748" s="116"/>
      <c r="F748" s="116"/>
      <c r="G748" s="136"/>
      <c r="H748" s="116"/>
      <c r="I748" s="116"/>
      <c r="J748" s="116"/>
      <c r="K748" s="116"/>
      <c r="L748" s="116"/>
      <c r="M748" s="116"/>
    </row>
    <row r="749" spans="1:15" x14ac:dyDescent="0.35">
      <c r="A749" s="116"/>
      <c r="B749" s="116"/>
      <c r="C749" s="116"/>
      <c r="D749" s="116"/>
      <c r="E749" s="116"/>
      <c r="F749" s="116"/>
      <c r="G749" s="136"/>
      <c r="H749" s="116"/>
      <c r="I749" s="116"/>
      <c r="J749" s="116"/>
      <c r="K749" s="116"/>
      <c r="L749" s="116"/>
      <c r="M749" s="116"/>
    </row>
    <row r="750" spans="1:15" x14ac:dyDescent="0.35">
      <c r="A750" s="116"/>
      <c r="B750" s="116"/>
      <c r="C750" s="116"/>
      <c r="D750" s="116"/>
      <c r="E750" s="116"/>
      <c r="F750" s="116"/>
      <c r="G750" s="136"/>
      <c r="H750" s="116"/>
      <c r="I750" s="116"/>
      <c r="J750" s="116"/>
      <c r="K750" s="116"/>
      <c r="L750" s="116"/>
      <c r="M750" s="116"/>
    </row>
    <row r="751" spans="1:15" x14ac:dyDescent="0.35">
      <c r="A751" s="116"/>
      <c r="B751" s="116"/>
      <c r="C751" s="116"/>
      <c r="D751" s="116"/>
      <c r="E751" s="116"/>
      <c r="F751" s="116"/>
      <c r="G751" s="136"/>
      <c r="H751" s="116"/>
      <c r="I751" s="116"/>
      <c r="J751" s="116"/>
      <c r="K751" s="116"/>
      <c r="L751" s="116"/>
      <c r="M751" s="116"/>
      <c r="N751" s="116"/>
      <c r="O751" s="116"/>
    </row>
    <row r="752" spans="1:15" x14ac:dyDescent="0.35">
      <c r="A752" s="116"/>
      <c r="B752" s="116"/>
      <c r="C752" s="116"/>
      <c r="D752" s="116"/>
      <c r="E752" s="116"/>
      <c r="F752" s="116"/>
      <c r="G752" s="136"/>
      <c r="H752" s="116"/>
      <c r="I752" s="116"/>
      <c r="J752" s="116"/>
      <c r="K752" s="116"/>
      <c r="L752" s="116"/>
      <c r="M752" s="116"/>
    </row>
    <row r="753" spans="1:15" x14ac:dyDescent="0.35">
      <c r="A753" s="116"/>
      <c r="B753" s="116"/>
      <c r="C753" s="116"/>
      <c r="D753" s="116"/>
      <c r="E753" s="116"/>
      <c r="F753" s="116"/>
      <c r="G753" s="136"/>
      <c r="H753" s="116"/>
      <c r="I753" s="116"/>
      <c r="J753" s="116"/>
      <c r="K753" s="116"/>
      <c r="L753" s="116"/>
      <c r="M753" s="116"/>
      <c r="N753" s="116"/>
      <c r="O753" s="116"/>
    </row>
    <row r="754" spans="1:15" x14ac:dyDescent="0.35">
      <c r="A754" s="116"/>
      <c r="B754" s="116"/>
      <c r="C754" s="116"/>
      <c r="D754" s="116"/>
      <c r="E754" s="116"/>
      <c r="F754" s="116"/>
      <c r="G754" s="136"/>
      <c r="H754" s="116"/>
      <c r="I754" s="116"/>
      <c r="J754" s="116"/>
      <c r="K754" s="116"/>
      <c r="L754" s="116"/>
      <c r="M754" s="116"/>
    </row>
    <row r="755" spans="1:15" x14ac:dyDescent="0.35">
      <c r="A755" s="116"/>
      <c r="B755" s="116"/>
      <c r="C755" s="116"/>
      <c r="D755" s="116"/>
      <c r="E755" s="116"/>
      <c r="F755" s="116"/>
      <c r="G755" s="136"/>
      <c r="H755" s="116"/>
      <c r="I755" s="116"/>
      <c r="J755" s="116"/>
      <c r="K755" s="116"/>
      <c r="L755" s="116"/>
      <c r="M755" s="116"/>
      <c r="N755" s="116"/>
      <c r="O755" s="116"/>
    </row>
    <row r="756" spans="1:15" x14ac:dyDescent="0.35">
      <c r="A756" s="116"/>
      <c r="B756" s="116"/>
      <c r="C756" s="116"/>
      <c r="D756" s="116"/>
      <c r="E756" s="116"/>
      <c r="F756" s="116"/>
      <c r="G756" s="136"/>
      <c r="H756" s="116"/>
      <c r="I756" s="116"/>
      <c r="J756" s="116"/>
      <c r="K756" s="116"/>
      <c r="L756" s="116"/>
      <c r="M756" s="116"/>
      <c r="N756" s="116"/>
      <c r="O756" s="116"/>
    </row>
    <row r="757" spans="1:15" x14ac:dyDescent="0.35">
      <c r="A757" s="116"/>
      <c r="B757" s="116"/>
      <c r="C757" s="116"/>
      <c r="D757" s="116"/>
      <c r="E757" s="116"/>
      <c r="F757" s="116"/>
      <c r="G757" s="136"/>
      <c r="H757" s="116"/>
      <c r="I757" s="116"/>
      <c r="J757" s="116"/>
      <c r="K757" s="116"/>
      <c r="L757" s="116"/>
      <c r="M757" s="116"/>
    </row>
    <row r="758" spans="1:15" x14ac:dyDescent="0.35">
      <c r="A758" s="116"/>
      <c r="B758" s="116"/>
      <c r="C758" s="116"/>
      <c r="D758" s="116"/>
      <c r="E758" s="116"/>
      <c r="F758" s="116"/>
      <c r="G758" s="136"/>
      <c r="H758" s="116"/>
      <c r="I758" s="116"/>
      <c r="J758" s="116"/>
      <c r="K758" s="116"/>
      <c r="L758" s="116"/>
      <c r="M758" s="116"/>
    </row>
    <row r="759" spans="1:15" x14ac:dyDescent="0.35">
      <c r="A759" s="116"/>
      <c r="B759" s="116"/>
      <c r="C759" s="116"/>
      <c r="D759" s="116"/>
      <c r="E759" s="116"/>
      <c r="F759" s="116"/>
      <c r="G759" s="136"/>
      <c r="H759" s="116"/>
      <c r="I759" s="116"/>
      <c r="J759" s="116"/>
      <c r="K759" s="116"/>
      <c r="L759" s="116"/>
      <c r="M759" s="116"/>
      <c r="N759" s="116"/>
      <c r="O759" s="116"/>
    </row>
    <row r="760" spans="1:15" x14ac:dyDescent="0.35">
      <c r="A760" s="116"/>
      <c r="B760" s="116"/>
      <c r="C760" s="116"/>
      <c r="D760" s="116"/>
      <c r="E760" s="116"/>
      <c r="F760" s="116"/>
      <c r="G760" s="136"/>
      <c r="H760" s="116"/>
      <c r="I760" s="116"/>
      <c r="J760" s="116"/>
      <c r="K760" s="116"/>
      <c r="L760" s="116"/>
      <c r="M760" s="116"/>
      <c r="N760" s="31"/>
      <c r="O760" s="31"/>
    </row>
    <row r="761" spans="1:15" x14ac:dyDescent="0.35">
      <c r="A761" s="116"/>
      <c r="B761" s="116"/>
      <c r="C761" s="116"/>
      <c r="D761" s="116"/>
      <c r="E761" s="116"/>
      <c r="F761" s="116"/>
      <c r="G761" s="136"/>
      <c r="H761" s="116"/>
      <c r="I761" s="116"/>
      <c r="J761" s="116"/>
      <c r="K761" s="116"/>
      <c r="L761" s="116"/>
      <c r="M761" s="116"/>
    </row>
    <row r="762" spans="1:15" x14ac:dyDescent="0.35">
      <c r="A762" s="116"/>
      <c r="B762" s="116"/>
      <c r="C762" s="116"/>
      <c r="D762" s="116"/>
      <c r="E762" s="116"/>
      <c r="F762" s="116"/>
      <c r="G762" s="136"/>
      <c r="H762" s="116"/>
      <c r="I762" s="116"/>
      <c r="J762" s="116"/>
      <c r="K762" s="116"/>
      <c r="L762" s="116"/>
      <c r="M762" s="116"/>
    </row>
    <row r="763" spans="1:15" x14ac:dyDescent="0.35">
      <c r="A763" s="116"/>
      <c r="B763" s="116"/>
      <c r="C763" s="116"/>
      <c r="D763" s="116"/>
      <c r="E763" s="116"/>
      <c r="F763" s="116"/>
      <c r="G763" s="136"/>
      <c r="H763" s="116"/>
      <c r="I763" s="116"/>
      <c r="J763" s="116"/>
      <c r="K763" s="116"/>
      <c r="L763" s="116"/>
      <c r="M763" s="116"/>
    </row>
    <row r="764" spans="1:15" x14ac:dyDescent="0.35">
      <c r="A764" s="116"/>
      <c r="B764" s="116"/>
      <c r="C764" s="116"/>
      <c r="D764" s="116"/>
      <c r="E764" s="116"/>
      <c r="F764" s="116"/>
      <c r="G764" s="136"/>
      <c r="H764" s="116"/>
      <c r="I764" s="116"/>
      <c r="J764" s="116"/>
      <c r="K764" s="116"/>
      <c r="L764" s="116"/>
      <c r="M764" s="116"/>
    </row>
    <row r="765" spans="1:15" x14ac:dyDescent="0.35">
      <c r="A765" s="116"/>
      <c r="B765" s="116"/>
      <c r="C765" s="116"/>
      <c r="D765" s="116"/>
      <c r="E765" s="116"/>
      <c r="F765" s="116"/>
      <c r="G765" s="136"/>
      <c r="H765" s="116"/>
      <c r="I765" s="116"/>
      <c r="J765" s="116"/>
      <c r="K765" s="116"/>
      <c r="L765" s="116"/>
      <c r="M765" s="116"/>
    </row>
    <row r="766" spans="1:15" x14ac:dyDescent="0.35">
      <c r="A766" s="116"/>
      <c r="B766" s="116"/>
      <c r="C766" s="116"/>
      <c r="D766" s="116"/>
      <c r="E766" s="116"/>
      <c r="F766" s="116"/>
      <c r="G766" s="136"/>
      <c r="H766" s="116"/>
      <c r="I766" s="116"/>
      <c r="J766" s="116"/>
      <c r="K766" s="116"/>
      <c r="L766" s="116"/>
      <c r="M766" s="116"/>
    </row>
    <row r="767" spans="1:15" x14ac:dyDescent="0.35">
      <c r="A767" s="116"/>
      <c r="B767" s="116"/>
      <c r="C767" s="116"/>
      <c r="D767" s="116"/>
      <c r="E767" s="116"/>
      <c r="F767" s="116"/>
      <c r="G767" s="136"/>
      <c r="H767" s="116"/>
      <c r="I767" s="116"/>
      <c r="J767" s="116"/>
      <c r="K767" s="116"/>
      <c r="L767" s="116"/>
      <c r="M767" s="116"/>
    </row>
    <row r="768" spans="1:15" x14ac:dyDescent="0.35">
      <c r="A768" s="116"/>
      <c r="B768" s="116"/>
      <c r="C768" s="116"/>
      <c r="D768" s="116"/>
      <c r="E768" s="116"/>
      <c r="F768" s="116"/>
      <c r="G768" s="136"/>
      <c r="H768" s="116"/>
      <c r="I768" s="116"/>
      <c r="J768" s="116"/>
      <c r="K768" s="116"/>
      <c r="L768" s="116"/>
      <c r="M768" s="116"/>
    </row>
    <row r="769" spans="1:15" x14ac:dyDescent="0.35">
      <c r="A769" s="116"/>
      <c r="B769" s="116"/>
      <c r="C769" s="116"/>
      <c r="D769" s="116"/>
      <c r="E769" s="116"/>
      <c r="F769" s="116"/>
      <c r="G769" s="136"/>
      <c r="H769" s="116"/>
      <c r="I769" s="116"/>
      <c r="J769" s="116"/>
      <c r="K769" s="116"/>
      <c r="L769" s="116"/>
      <c r="M769" s="116"/>
      <c r="N769" s="116"/>
      <c r="O769" s="116"/>
    </row>
    <row r="770" spans="1:15" x14ac:dyDescent="0.35">
      <c r="A770" s="116"/>
      <c r="B770" s="116"/>
      <c r="C770" s="116"/>
      <c r="D770" s="116"/>
      <c r="E770" s="116"/>
      <c r="F770" s="116"/>
      <c r="G770" s="136"/>
      <c r="H770" s="116"/>
      <c r="I770" s="116"/>
      <c r="J770" s="116"/>
      <c r="K770" s="116"/>
      <c r="L770" s="116"/>
      <c r="M770" s="116"/>
      <c r="N770" s="116"/>
      <c r="O770" s="116"/>
    </row>
    <row r="771" spans="1:15" x14ac:dyDescent="0.35">
      <c r="A771" s="116"/>
      <c r="B771" s="116"/>
      <c r="C771" s="116"/>
      <c r="D771" s="116"/>
      <c r="E771" s="116"/>
      <c r="F771" s="116"/>
      <c r="G771" s="136"/>
      <c r="H771" s="116"/>
      <c r="I771" s="116"/>
      <c r="J771" s="116"/>
      <c r="K771" s="116"/>
      <c r="L771" s="116"/>
      <c r="M771" s="116"/>
      <c r="N771" s="116"/>
      <c r="O771" s="116"/>
    </row>
    <row r="772" spans="1:15" x14ac:dyDescent="0.35">
      <c r="A772" s="116"/>
      <c r="B772" s="116"/>
      <c r="C772" s="116"/>
      <c r="D772" s="116"/>
      <c r="E772" s="116"/>
      <c r="F772" s="116"/>
      <c r="G772" s="136"/>
      <c r="H772" s="116"/>
      <c r="I772" s="116"/>
      <c r="J772" s="116"/>
      <c r="K772" s="116"/>
      <c r="L772" s="116"/>
      <c r="M772" s="116"/>
      <c r="N772" s="116"/>
      <c r="O772" s="116"/>
    </row>
    <row r="773" spans="1:15" x14ac:dyDescent="0.35">
      <c r="A773" s="116"/>
      <c r="B773" s="116"/>
      <c r="C773" s="116"/>
      <c r="D773" s="116"/>
      <c r="E773" s="116"/>
      <c r="F773" s="116"/>
      <c r="G773" s="136"/>
      <c r="H773" s="116"/>
      <c r="I773" s="116"/>
      <c r="J773" s="116"/>
      <c r="K773" s="116"/>
      <c r="L773" s="116"/>
      <c r="M773" s="116"/>
      <c r="N773" s="116"/>
      <c r="O773" s="116"/>
    </row>
    <row r="774" spans="1:15" x14ac:dyDescent="0.35">
      <c r="A774" s="116"/>
      <c r="B774" s="116"/>
      <c r="C774" s="116"/>
      <c r="D774" s="116"/>
      <c r="E774" s="116"/>
      <c r="F774" s="116"/>
      <c r="G774" s="136"/>
      <c r="H774" s="116"/>
      <c r="I774" s="116"/>
      <c r="J774" s="116"/>
      <c r="K774" s="116"/>
      <c r="L774" s="116"/>
      <c r="M774" s="116"/>
      <c r="N774" s="116"/>
      <c r="O774" s="116"/>
    </row>
    <row r="775" spans="1:15" x14ac:dyDescent="0.35">
      <c r="A775" s="116"/>
      <c r="B775" s="116"/>
      <c r="C775" s="116"/>
      <c r="D775" s="116"/>
      <c r="E775" s="116"/>
      <c r="F775" s="116"/>
      <c r="G775" s="136"/>
      <c r="H775" s="116"/>
      <c r="I775" s="116"/>
      <c r="J775" s="116"/>
      <c r="K775" s="116"/>
      <c r="L775" s="116"/>
      <c r="M775" s="116"/>
      <c r="N775" s="116"/>
      <c r="O775" s="116"/>
    </row>
    <row r="776" spans="1:15" x14ac:dyDescent="0.35">
      <c r="A776" s="116"/>
      <c r="B776" s="116"/>
      <c r="C776" s="116"/>
      <c r="D776" s="116"/>
      <c r="E776" s="116"/>
      <c r="F776" s="116"/>
      <c r="G776" s="136"/>
      <c r="H776" s="116"/>
      <c r="I776" s="116"/>
      <c r="J776" s="116"/>
      <c r="K776" s="116"/>
      <c r="L776" s="116"/>
      <c r="M776" s="116"/>
      <c r="N776" s="116"/>
      <c r="O776" s="116"/>
    </row>
    <row r="777" spans="1:15" x14ac:dyDescent="0.35">
      <c r="A777" s="116"/>
      <c r="B777" s="116"/>
      <c r="C777" s="116"/>
      <c r="D777" s="116"/>
      <c r="E777" s="116"/>
      <c r="F777" s="116"/>
      <c r="G777" s="136"/>
      <c r="H777" s="116"/>
      <c r="I777" s="116"/>
      <c r="J777" s="116"/>
      <c r="K777" s="116"/>
      <c r="L777" s="116"/>
      <c r="M777" s="116"/>
      <c r="N777" s="116"/>
      <c r="O777" s="116"/>
    </row>
    <row r="778" spans="1:15" x14ac:dyDescent="0.35">
      <c r="A778" s="116"/>
      <c r="B778" s="116"/>
      <c r="C778" s="116"/>
      <c r="D778" s="116"/>
      <c r="E778" s="116"/>
      <c r="F778" s="116"/>
      <c r="G778" s="136"/>
      <c r="H778" s="116"/>
      <c r="I778" s="116"/>
      <c r="J778" s="116"/>
      <c r="K778" s="116"/>
      <c r="L778" s="116"/>
      <c r="M778" s="116"/>
      <c r="N778" s="116"/>
      <c r="O778" s="116"/>
    </row>
    <row r="779" spans="1:15" x14ac:dyDescent="0.35">
      <c r="A779" s="116"/>
      <c r="B779" s="116"/>
      <c r="C779" s="116"/>
      <c r="D779" s="116"/>
      <c r="E779" s="116"/>
      <c r="F779" s="116"/>
      <c r="G779" s="136"/>
      <c r="H779" s="116"/>
      <c r="I779" s="116"/>
      <c r="J779" s="116"/>
      <c r="K779" s="116"/>
      <c r="L779" s="116"/>
      <c r="M779" s="116"/>
    </row>
    <row r="780" spans="1:15" x14ac:dyDescent="0.35">
      <c r="A780" s="116"/>
      <c r="B780" s="116"/>
      <c r="C780" s="116"/>
      <c r="D780" s="116"/>
      <c r="E780" s="116"/>
      <c r="F780" s="116"/>
      <c r="G780" s="136"/>
      <c r="H780" s="116"/>
      <c r="I780" s="116"/>
      <c r="J780" s="116"/>
      <c r="K780" s="116"/>
      <c r="L780" s="116"/>
      <c r="M780" s="116"/>
      <c r="N780" s="116"/>
      <c r="O780" s="116"/>
    </row>
    <row r="781" spans="1:15" x14ac:dyDescent="0.35">
      <c r="A781" s="116"/>
      <c r="B781" s="116"/>
      <c r="C781" s="116"/>
      <c r="D781" s="116"/>
      <c r="E781" s="116"/>
      <c r="F781" s="116"/>
      <c r="G781" s="136"/>
      <c r="H781" s="116"/>
      <c r="I781" s="116"/>
      <c r="J781" s="116"/>
      <c r="K781" s="116"/>
      <c r="L781" s="116"/>
      <c r="M781" s="116"/>
      <c r="N781" s="116"/>
      <c r="O781" s="116"/>
    </row>
    <row r="782" spans="1:15" x14ac:dyDescent="0.35">
      <c r="A782" s="116"/>
      <c r="B782" s="116"/>
      <c r="C782" s="116"/>
      <c r="D782" s="116"/>
      <c r="E782" s="116"/>
      <c r="F782" s="116"/>
      <c r="G782" s="136"/>
      <c r="H782" s="116"/>
      <c r="I782" s="116"/>
      <c r="J782" s="116"/>
      <c r="K782" s="116"/>
      <c r="L782" s="116"/>
      <c r="M782" s="116"/>
      <c r="N782" s="31"/>
      <c r="O782" s="31"/>
    </row>
    <row r="783" spans="1:15" x14ac:dyDescent="0.35">
      <c r="A783" s="116"/>
      <c r="B783" s="116"/>
      <c r="C783" s="116"/>
      <c r="D783" s="116"/>
      <c r="E783" s="116"/>
      <c r="F783" s="116"/>
      <c r="G783" s="136"/>
      <c r="H783" s="116"/>
      <c r="I783" s="116"/>
      <c r="J783" s="116"/>
      <c r="K783" s="116"/>
      <c r="L783" s="116"/>
      <c r="M783" s="116"/>
      <c r="N783" s="116"/>
      <c r="O783" s="116"/>
    </row>
    <row r="784" spans="1:15" x14ac:dyDescent="0.35">
      <c r="A784" s="116"/>
      <c r="B784" s="116"/>
      <c r="C784" s="116"/>
      <c r="D784" s="116"/>
      <c r="E784" s="116"/>
      <c r="F784" s="116"/>
      <c r="G784" s="136"/>
      <c r="H784" s="116"/>
      <c r="I784" s="116"/>
      <c r="J784" s="116"/>
      <c r="K784" s="116"/>
      <c r="L784" s="116"/>
      <c r="M784" s="116"/>
      <c r="N784" s="116"/>
      <c r="O784" s="116"/>
    </row>
    <row r="785" spans="1:15" x14ac:dyDescent="0.35">
      <c r="A785" s="116"/>
      <c r="B785" s="116"/>
      <c r="C785" s="116"/>
      <c r="D785" s="116"/>
      <c r="E785" s="116"/>
      <c r="F785" s="116"/>
      <c r="G785" s="136"/>
      <c r="H785" s="116"/>
      <c r="I785" s="116"/>
      <c r="J785" s="116"/>
      <c r="K785" s="116"/>
      <c r="L785" s="116"/>
      <c r="M785" s="116"/>
      <c r="N785" s="116"/>
      <c r="O785" s="116"/>
    </row>
    <row r="786" spans="1:15" x14ac:dyDescent="0.35">
      <c r="A786" s="116"/>
      <c r="B786" s="116"/>
      <c r="C786" s="116"/>
      <c r="D786" s="116"/>
      <c r="E786" s="116"/>
      <c r="F786" s="116"/>
      <c r="G786" s="136"/>
      <c r="H786" s="116"/>
      <c r="I786" s="116"/>
      <c r="J786" s="116"/>
      <c r="K786" s="116"/>
      <c r="L786" s="116"/>
      <c r="M786" s="116"/>
      <c r="N786" s="31"/>
      <c r="O786" s="31"/>
    </row>
    <row r="787" spans="1:15" x14ac:dyDescent="0.35">
      <c r="A787" s="116"/>
      <c r="B787" s="116"/>
      <c r="C787" s="116"/>
      <c r="D787" s="116"/>
      <c r="E787" s="116"/>
      <c r="F787" s="116"/>
      <c r="G787" s="136"/>
      <c r="H787" s="116"/>
      <c r="I787" s="116"/>
      <c r="J787" s="116"/>
      <c r="K787" s="116"/>
      <c r="L787" s="116"/>
      <c r="M787" s="116"/>
    </row>
    <row r="788" spans="1:15" x14ac:dyDescent="0.35">
      <c r="A788" s="116"/>
      <c r="B788" s="116"/>
      <c r="C788" s="116"/>
      <c r="D788" s="116"/>
      <c r="E788" s="116"/>
      <c r="F788" s="116"/>
      <c r="G788" s="136"/>
      <c r="H788" s="116"/>
      <c r="I788" s="116"/>
      <c r="J788" s="116"/>
      <c r="K788" s="116"/>
      <c r="L788" s="116"/>
      <c r="M788" s="116"/>
    </row>
    <row r="789" spans="1:15" x14ac:dyDescent="0.35">
      <c r="A789" s="116"/>
      <c r="B789" s="116"/>
      <c r="C789" s="116"/>
      <c r="D789" s="116"/>
      <c r="E789" s="116"/>
      <c r="F789" s="116"/>
      <c r="G789" s="136"/>
      <c r="H789" s="116"/>
      <c r="I789" s="116"/>
      <c r="J789" s="116"/>
      <c r="K789" s="116"/>
      <c r="L789" s="116"/>
      <c r="M789" s="116"/>
    </row>
    <row r="790" spans="1:15" x14ac:dyDescent="0.35">
      <c r="A790" s="116"/>
      <c r="B790" s="116"/>
      <c r="C790" s="116"/>
      <c r="D790" s="116"/>
      <c r="E790" s="116"/>
      <c r="F790" s="116"/>
      <c r="G790" s="136"/>
      <c r="H790" s="116"/>
      <c r="I790" s="116"/>
      <c r="J790" s="116"/>
      <c r="K790" s="116"/>
      <c r="L790" s="116"/>
      <c r="M790" s="116"/>
    </row>
    <row r="791" spans="1:15" x14ac:dyDescent="0.35">
      <c r="A791" s="116"/>
      <c r="B791" s="116"/>
      <c r="C791" s="116"/>
      <c r="D791" s="116"/>
      <c r="E791" s="116"/>
      <c r="F791" s="116"/>
      <c r="G791" s="136"/>
      <c r="H791" s="116"/>
      <c r="I791" s="116"/>
      <c r="J791" s="116"/>
      <c r="K791" s="116"/>
      <c r="L791" s="116"/>
      <c r="M791" s="116"/>
    </row>
    <row r="792" spans="1:15" x14ac:dyDescent="0.35">
      <c r="A792" s="116"/>
      <c r="B792" s="116"/>
      <c r="C792" s="116"/>
      <c r="D792" s="116"/>
      <c r="E792" s="116"/>
      <c r="F792" s="116"/>
      <c r="G792" s="136"/>
      <c r="H792" s="116"/>
      <c r="I792" s="116"/>
      <c r="J792" s="116"/>
      <c r="K792" s="116"/>
      <c r="L792" s="116"/>
      <c r="M792" s="116"/>
    </row>
    <row r="793" spans="1:15" x14ac:dyDescent="0.35">
      <c r="A793" s="116"/>
      <c r="B793" s="116"/>
      <c r="C793" s="116"/>
      <c r="D793" s="116"/>
      <c r="E793" s="116"/>
      <c r="F793" s="116"/>
      <c r="G793" s="136"/>
      <c r="H793" s="116"/>
      <c r="I793" s="116"/>
      <c r="J793" s="116"/>
      <c r="K793" s="116"/>
      <c r="L793" s="116"/>
      <c r="M793" s="116"/>
      <c r="N793" s="116"/>
      <c r="O793" s="116"/>
    </row>
    <row r="794" spans="1:15" x14ac:dyDescent="0.35">
      <c r="A794" s="116"/>
      <c r="B794" s="116"/>
      <c r="C794" s="116"/>
      <c r="D794" s="116"/>
      <c r="E794" s="116"/>
      <c r="F794" s="116"/>
      <c r="G794" s="136"/>
      <c r="H794" s="116"/>
      <c r="I794" s="116"/>
      <c r="J794" s="116"/>
      <c r="K794" s="116"/>
      <c r="L794" s="116"/>
      <c r="M794" s="116"/>
      <c r="N794" s="116"/>
      <c r="O794" s="116"/>
    </row>
    <row r="795" spans="1:15" x14ac:dyDescent="0.35">
      <c r="A795" s="116"/>
      <c r="B795" s="116"/>
      <c r="C795" s="116"/>
      <c r="D795" s="116"/>
      <c r="E795" s="116"/>
      <c r="F795" s="116"/>
      <c r="G795" s="136"/>
      <c r="H795" s="116"/>
      <c r="I795" s="116"/>
      <c r="J795" s="116"/>
      <c r="K795" s="116"/>
      <c r="L795" s="116"/>
      <c r="M795" s="116"/>
      <c r="N795" s="116"/>
      <c r="O795" s="116"/>
    </row>
    <row r="796" spans="1:15" x14ac:dyDescent="0.35">
      <c r="A796" s="116"/>
      <c r="B796" s="116"/>
      <c r="C796" s="116"/>
      <c r="D796" s="116"/>
      <c r="E796" s="116"/>
      <c r="F796" s="116"/>
      <c r="G796" s="136"/>
      <c r="H796" s="116"/>
      <c r="I796" s="116"/>
      <c r="J796" s="116"/>
      <c r="K796" s="116"/>
      <c r="L796" s="116"/>
      <c r="M796" s="116"/>
    </row>
    <row r="797" spans="1:15" x14ac:dyDescent="0.35">
      <c r="A797" s="116"/>
      <c r="B797" s="116"/>
      <c r="C797" s="116"/>
      <c r="D797" s="116"/>
      <c r="E797" s="116"/>
      <c r="F797" s="116"/>
      <c r="G797" s="136"/>
      <c r="H797" s="116"/>
      <c r="I797" s="116"/>
      <c r="J797" s="116"/>
      <c r="K797" s="116"/>
      <c r="L797" s="116"/>
      <c r="M797" s="116"/>
    </row>
    <row r="798" spans="1:15" x14ac:dyDescent="0.35">
      <c r="A798" s="116"/>
      <c r="B798" s="116"/>
      <c r="C798" s="116"/>
      <c r="D798" s="116"/>
      <c r="E798" s="116"/>
      <c r="F798" s="116"/>
      <c r="G798" s="136"/>
      <c r="H798" s="116"/>
      <c r="I798" s="116"/>
      <c r="J798" s="116"/>
      <c r="K798" s="116"/>
      <c r="L798" s="116"/>
      <c r="M798" s="116"/>
      <c r="N798" s="116"/>
      <c r="O798" s="116"/>
    </row>
    <row r="799" spans="1:15" x14ac:dyDescent="0.35">
      <c r="A799" s="116"/>
      <c r="B799" s="116"/>
      <c r="C799" s="116"/>
      <c r="D799" s="116"/>
      <c r="E799" s="116"/>
      <c r="F799" s="116"/>
      <c r="G799" s="136"/>
      <c r="H799" s="116"/>
      <c r="I799" s="116"/>
      <c r="J799" s="116"/>
      <c r="K799" s="116"/>
      <c r="L799" s="116"/>
      <c r="M799" s="116"/>
      <c r="N799" s="116"/>
      <c r="O799" s="116"/>
    </row>
    <row r="800" spans="1:15" x14ac:dyDescent="0.35">
      <c r="A800" s="116"/>
      <c r="B800" s="116"/>
      <c r="C800" s="116"/>
      <c r="D800" s="116"/>
      <c r="E800" s="116"/>
      <c r="F800" s="116"/>
      <c r="G800" s="136"/>
      <c r="H800" s="116"/>
      <c r="I800" s="116"/>
      <c r="J800" s="116"/>
      <c r="K800" s="116"/>
      <c r="L800" s="116"/>
      <c r="M800" s="116"/>
      <c r="N800" s="116"/>
      <c r="O800" s="116"/>
    </row>
    <row r="801" spans="1:15" x14ac:dyDescent="0.35">
      <c r="A801" s="116"/>
      <c r="B801" s="116"/>
      <c r="C801" s="116"/>
      <c r="D801" s="116"/>
      <c r="E801" s="116"/>
      <c r="F801" s="116"/>
      <c r="G801" s="136"/>
      <c r="H801" s="116"/>
      <c r="I801" s="116"/>
      <c r="J801" s="116"/>
      <c r="K801" s="116"/>
      <c r="L801" s="116"/>
      <c r="M801" s="116"/>
      <c r="N801" s="116"/>
      <c r="O801" s="116"/>
    </row>
    <row r="802" spans="1:15" x14ac:dyDescent="0.35">
      <c r="A802" s="116"/>
      <c r="B802" s="116"/>
      <c r="C802" s="116"/>
      <c r="D802" s="116"/>
      <c r="E802" s="116"/>
      <c r="F802" s="116"/>
      <c r="G802" s="136"/>
      <c r="H802" s="116"/>
      <c r="I802" s="116"/>
      <c r="J802" s="116"/>
      <c r="K802" s="116"/>
      <c r="L802" s="116"/>
      <c r="M802" s="116"/>
      <c r="N802" s="116"/>
      <c r="O802" s="116"/>
    </row>
    <row r="803" spans="1:15" x14ac:dyDescent="0.35">
      <c r="A803" s="116"/>
      <c r="B803" s="116"/>
      <c r="C803" s="116"/>
      <c r="D803" s="116"/>
      <c r="E803" s="116"/>
      <c r="F803" s="116"/>
      <c r="G803" s="136"/>
      <c r="H803" s="116"/>
      <c r="I803" s="116"/>
      <c r="J803" s="116"/>
      <c r="K803" s="116"/>
      <c r="L803" s="116"/>
      <c r="M803" s="116"/>
      <c r="N803" s="116"/>
      <c r="O803" s="116"/>
    </row>
    <row r="804" spans="1:15" x14ac:dyDescent="0.35">
      <c r="A804" s="116"/>
      <c r="B804" s="116"/>
      <c r="C804" s="116"/>
      <c r="D804" s="116"/>
      <c r="E804" s="116"/>
      <c r="F804" s="116"/>
      <c r="G804" s="136"/>
      <c r="H804" s="116"/>
      <c r="I804" s="116"/>
      <c r="J804" s="116"/>
      <c r="K804" s="116"/>
      <c r="L804" s="116"/>
      <c r="M804" s="116"/>
      <c r="N804" s="116"/>
      <c r="O804" s="116"/>
    </row>
    <row r="805" spans="1:15" x14ac:dyDescent="0.35">
      <c r="A805" s="116"/>
      <c r="B805" s="116"/>
      <c r="C805" s="116"/>
      <c r="D805" s="116"/>
      <c r="E805" s="116"/>
      <c r="F805" s="116"/>
      <c r="G805" s="136"/>
      <c r="H805" s="116"/>
      <c r="I805" s="116"/>
      <c r="J805" s="116"/>
      <c r="K805" s="116"/>
      <c r="L805" s="116"/>
      <c r="M805" s="116"/>
    </row>
    <row r="806" spans="1:15" x14ac:dyDescent="0.35">
      <c r="A806" s="116"/>
      <c r="B806" s="116"/>
      <c r="C806" s="116"/>
      <c r="D806" s="116"/>
      <c r="E806" s="116"/>
      <c r="F806" s="116"/>
      <c r="G806" s="136"/>
      <c r="H806" s="116"/>
      <c r="I806" s="116"/>
      <c r="J806" s="116"/>
      <c r="K806" s="116"/>
      <c r="L806" s="116"/>
      <c r="M806" s="116"/>
      <c r="N806" s="116"/>
      <c r="O806" s="116"/>
    </row>
    <row r="807" spans="1:15" x14ac:dyDescent="0.35">
      <c r="A807" s="116"/>
      <c r="B807" s="116"/>
      <c r="C807" s="116"/>
      <c r="D807" s="116"/>
      <c r="E807" s="116"/>
      <c r="F807" s="116"/>
      <c r="G807" s="136"/>
      <c r="H807" s="116"/>
      <c r="I807" s="116"/>
      <c r="J807" s="116"/>
      <c r="K807" s="116"/>
      <c r="L807" s="116"/>
      <c r="M807" s="116"/>
      <c r="N807" s="116"/>
      <c r="O807" s="116"/>
    </row>
    <row r="808" spans="1:15" x14ac:dyDescent="0.35">
      <c r="A808" s="116"/>
      <c r="B808" s="116"/>
      <c r="C808" s="116"/>
      <c r="D808" s="116"/>
      <c r="E808" s="116"/>
      <c r="F808" s="116"/>
      <c r="G808" s="136"/>
      <c r="H808" s="116"/>
      <c r="I808" s="116"/>
      <c r="J808" s="116"/>
      <c r="K808" s="116"/>
      <c r="L808" s="116"/>
      <c r="M808" s="116"/>
      <c r="N808" s="116"/>
      <c r="O808" s="116"/>
    </row>
    <row r="809" spans="1:15" x14ac:dyDescent="0.35">
      <c r="A809" s="116"/>
      <c r="B809" s="116"/>
      <c r="C809" s="116"/>
      <c r="D809" s="116"/>
      <c r="E809" s="116"/>
      <c r="F809" s="116"/>
      <c r="G809" s="136"/>
      <c r="H809" s="116"/>
      <c r="I809" s="116"/>
      <c r="J809" s="116"/>
      <c r="K809" s="116"/>
      <c r="L809" s="116"/>
      <c r="M809" s="116"/>
    </row>
    <row r="810" spans="1:15" x14ac:dyDescent="0.35">
      <c r="A810" s="116"/>
      <c r="B810" s="116"/>
      <c r="C810" s="116"/>
      <c r="D810" s="116"/>
      <c r="E810" s="116"/>
      <c r="F810" s="116"/>
      <c r="G810" s="136"/>
      <c r="H810" s="116"/>
      <c r="I810" s="116"/>
      <c r="J810" s="116"/>
      <c r="K810" s="116"/>
      <c r="L810" s="116"/>
      <c r="M810" s="116"/>
      <c r="N810" s="116"/>
      <c r="O810" s="116"/>
    </row>
    <row r="811" spans="1:15" x14ac:dyDescent="0.35">
      <c r="A811" s="116"/>
      <c r="B811" s="116"/>
      <c r="C811" s="116"/>
      <c r="D811" s="116"/>
      <c r="E811" s="116"/>
      <c r="F811" s="116"/>
      <c r="G811" s="136"/>
      <c r="H811" s="116"/>
      <c r="I811" s="116"/>
      <c r="J811" s="116"/>
      <c r="K811" s="116"/>
      <c r="L811" s="116"/>
      <c r="M811" s="116"/>
      <c r="N811" s="116"/>
      <c r="O811" s="116"/>
    </row>
    <row r="812" spans="1:15" x14ac:dyDescent="0.35">
      <c r="A812" s="116"/>
      <c r="B812" s="116"/>
      <c r="C812" s="116"/>
      <c r="D812" s="116"/>
      <c r="E812" s="116"/>
      <c r="F812" s="116"/>
      <c r="G812" s="136"/>
      <c r="H812" s="116"/>
      <c r="I812" s="116"/>
      <c r="J812" s="116"/>
      <c r="K812" s="116"/>
      <c r="L812" s="116"/>
      <c r="M812" s="116"/>
      <c r="N812" s="116"/>
      <c r="O812" s="116"/>
    </row>
    <row r="813" spans="1:15" x14ac:dyDescent="0.35">
      <c r="A813" s="116"/>
      <c r="B813" s="116"/>
      <c r="C813" s="116"/>
      <c r="D813" s="116"/>
      <c r="E813" s="116"/>
      <c r="F813" s="116"/>
      <c r="G813" s="136"/>
      <c r="H813" s="116"/>
      <c r="I813" s="116"/>
      <c r="J813" s="116"/>
      <c r="K813" s="116"/>
      <c r="L813" s="116"/>
      <c r="M813" s="116"/>
      <c r="N813" s="116"/>
      <c r="O813" s="116"/>
    </row>
    <row r="814" spans="1:15" x14ac:dyDescent="0.35">
      <c r="A814" s="116"/>
      <c r="B814" s="116"/>
      <c r="C814" s="116"/>
      <c r="D814" s="116"/>
      <c r="E814" s="116"/>
      <c r="F814" s="116"/>
      <c r="G814" s="136"/>
      <c r="H814" s="116"/>
      <c r="I814" s="116"/>
      <c r="J814" s="116"/>
      <c r="K814" s="116"/>
      <c r="L814" s="116"/>
      <c r="M814" s="116"/>
      <c r="N814" s="116"/>
      <c r="O814" s="116"/>
    </row>
    <row r="815" spans="1:15" x14ac:dyDescent="0.35">
      <c r="A815" s="116"/>
      <c r="B815" s="116"/>
      <c r="C815" s="116"/>
      <c r="D815" s="116"/>
      <c r="E815" s="116"/>
      <c r="F815" s="116"/>
      <c r="G815" s="136"/>
      <c r="H815" s="116"/>
      <c r="I815" s="116"/>
      <c r="J815" s="116"/>
      <c r="K815" s="116"/>
      <c r="L815" s="116"/>
      <c r="M815" s="116"/>
    </row>
    <row r="816" spans="1:15" x14ac:dyDescent="0.35">
      <c r="A816" s="116"/>
      <c r="B816" s="116"/>
      <c r="C816" s="116"/>
      <c r="D816" s="116"/>
      <c r="E816" s="116"/>
      <c r="F816" s="116"/>
      <c r="G816" s="136"/>
      <c r="H816" s="116"/>
      <c r="I816" s="116"/>
      <c r="J816" s="116"/>
      <c r="K816" s="116"/>
      <c r="L816" s="116"/>
      <c r="M816" s="116"/>
    </row>
    <row r="817" spans="1:15" x14ac:dyDescent="0.35">
      <c r="A817" s="116"/>
      <c r="B817" s="116"/>
      <c r="C817" s="116"/>
      <c r="D817" s="116"/>
      <c r="E817" s="116"/>
      <c r="F817" s="116"/>
      <c r="G817" s="136"/>
      <c r="H817" s="116"/>
      <c r="I817" s="116"/>
      <c r="J817" s="116"/>
      <c r="K817" s="116"/>
      <c r="L817" s="116"/>
      <c r="M817" s="116"/>
      <c r="N817" s="31"/>
      <c r="O817" s="31"/>
    </row>
    <row r="818" spans="1:15" x14ac:dyDescent="0.35">
      <c r="A818" s="116"/>
      <c r="B818" s="116"/>
      <c r="C818" s="116"/>
      <c r="D818" s="116"/>
      <c r="E818" s="116"/>
      <c r="F818" s="116"/>
      <c r="G818" s="136"/>
      <c r="H818" s="116"/>
      <c r="I818" s="116"/>
      <c r="J818" s="116"/>
      <c r="K818" s="116"/>
      <c r="L818" s="116"/>
      <c r="M818" s="116"/>
    </row>
    <row r="819" spans="1:15" x14ac:dyDescent="0.35">
      <c r="A819" s="116"/>
      <c r="B819" s="116"/>
      <c r="C819" s="116"/>
      <c r="D819" s="116"/>
      <c r="E819" s="116"/>
      <c r="F819" s="116"/>
      <c r="G819" s="136"/>
      <c r="H819" s="116"/>
      <c r="I819" s="116"/>
      <c r="J819" s="116"/>
      <c r="K819" s="116"/>
      <c r="L819" s="116"/>
      <c r="M819" s="116"/>
    </row>
    <row r="820" spans="1:15" x14ac:dyDescent="0.35">
      <c r="A820" s="116"/>
      <c r="B820" s="116"/>
      <c r="C820" s="116"/>
      <c r="D820" s="116"/>
      <c r="E820" s="116"/>
      <c r="F820" s="116"/>
      <c r="G820" s="136"/>
      <c r="H820" s="116"/>
      <c r="I820" s="116"/>
      <c r="J820" s="116"/>
      <c r="K820" s="116"/>
      <c r="L820" s="116"/>
      <c r="M820" s="116"/>
    </row>
    <row r="821" spans="1:15" x14ac:dyDescent="0.35">
      <c r="A821" s="116"/>
      <c r="B821" s="116"/>
      <c r="C821" s="116"/>
      <c r="D821" s="116"/>
      <c r="E821" s="116"/>
      <c r="F821" s="116"/>
      <c r="G821" s="136"/>
      <c r="H821" s="116"/>
      <c r="I821" s="116"/>
      <c r="J821" s="116"/>
      <c r="K821" s="116"/>
      <c r="L821" s="116"/>
      <c r="M821" s="116"/>
      <c r="N821" s="116"/>
      <c r="O821" s="116"/>
    </row>
    <row r="822" spans="1:15" x14ac:dyDescent="0.35">
      <c r="A822" s="116"/>
      <c r="B822" s="116"/>
      <c r="C822" s="116"/>
      <c r="D822" s="116"/>
      <c r="E822" s="116"/>
      <c r="F822" s="116"/>
      <c r="G822" s="136"/>
      <c r="H822" s="116"/>
      <c r="I822" s="116"/>
      <c r="J822" s="116"/>
      <c r="K822" s="116"/>
      <c r="L822" s="116"/>
      <c r="M822" s="116"/>
    </row>
    <row r="823" spans="1:15" x14ac:dyDescent="0.35">
      <c r="A823" s="116"/>
      <c r="B823" s="116"/>
      <c r="C823" s="116"/>
      <c r="D823" s="116"/>
      <c r="E823" s="116"/>
      <c r="F823" s="116"/>
      <c r="G823" s="136"/>
      <c r="H823" s="116"/>
      <c r="I823" s="116"/>
      <c r="J823" s="116"/>
      <c r="K823" s="116"/>
      <c r="L823" s="116"/>
      <c r="M823" s="116"/>
    </row>
    <row r="824" spans="1:15" x14ac:dyDescent="0.35">
      <c r="A824" s="116"/>
      <c r="B824" s="116"/>
      <c r="C824" s="116"/>
      <c r="D824" s="116"/>
      <c r="E824" s="116"/>
      <c r="F824" s="116"/>
      <c r="G824" s="136"/>
      <c r="H824" s="116"/>
      <c r="I824" s="116"/>
      <c r="J824" s="116"/>
      <c r="K824" s="116"/>
      <c r="L824" s="116"/>
      <c r="M824" s="116"/>
      <c r="N824" s="116"/>
      <c r="O824" s="116"/>
    </row>
    <row r="825" spans="1:15" x14ac:dyDescent="0.35">
      <c r="A825" s="116"/>
      <c r="B825" s="116"/>
      <c r="C825" s="116"/>
      <c r="D825" s="116"/>
      <c r="E825" s="116"/>
      <c r="F825" s="116"/>
      <c r="G825" s="136"/>
      <c r="H825" s="116"/>
      <c r="I825" s="116"/>
      <c r="J825" s="116"/>
      <c r="K825" s="116"/>
      <c r="L825" s="116"/>
      <c r="M825" s="116"/>
      <c r="N825" s="116"/>
      <c r="O825" s="116"/>
    </row>
    <row r="826" spans="1:15" x14ac:dyDescent="0.35">
      <c r="A826" s="116"/>
      <c r="B826" s="116"/>
      <c r="C826" s="116"/>
      <c r="D826" s="116"/>
      <c r="E826" s="116"/>
      <c r="F826" s="116"/>
      <c r="G826" s="136"/>
      <c r="H826" s="116"/>
      <c r="I826" s="116"/>
      <c r="J826" s="116"/>
      <c r="K826" s="116"/>
      <c r="L826" s="116"/>
      <c r="M826" s="116"/>
      <c r="N826" s="31"/>
      <c r="O826" s="31"/>
    </row>
    <row r="827" spans="1:15" x14ac:dyDescent="0.35">
      <c r="A827" s="116"/>
      <c r="B827" s="116"/>
      <c r="C827" s="116"/>
      <c r="D827" s="116"/>
      <c r="E827" s="116"/>
      <c r="F827" s="116"/>
      <c r="G827" s="136"/>
      <c r="H827" s="116"/>
      <c r="I827" s="116"/>
      <c r="J827" s="116"/>
      <c r="K827" s="116"/>
      <c r="L827" s="116"/>
      <c r="M827" s="116"/>
      <c r="N827" s="31"/>
      <c r="O827" s="31"/>
    </row>
    <row r="828" spans="1:15" x14ac:dyDescent="0.35">
      <c r="A828" s="116"/>
      <c r="B828" s="116"/>
      <c r="C828" s="116"/>
      <c r="D828" s="116"/>
      <c r="E828" s="116"/>
      <c r="F828" s="116"/>
      <c r="G828" s="136"/>
      <c r="H828" s="116"/>
      <c r="I828" s="116"/>
      <c r="J828" s="116"/>
      <c r="K828" s="116"/>
      <c r="L828" s="116"/>
      <c r="M828" s="116"/>
    </row>
    <row r="829" spans="1:15" x14ac:dyDescent="0.35">
      <c r="A829" s="116"/>
      <c r="B829" s="116"/>
      <c r="C829" s="116"/>
      <c r="D829" s="116"/>
      <c r="E829" s="116"/>
      <c r="F829" s="116"/>
      <c r="G829" s="136"/>
      <c r="H829" s="116"/>
      <c r="I829" s="116"/>
      <c r="J829" s="116"/>
      <c r="K829" s="116"/>
      <c r="L829" s="116"/>
      <c r="M829" s="116"/>
    </row>
    <row r="830" spans="1:15" x14ac:dyDescent="0.35">
      <c r="A830" s="116"/>
      <c r="B830" s="116"/>
      <c r="C830" s="116"/>
      <c r="D830" s="116"/>
      <c r="E830" s="116"/>
      <c r="F830" s="116"/>
      <c r="G830" s="136"/>
      <c r="H830" s="116"/>
      <c r="I830" s="116"/>
      <c r="J830" s="116"/>
      <c r="K830" s="116"/>
      <c r="L830" s="116"/>
      <c r="M830" s="116"/>
    </row>
    <row r="831" spans="1:15" x14ac:dyDescent="0.35">
      <c r="A831" s="116"/>
      <c r="B831" s="116"/>
      <c r="C831" s="116"/>
      <c r="D831" s="116"/>
      <c r="E831" s="116"/>
      <c r="F831" s="116"/>
      <c r="G831" s="136"/>
      <c r="H831" s="116"/>
      <c r="I831" s="116"/>
      <c r="J831" s="116"/>
      <c r="K831" s="116"/>
      <c r="L831" s="116"/>
      <c r="M831" s="116"/>
    </row>
    <row r="832" spans="1:15" x14ac:dyDescent="0.35">
      <c r="A832" s="116"/>
      <c r="B832" s="116"/>
      <c r="C832" s="116"/>
      <c r="D832" s="116"/>
      <c r="E832" s="116"/>
      <c r="F832" s="116"/>
      <c r="G832" s="136"/>
      <c r="H832" s="116"/>
      <c r="I832" s="116"/>
      <c r="J832" s="116"/>
      <c r="K832" s="116"/>
      <c r="L832" s="116"/>
      <c r="M832" s="116"/>
    </row>
    <row r="833" spans="1:15" x14ac:dyDescent="0.35">
      <c r="A833" s="116"/>
      <c r="B833" s="116"/>
      <c r="C833" s="116"/>
      <c r="D833" s="116"/>
      <c r="E833" s="116"/>
      <c r="F833" s="116"/>
      <c r="G833" s="136"/>
      <c r="H833" s="116"/>
      <c r="I833" s="116"/>
      <c r="J833" s="116"/>
      <c r="K833" s="116"/>
      <c r="L833" s="116"/>
      <c r="M833" s="116"/>
      <c r="N833" s="116"/>
      <c r="O833" s="116"/>
    </row>
    <row r="834" spans="1:15" x14ac:dyDescent="0.35">
      <c r="A834" s="116"/>
      <c r="B834" s="116"/>
      <c r="C834" s="116"/>
      <c r="D834" s="116"/>
      <c r="E834" s="116"/>
      <c r="F834" s="116"/>
      <c r="G834" s="136"/>
      <c r="H834" s="116"/>
      <c r="I834" s="116"/>
      <c r="J834" s="116"/>
      <c r="K834" s="116"/>
      <c r="L834" s="116"/>
      <c r="M834" s="116"/>
    </row>
    <row r="835" spans="1:15" x14ac:dyDescent="0.35">
      <c r="A835" s="116"/>
      <c r="B835" s="116"/>
      <c r="C835" s="116"/>
      <c r="D835" s="116"/>
      <c r="E835" s="116"/>
      <c r="F835" s="116"/>
      <c r="G835" s="136"/>
      <c r="H835" s="116"/>
      <c r="I835" s="116"/>
      <c r="J835" s="116"/>
      <c r="K835" s="116"/>
      <c r="L835" s="116"/>
      <c r="M835" s="116"/>
      <c r="N835" s="116"/>
      <c r="O835" s="116"/>
    </row>
    <row r="836" spans="1:15" x14ac:dyDescent="0.35">
      <c r="A836" s="116"/>
      <c r="B836" s="116"/>
      <c r="C836" s="116"/>
      <c r="D836" s="116"/>
      <c r="E836" s="116"/>
      <c r="F836" s="116"/>
      <c r="G836" s="136"/>
      <c r="H836" s="116"/>
      <c r="I836" s="116"/>
      <c r="J836" s="116"/>
      <c r="K836" s="116"/>
      <c r="L836" s="116"/>
      <c r="M836" s="116"/>
      <c r="N836" s="116"/>
      <c r="O836" s="116"/>
    </row>
    <row r="837" spans="1:15" x14ac:dyDescent="0.35">
      <c r="A837" s="116"/>
      <c r="B837" s="116"/>
      <c r="C837" s="116"/>
      <c r="D837" s="116"/>
      <c r="E837" s="116"/>
      <c r="F837" s="116"/>
      <c r="G837" s="136"/>
      <c r="H837" s="116"/>
      <c r="I837" s="116"/>
      <c r="J837" s="116"/>
      <c r="K837" s="116"/>
      <c r="L837" s="116"/>
      <c r="M837" s="116"/>
      <c r="N837" s="116"/>
      <c r="O837" s="116"/>
    </row>
    <row r="838" spans="1:15" x14ac:dyDescent="0.35">
      <c r="A838" s="116"/>
      <c r="B838" s="116"/>
      <c r="C838" s="116"/>
      <c r="D838" s="116"/>
      <c r="E838" s="116"/>
      <c r="F838" s="116"/>
      <c r="G838" s="136"/>
      <c r="H838" s="116"/>
      <c r="I838" s="116"/>
      <c r="J838" s="116"/>
      <c r="K838" s="116"/>
      <c r="L838" s="116"/>
      <c r="M838" s="116"/>
      <c r="N838" s="116"/>
      <c r="O838" s="116"/>
    </row>
    <row r="839" spans="1:15" x14ac:dyDescent="0.35">
      <c r="A839" s="116"/>
      <c r="B839" s="116"/>
      <c r="C839" s="116"/>
      <c r="D839" s="116"/>
      <c r="E839" s="116"/>
      <c r="F839" s="116"/>
      <c r="G839" s="136"/>
      <c r="H839" s="116"/>
      <c r="I839" s="116"/>
      <c r="J839" s="116"/>
      <c r="K839" s="116"/>
      <c r="L839" s="116"/>
      <c r="M839" s="116"/>
      <c r="N839" s="116"/>
      <c r="O839" s="116"/>
    </row>
    <row r="840" spans="1:15" x14ac:dyDescent="0.35">
      <c r="A840" s="116"/>
      <c r="B840" s="116"/>
      <c r="C840" s="116"/>
      <c r="D840" s="116"/>
      <c r="E840" s="116"/>
      <c r="F840" s="116"/>
      <c r="G840" s="136"/>
      <c r="H840" s="116"/>
      <c r="I840" s="116"/>
      <c r="J840" s="116"/>
      <c r="K840" s="116"/>
      <c r="L840" s="116"/>
      <c r="M840" s="116"/>
      <c r="N840" s="31"/>
      <c r="O840" s="31"/>
    </row>
    <row r="841" spans="1:15" x14ac:dyDescent="0.35">
      <c r="A841" s="116"/>
      <c r="B841" s="116"/>
      <c r="C841" s="116"/>
      <c r="D841" s="116"/>
      <c r="E841" s="116"/>
      <c r="F841" s="116"/>
      <c r="G841" s="136"/>
      <c r="H841" s="116"/>
      <c r="I841" s="116"/>
      <c r="J841" s="116"/>
      <c r="K841" s="116"/>
      <c r="L841" s="116"/>
      <c r="M841" s="116"/>
    </row>
    <row r="842" spans="1:15" x14ac:dyDescent="0.35">
      <c r="A842" s="116"/>
      <c r="B842" s="116"/>
      <c r="C842" s="116"/>
      <c r="D842" s="116"/>
      <c r="E842" s="116"/>
      <c r="F842" s="116"/>
      <c r="G842" s="136"/>
      <c r="H842" s="116"/>
      <c r="I842" s="116"/>
      <c r="J842" s="116"/>
      <c r="K842" s="116"/>
      <c r="L842" s="116"/>
      <c r="M842" s="116"/>
      <c r="N842" s="31"/>
      <c r="O842" s="31"/>
    </row>
    <row r="843" spans="1:15" x14ac:dyDescent="0.35">
      <c r="A843" s="116"/>
      <c r="B843" s="116"/>
      <c r="C843" s="116"/>
      <c r="D843" s="116"/>
      <c r="E843" s="116"/>
      <c r="F843" s="116"/>
      <c r="G843" s="136"/>
      <c r="H843" s="116"/>
      <c r="I843" s="116"/>
      <c r="J843" s="116"/>
      <c r="K843" s="116"/>
      <c r="L843" s="116"/>
      <c r="M843" s="116"/>
    </row>
    <row r="844" spans="1:15" x14ac:dyDescent="0.35">
      <c r="A844" s="116"/>
      <c r="B844" s="116"/>
      <c r="C844" s="116"/>
      <c r="D844" s="116"/>
      <c r="E844" s="116"/>
      <c r="F844" s="116"/>
      <c r="G844" s="136"/>
      <c r="H844" s="116"/>
      <c r="I844" s="116"/>
      <c r="J844" s="116"/>
      <c r="K844" s="116"/>
      <c r="L844" s="116"/>
      <c r="M844" s="116"/>
    </row>
    <row r="845" spans="1:15" x14ac:dyDescent="0.35">
      <c r="A845" s="116"/>
      <c r="B845" s="116"/>
      <c r="C845" s="116"/>
      <c r="D845" s="116"/>
      <c r="E845" s="116"/>
      <c r="F845" s="116"/>
      <c r="G845" s="136"/>
      <c r="H845" s="116"/>
      <c r="I845" s="116"/>
      <c r="J845" s="116"/>
      <c r="K845" s="116"/>
      <c r="L845" s="116"/>
      <c r="M845" s="116"/>
    </row>
    <row r="846" spans="1:15" x14ac:dyDescent="0.35">
      <c r="A846" s="116"/>
      <c r="B846" s="116"/>
      <c r="C846" s="116"/>
      <c r="D846" s="116"/>
      <c r="E846" s="116"/>
      <c r="F846" s="116"/>
      <c r="G846" s="136"/>
      <c r="H846" s="116"/>
      <c r="I846" s="116"/>
      <c r="J846" s="116"/>
      <c r="K846" s="116"/>
      <c r="L846" s="116"/>
      <c r="M846" s="116"/>
    </row>
    <row r="847" spans="1:15" x14ac:dyDescent="0.35">
      <c r="A847" s="116"/>
      <c r="B847" s="116"/>
      <c r="C847" s="116"/>
      <c r="D847" s="116"/>
      <c r="E847" s="116"/>
      <c r="F847" s="116"/>
      <c r="G847" s="136"/>
      <c r="H847" s="116"/>
      <c r="I847" s="116"/>
      <c r="J847" s="116"/>
      <c r="K847" s="116"/>
      <c r="L847" s="116"/>
      <c r="M847" s="116"/>
    </row>
    <row r="848" spans="1:15" x14ac:dyDescent="0.35">
      <c r="A848" s="116"/>
      <c r="B848" s="116"/>
      <c r="C848" s="116"/>
      <c r="D848" s="116"/>
      <c r="E848" s="116"/>
      <c r="F848" s="116"/>
      <c r="G848" s="136"/>
      <c r="H848" s="116"/>
      <c r="I848" s="116"/>
      <c r="J848" s="116"/>
      <c r="K848" s="116"/>
      <c r="L848" s="116"/>
      <c r="M848" s="116"/>
      <c r="N848" s="116"/>
      <c r="O848" s="116"/>
    </row>
    <row r="849" spans="1:15" x14ac:dyDescent="0.35">
      <c r="A849" s="116"/>
      <c r="B849" s="116"/>
      <c r="C849" s="116"/>
      <c r="D849" s="116"/>
      <c r="E849" s="116"/>
      <c r="F849" s="116"/>
      <c r="G849" s="136"/>
      <c r="H849" s="116"/>
      <c r="I849" s="116"/>
      <c r="J849" s="116"/>
      <c r="K849" s="116"/>
      <c r="L849" s="116"/>
      <c r="M849" s="116"/>
    </row>
    <row r="850" spans="1:15" x14ac:dyDescent="0.35">
      <c r="A850" s="116"/>
      <c r="B850" s="116"/>
      <c r="C850" s="116"/>
      <c r="D850" s="116"/>
      <c r="E850" s="116"/>
      <c r="F850" s="116"/>
      <c r="G850" s="136"/>
      <c r="H850" s="116"/>
      <c r="I850" s="116"/>
      <c r="J850" s="116"/>
      <c r="K850" s="116"/>
      <c r="L850" s="116"/>
      <c r="M850" s="116"/>
      <c r="N850" s="116"/>
      <c r="O850" s="116"/>
    </row>
    <row r="851" spans="1:15" x14ac:dyDescent="0.35">
      <c r="A851" s="116"/>
      <c r="B851" s="116"/>
      <c r="C851" s="116"/>
      <c r="D851" s="116"/>
      <c r="E851" s="116"/>
      <c r="F851" s="116"/>
      <c r="G851" s="136"/>
      <c r="H851" s="116"/>
      <c r="I851" s="116"/>
      <c r="J851" s="116"/>
      <c r="K851" s="116"/>
      <c r="L851" s="116"/>
      <c r="M851" s="116"/>
      <c r="N851" s="116"/>
      <c r="O851" s="116"/>
    </row>
    <row r="852" spans="1:15" x14ac:dyDescent="0.35">
      <c r="A852" s="116"/>
      <c r="B852" s="116"/>
      <c r="C852" s="116"/>
      <c r="D852" s="116"/>
      <c r="E852" s="116"/>
      <c r="F852" s="116"/>
      <c r="G852" s="136"/>
      <c r="H852" s="116"/>
      <c r="I852" s="116"/>
      <c r="J852" s="116"/>
      <c r="K852" s="116"/>
      <c r="L852" s="116"/>
      <c r="M852" s="116"/>
      <c r="N852" s="116"/>
      <c r="O852" s="116"/>
    </row>
    <row r="853" spans="1:15" x14ac:dyDescent="0.35">
      <c r="A853" s="116"/>
      <c r="B853" s="116"/>
      <c r="C853" s="116"/>
      <c r="D853" s="116"/>
      <c r="E853" s="116"/>
      <c r="F853" s="116"/>
      <c r="G853" s="136"/>
      <c r="H853" s="116"/>
      <c r="I853" s="116"/>
      <c r="J853" s="116"/>
      <c r="K853" s="116"/>
      <c r="L853" s="116"/>
      <c r="M853" s="116"/>
      <c r="N853" s="116"/>
      <c r="O853" s="116"/>
    </row>
    <row r="854" spans="1:15" x14ac:dyDescent="0.35">
      <c r="A854" s="116"/>
      <c r="B854" s="116"/>
      <c r="C854" s="116"/>
      <c r="D854" s="116"/>
      <c r="E854" s="116"/>
      <c r="F854" s="116"/>
      <c r="G854" s="136"/>
      <c r="H854" s="116"/>
      <c r="I854" s="116"/>
      <c r="J854" s="116"/>
      <c r="K854" s="116"/>
      <c r="L854" s="116"/>
      <c r="M854" s="116"/>
      <c r="N854" s="31"/>
      <c r="O854" s="31"/>
    </row>
    <row r="855" spans="1:15" x14ac:dyDescent="0.35">
      <c r="A855" s="116"/>
      <c r="B855" s="116"/>
      <c r="C855" s="116"/>
      <c r="D855" s="116"/>
      <c r="E855" s="116"/>
      <c r="F855" s="116"/>
      <c r="G855" s="136"/>
      <c r="H855" s="116"/>
      <c r="I855" s="116"/>
      <c r="J855" s="116"/>
      <c r="K855" s="116"/>
      <c r="L855" s="116"/>
      <c r="M855" s="116"/>
      <c r="N855" s="31"/>
      <c r="O855" s="31"/>
    </row>
    <row r="856" spans="1:15" x14ac:dyDescent="0.35">
      <c r="A856" s="116"/>
      <c r="B856" s="116"/>
      <c r="C856" s="116"/>
      <c r="D856" s="116"/>
      <c r="E856" s="116"/>
      <c r="F856" s="116"/>
      <c r="G856" s="136"/>
      <c r="H856" s="116"/>
      <c r="I856" s="116"/>
      <c r="J856" s="116"/>
      <c r="K856" s="116"/>
      <c r="L856" s="116"/>
      <c r="M856" s="116"/>
    </row>
    <row r="857" spans="1:15" x14ac:dyDescent="0.35">
      <c r="A857" s="116"/>
      <c r="B857" s="116"/>
      <c r="C857" s="116"/>
      <c r="D857" s="116"/>
      <c r="E857" s="116"/>
      <c r="F857" s="116"/>
      <c r="G857" s="136"/>
      <c r="H857" s="116"/>
      <c r="I857" s="116"/>
      <c r="J857" s="116"/>
      <c r="K857" s="116"/>
      <c r="L857" s="116"/>
      <c r="M857" s="116"/>
    </row>
    <row r="858" spans="1:15" x14ac:dyDescent="0.35">
      <c r="A858" s="116"/>
      <c r="B858" s="116"/>
      <c r="C858" s="116"/>
      <c r="D858" s="116"/>
      <c r="E858" s="116"/>
      <c r="F858" s="116"/>
      <c r="G858" s="136"/>
      <c r="H858" s="116"/>
      <c r="I858" s="116"/>
      <c r="J858" s="116"/>
      <c r="K858" s="116"/>
      <c r="L858" s="116"/>
      <c r="M858" s="116"/>
    </row>
    <row r="859" spans="1:15" x14ac:dyDescent="0.35">
      <c r="A859" s="116"/>
      <c r="B859" s="116"/>
      <c r="C859" s="116"/>
      <c r="D859" s="116"/>
      <c r="E859" s="116"/>
      <c r="F859" s="116"/>
      <c r="G859" s="136"/>
      <c r="H859" s="116"/>
      <c r="I859" s="116"/>
      <c r="J859" s="116"/>
      <c r="K859" s="116"/>
      <c r="L859" s="116"/>
      <c r="M859" s="116"/>
      <c r="N859" s="116"/>
      <c r="O859" s="116"/>
    </row>
    <row r="860" spans="1:15" x14ac:dyDescent="0.35">
      <c r="A860" s="116"/>
      <c r="B860" s="116"/>
      <c r="C860" s="116"/>
      <c r="D860" s="116"/>
      <c r="E860" s="116"/>
      <c r="F860" s="116"/>
      <c r="G860" s="136"/>
      <c r="H860" s="116"/>
      <c r="I860" s="116"/>
      <c r="J860" s="116"/>
      <c r="K860" s="116"/>
      <c r="L860" s="116"/>
      <c r="M860" s="116"/>
    </row>
    <row r="861" spans="1:15" x14ac:dyDescent="0.35">
      <c r="A861" s="116"/>
      <c r="B861" s="116"/>
      <c r="C861" s="116"/>
      <c r="D861" s="116"/>
      <c r="E861" s="116"/>
      <c r="F861" s="116"/>
      <c r="G861" s="136"/>
      <c r="H861" s="116"/>
      <c r="I861" s="116"/>
      <c r="J861" s="116"/>
      <c r="K861" s="116"/>
      <c r="L861" s="116"/>
      <c r="M861" s="116"/>
      <c r="N861" s="31"/>
      <c r="O861" s="31"/>
    </row>
    <row r="862" spans="1:15" x14ac:dyDescent="0.35">
      <c r="A862" s="116"/>
      <c r="B862" s="116"/>
      <c r="C862" s="116"/>
      <c r="D862" s="116"/>
      <c r="E862" s="116"/>
      <c r="F862" s="116"/>
      <c r="G862" s="136"/>
      <c r="H862" s="116"/>
      <c r="I862" s="116"/>
      <c r="J862" s="116"/>
      <c r="K862" s="116"/>
      <c r="L862" s="116"/>
      <c r="M862" s="116"/>
    </row>
    <row r="863" spans="1:15" x14ac:dyDescent="0.35">
      <c r="A863" s="116"/>
      <c r="B863" s="116"/>
      <c r="C863" s="116"/>
      <c r="D863" s="116"/>
      <c r="E863" s="116"/>
      <c r="F863" s="116"/>
      <c r="G863" s="136"/>
      <c r="H863" s="116"/>
      <c r="I863" s="116"/>
      <c r="J863" s="116"/>
      <c r="K863" s="116"/>
      <c r="L863" s="116"/>
      <c r="M863" s="116"/>
      <c r="N863" s="116"/>
      <c r="O863" s="116"/>
    </row>
    <row r="864" spans="1:15" x14ac:dyDescent="0.35">
      <c r="A864" s="116"/>
      <c r="B864" s="116"/>
      <c r="C864" s="116"/>
      <c r="D864" s="116"/>
      <c r="E864" s="116"/>
      <c r="F864" s="116"/>
      <c r="G864" s="136"/>
      <c r="H864" s="116"/>
      <c r="I864" s="116"/>
      <c r="J864" s="116"/>
      <c r="K864" s="116"/>
      <c r="L864" s="116"/>
      <c r="M864" s="116"/>
    </row>
    <row r="865" spans="1:15" x14ac:dyDescent="0.35">
      <c r="A865" s="116"/>
      <c r="B865" s="116"/>
      <c r="C865" s="116"/>
      <c r="D865" s="116"/>
      <c r="E865" s="116"/>
      <c r="F865" s="116"/>
      <c r="G865" s="136"/>
      <c r="H865" s="116"/>
      <c r="I865" s="116"/>
      <c r="J865" s="116"/>
      <c r="K865" s="116"/>
      <c r="L865" s="116"/>
      <c r="M865" s="116"/>
      <c r="N865" s="116"/>
      <c r="O865" s="116"/>
    </row>
    <row r="866" spans="1:15" x14ac:dyDescent="0.35">
      <c r="A866" s="116"/>
      <c r="B866" s="116"/>
      <c r="C866" s="116"/>
      <c r="D866" s="116"/>
      <c r="E866" s="116"/>
      <c r="F866" s="116"/>
      <c r="G866" s="136"/>
      <c r="H866" s="116"/>
      <c r="I866" s="116"/>
      <c r="J866" s="116"/>
      <c r="K866" s="116"/>
      <c r="L866" s="116"/>
      <c r="M866" s="116"/>
    </row>
    <row r="867" spans="1:15" x14ac:dyDescent="0.35">
      <c r="A867" s="116"/>
      <c r="B867" s="116"/>
      <c r="C867" s="116"/>
      <c r="D867" s="116"/>
      <c r="E867" s="116"/>
      <c r="F867" s="116"/>
      <c r="G867" s="136"/>
      <c r="H867" s="116"/>
      <c r="I867" s="116"/>
      <c r="J867" s="116"/>
      <c r="K867" s="116"/>
      <c r="L867" s="116"/>
      <c r="M867" s="116"/>
      <c r="N867" s="116"/>
      <c r="O867" s="116"/>
    </row>
    <row r="868" spans="1:15" x14ac:dyDescent="0.35">
      <c r="A868" s="116"/>
      <c r="B868" s="116"/>
      <c r="C868" s="116"/>
      <c r="D868" s="116"/>
      <c r="E868" s="116"/>
      <c r="F868" s="116"/>
      <c r="G868" s="136"/>
      <c r="H868" s="116"/>
      <c r="I868" s="116"/>
      <c r="J868" s="116"/>
      <c r="K868" s="116"/>
      <c r="L868" s="116"/>
      <c r="M868" s="116"/>
      <c r="N868" s="116"/>
      <c r="O868" s="116"/>
    </row>
    <row r="869" spans="1:15" x14ac:dyDescent="0.35">
      <c r="A869" s="116"/>
      <c r="B869" s="116"/>
      <c r="C869" s="116"/>
      <c r="D869" s="116"/>
      <c r="E869" s="116"/>
      <c r="F869" s="116"/>
      <c r="G869" s="136"/>
      <c r="H869" s="116"/>
      <c r="I869" s="116"/>
      <c r="J869" s="116"/>
      <c r="K869" s="116"/>
      <c r="L869" s="116"/>
      <c r="M869" s="116"/>
      <c r="N869" s="116"/>
      <c r="O869" s="116"/>
    </row>
    <row r="870" spans="1:15" x14ac:dyDescent="0.35">
      <c r="A870" s="116"/>
      <c r="B870" s="116"/>
      <c r="C870" s="116"/>
      <c r="D870" s="116"/>
      <c r="E870" s="116"/>
      <c r="F870" s="116"/>
      <c r="G870" s="136"/>
      <c r="H870" s="116"/>
      <c r="I870" s="116"/>
      <c r="J870" s="116"/>
      <c r="K870" s="116"/>
      <c r="L870" s="116"/>
      <c r="M870" s="116"/>
      <c r="N870" s="116"/>
      <c r="O870" s="116"/>
    </row>
    <row r="871" spans="1:15" x14ac:dyDescent="0.35">
      <c r="A871" s="116"/>
      <c r="B871" s="116"/>
      <c r="C871" s="116"/>
      <c r="D871" s="116"/>
      <c r="E871" s="116"/>
      <c r="F871" s="116"/>
      <c r="G871" s="136"/>
      <c r="H871" s="116"/>
      <c r="I871" s="116"/>
      <c r="J871" s="116"/>
      <c r="K871" s="116"/>
      <c r="L871" s="116"/>
      <c r="M871" s="116"/>
      <c r="N871" s="116"/>
      <c r="O871" s="116"/>
    </row>
    <row r="872" spans="1:15" x14ac:dyDescent="0.35">
      <c r="A872" s="116"/>
      <c r="B872" s="116"/>
      <c r="C872" s="116"/>
      <c r="D872" s="116"/>
      <c r="E872" s="116"/>
      <c r="F872" s="116"/>
      <c r="G872" s="136"/>
      <c r="H872" s="116"/>
      <c r="I872" s="116"/>
      <c r="J872" s="116"/>
      <c r="K872" s="116"/>
      <c r="L872" s="116"/>
      <c r="M872" s="116"/>
      <c r="N872" s="116"/>
      <c r="O872" s="116"/>
    </row>
    <row r="873" spans="1:15" x14ac:dyDescent="0.35">
      <c r="A873" s="116"/>
      <c r="B873" s="116"/>
      <c r="C873" s="116"/>
      <c r="D873" s="116"/>
      <c r="E873" s="116"/>
      <c r="F873" s="116"/>
      <c r="G873" s="136"/>
      <c r="H873" s="116"/>
      <c r="I873" s="116"/>
      <c r="J873" s="116"/>
      <c r="K873" s="116"/>
      <c r="L873" s="116"/>
      <c r="M873" s="116"/>
      <c r="N873" s="116"/>
      <c r="O873" s="116"/>
    </row>
    <row r="874" spans="1:15" x14ac:dyDescent="0.35">
      <c r="A874" s="116"/>
      <c r="B874" s="116"/>
      <c r="C874" s="116"/>
      <c r="D874" s="116"/>
      <c r="E874" s="116"/>
      <c r="F874" s="116"/>
      <c r="G874" s="136"/>
      <c r="H874" s="116"/>
      <c r="I874" s="116"/>
      <c r="J874" s="116"/>
      <c r="K874" s="116"/>
      <c r="L874" s="116"/>
      <c r="M874" s="116"/>
    </row>
    <row r="875" spans="1:15" x14ac:dyDescent="0.35">
      <c r="A875" s="116"/>
      <c r="B875" s="116"/>
      <c r="C875" s="116"/>
      <c r="D875" s="116"/>
      <c r="E875" s="116"/>
      <c r="F875" s="116"/>
      <c r="G875" s="136"/>
      <c r="H875" s="116"/>
      <c r="I875" s="116"/>
      <c r="J875" s="116"/>
      <c r="K875" s="116"/>
      <c r="L875" s="116"/>
      <c r="M875" s="116"/>
      <c r="N875" s="116"/>
      <c r="O875" s="116"/>
    </row>
    <row r="876" spans="1:15" x14ac:dyDescent="0.35">
      <c r="A876" s="116"/>
      <c r="B876" s="116"/>
      <c r="C876" s="116"/>
      <c r="D876" s="116"/>
      <c r="E876" s="116"/>
      <c r="F876" s="116"/>
      <c r="G876" s="136"/>
      <c r="H876" s="116"/>
      <c r="I876" s="116"/>
      <c r="J876" s="116"/>
      <c r="K876" s="116"/>
      <c r="L876" s="116"/>
      <c r="M876" s="116"/>
      <c r="N876" s="116"/>
      <c r="O876" s="116"/>
    </row>
    <row r="877" spans="1:15" x14ac:dyDescent="0.35">
      <c r="A877" s="116"/>
      <c r="B877" s="116"/>
      <c r="C877" s="116"/>
      <c r="D877" s="116"/>
      <c r="E877" s="116"/>
      <c r="F877" s="116"/>
      <c r="G877" s="136"/>
      <c r="H877" s="116"/>
      <c r="I877" s="116"/>
      <c r="J877" s="116"/>
      <c r="K877" s="116"/>
      <c r="L877" s="116"/>
      <c r="M877" s="116"/>
      <c r="N877" s="116"/>
      <c r="O877" s="116"/>
    </row>
    <row r="878" spans="1:15" x14ac:dyDescent="0.35">
      <c r="A878" s="116"/>
      <c r="B878" s="116"/>
      <c r="C878" s="116"/>
      <c r="D878" s="116"/>
      <c r="E878" s="116"/>
      <c r="F878" s="116"/>
      <c r="G878" s="136"/>
      <c r="H878" s="116"/>
      <c r="I878" s="116"/>
      <c r="J878" s="116"/>
      <c r="K878" s="116"/>
      <c r="L878" s="116"/>
      <c r="M878" s="116"/>
      <c r="N878" s="116"/>
      <c r="O878" s="116"/>
    </row>
    <row r="879" spans="1:15" x14ac:dyDescent="0.35">
      <c r="A879" s="116"/>
      <c r="B879" s="116"/>
      <c r="C879" s="116"/>
      <c r="D879" s="116"/>
      <c r="E879" s="116"/>
      <c r="F879" s="116"/>
      <c r="G879" s="136"/>
      <c r="H879" s="116"/>
      <c r="I879" s="116"/>
      <c r="J879" s="116"/>
      <c r="K879" s="116"/>
      <c r="L879" s="116"/>
      <c r="M879" s="116"/>
      <c r="N879" s="116"/>
      <c r="O879" s="116"/>
    </row>
    <row r="880" spans="1:15" x14ac:dyDescent="0.35">
      <c r="A880" s="116"/>
      <c r="B880" s="116"/>
      <c r="C880" s="116"/>
      <c r="D880" s="116"/>
      <c r="E880" s="116"/>
      <c r="F880" s="116"/>
      <c r="G880" s="136"/>
      <c r="H880" s="116"/>
      <c r="I880" s="116"/>
      <c r="J880" s="116"/>
      <c r="K880" s="116"/>
      <c r="L880" s="116"/>
      <c r="M880" s="116"/>
      <c r="N880" s="116"/>
      <c r="O880" s="116"/>
    </row>
    <row r="881" spans="1:15" x14ac:dyDescent="0.35">
      <c r="A881" s="116"/>
      <c r="B881" s="116"/>
      <c r="C881" s="116"/>
      <c r="D881" s="116"/>
      <c r="E881" s="116"/>
      <c r="F881" s="116"/>
      <c r="G881" s="136"/>
      <c r="H881" s="116"/>
      <c r="I881" s="116"/>
      <c r="J881" s="116"/>
      <c r="K881" s="116"/>
      <c r="L881" s="116"/>
      <c r="M881" s="116"/>
    </row>
    <row r="882" spans="1:15" x14ac:dyDescent="0.35">
      <c r="A882" s="116"/>
      <c r="B882" s="116"/>
      <c r="C882" s="116"/>
      <c r="D882" s="116"/>
      <c r="E882" s="116"/>
      <c r="F882" s="116"/>
      <c r="G882" s="136"/>
      <c r="H882" s="116"/>
      <c r="I882" s="116"/>
      <c r="J882" s="116"/>
      <c r="K882" s="116"/>
      <c r="L882" s="116"/>
      <c r="M882" s="116"/>
    </row>
    <row r="883" spans="1:15" x14ac:dyDescent="0.35">
      <c r="A883" s="116"/>
      <c r="B883" s="116"/>
      <c r="C883" s="116"/>
      <c r="D883" s="116"/>
      <c r="E883" s="116"/>
      <c r="F883" s="116"/>
      <c r="G883" s="136"/>
      <c r="H883" s="116"/>
      <c r="I883" s="116"/>
      <c r="J883" s="116"/>
      <c r="K883" s="116"/>
      <c r="L883" s="116"/>
      <c r="M883" s="116"/>
    </row>
    <row r="884" spans="1:15" x14ac:dyDescent="0.35">
      <c r="A884" s="116"/>
      <c r="B884" s="116"/>
      <c r="C884" s="116"/>
      <c r="D884" s="116"/>
      <c r="E884" s="116"/>
      <c r="F884" s="116"/>
      <c r="G884" s="136"/>
      <c r="H884" s="116"/>
      <c r="I884" s="116"/>
      <c r="J884" s="116"/>
      <c r="K884" s="116"/>
      <c r="L884" s="116"/>
      <c r="M884" s="116"/>
    </row>
    <row r="885" spans="1:15" x14ac:dyDescent="0.35">
      <c r="A885" s="116"/>
      <c r="B885" s="116"/>
      <c r="C885" s="116"/>
      <c r="D885" s="116"/>
      <c r="E885" s="116"/>
      <c r="F885" s="116"/>
      <c r="G885" s="136"/>
      <c r="H885" s="116"/>
      <c r="I885" s="116"/>
      <c r="J885" s="116"/>
      <c r="K885" s="116"/>
      <c r="L885" s="116"/>
      <c r="M885" s="116"/>
      <c r="N885" s="116"/>
      <c r="O885" s="116"/>
    </row>
    <row r="886" spans="1:15" x14ac:dyDescent="0.35">
      <c r="A886" s="116"/>
      <c r="B886" s="116"/>
      <c r="C886" s="116"/>
      <c r="D886" s="116"/>
      <c r="E886" s="116"/>
      <c r="F886" s="116"/>
      <c r="G886" s="136"/>
      <c r="H886" s="116"/>
      <c r="I886" s="116"/>
      <c r="J886" s="116"/>
      <c r="K886" s="116"/>
      <c r="L886" s="116"/>
      <c r="M886" s="116"/>
      <c r="N886" s="116"/>
      <c r="O886" s="116"/>
    </row>
    <row r="887" spans="1:15" x14ac:dyDescent="0.35">
      <c r="A887" s="116"/>
      <c r="B887" s="116"/>
      <c r="C887" s="116"/>
      <c r="D887" s="116"/>
      <c r="E887" s="116"/>
      <c r="F887" s="116"/>
      <c r="G887" s="136"/>
      <c r="H887" s="116"/>
      <c r="I887" s="116"/>
      <c r="J887" s="116"/>
      <c r="K887" s="116"/>
      <c r="L887" s="116"/>
      <c r="M887" s="116"/>
      <c r="N887" s="116"/>
      <c r="O887" s="116"/>
    </row>
    <row r="888" spans="1:15" x14ac:dyDescent="0.35">
      <c r="A888" s="116"/>
      <c r="B888" s="116"/>
      <c r="C888" s="116"/>
      <c r="D888" s="116"/>
      <c r="E888" s="116"/>
      <c r="F888" s="116"/>
      <c r="G888" s="136"/>
      <c r="H888" s="116"/>
      <c r="I888" s="116"/>
      <c r="J888" s="116"/>
      <c r="K888" s="116"/>
      <c r="L888" s="116"/>
      <c r="M888" s="116"/>
      <c r="N888" s="116"/>
      <c r="O888" s="116"/>
    </row>
    <row r="889" spans="1:15" x14ac:dyDescent="0.35">
      <c r="A889" s="116"/>
      <c r="B889" s="116"/>
      <c r="C889" s="116"/>
      <c r="D889" s="116"/>
      <c r="E889" s="116"/>
      <c r="F889" s="116"/>
      <c r="G889" s="136"/>
      <c r="H889" s="116"/>
      <c r="I889" s="116"/>
      <c r="J889" s="116"/>
      <c r="K889" s="116"/>
      <c r="L889" s="116"/>
      <c r="M889" s="116"/>
      <c r="N889" s="31"/>
      <c r="O889" s="31"/>
    </row>
    <row r="890" spans="1:15" x14ac:dyDescent="0.35">
      <c r="A890" s="116"/>
      <c r="B890" s="116"/>
      <c r="C890" s="116"/>
      <c r="D890" s="116"/>
      <c r="E890" s="116"/>
      <c r="F890" s="116"/>
      <c r="G890" s="136"/>
      <c r="H890" s="116"/>
      <c r="I890" s="116"/>
      <c r="J890" s="116"/>
      <c r="K890" s="116"/>
      <c r="L890" s="116"/>
      <c r="M890" s="116"/>
      <c r="N890" s="31"/>
      <c r="O890" s="31"/>
    </row>
    <row r="891" spans="1:15" x14ac:dyDescent="0.35">
      <c r="A891" s="116"/>
      <c r="B891" s="116"/>
      <c r="C891" s="116"/>
      <c r="D891" s="116"/>
      <c r="E891" s="116"/>
      <c r="F891" s="116"/>
      <c r="G891" s="136"/>
      <c r="H891" s="116"/>
      <c r="I891" s="116"/>
      <c r="J891" s="116"/>
      <c r="K891" s="116"/>
      <c r="L891" s="116"/>
      <c r="M891" s="116"/>
    </row>
    <row r="892" spans="1:15" x14ac:dyDescent="0.35">
      <c r="A892" s="116"/>
      <c r="B892" s="116"/>
      <c r="C892" s="116"/>
      <c r="D892" s="116"/>
      <c r="E892" s="116"/>
      <c r="F892" s="116"/>
      <c r="G892" s="136"/>
      <c r="H892" s="116"/>
      <c r="I892" s="116"/>
      <c r="J892" s="116"/>
      <c r="K892" s="116"/>
      <c r="L892" s="116"/>
      <c r="M892" s="116"/>
    </row>
    <row r="893" spans="1:15" x14ac:dyDescent="0.35">
      <c r="A893" s="116"/>
      <c r="B893" s="116"/>
      <c r="C893" s="116"/>
      <c r="D893" s="116"/>
      <c r="E893" s="116"/>
      <c r="F893" s="116"/>
      <c r="G893" s="136"/>
      <c r="H893" s="116"/>
      <c r="I893" s="116"/>
      <c r="J893" s="116"/>
      <c r="K893" s="116"/>
      <c r="L893" s="116"/>
      <c r="M893" s="116"/>
    </row>
    <row r="894" spans="1:15" x14ac:dyDescent="0.35">
      <c r="A894" s="116"/>
      <c r="B894" s="116"/>
      <c r="C894" s="116"/>
      <c r="D894" s="116"/>
      <c r="E894" s="116"/>
      <c r="F894" s="116"/>
      <c r="G894" s="136"/>
      <c r="H894" s="116"/>
      <c r="I894" s="116"/>
      <c r="J894" s="116"/>
      <c r="K894" s="116"/>
      <c r="L894" s="116"/>
      <c r="M894" s="116"/>
    </row>
    <row r="895" spans="1:15" x14ac:dyDescent="0.35">
      <c r="A895" s="116"/>
      <c r="B895" s="116"/>
      <c r="C895" s="116"/>
      <c r="D895" s="116"/>
      <c r="E895" s="116"/>
      <c r="F895" s="116"/>
      <c r="G895" s="136"/>
      <c r="H895" s="116"/>
      <c r="I895" s="116"/>
      <c r="J895" s="116"/>
      <c r="K895" s="116"/>
      <c r="L895" s="116"/>
      <c r="M895" s="116"/>
    </row>
    <row r="896" spans="1:15" x14ac:dyDescent="0.35">
      <c r="A896" s="116"/>
      <c r="B896" s="116"/>
      <c r="C896" s="116"/>
      <c r="D896" s="116"/>
      <c r="E896" s="116"/>
      <c r="F896" s="116"/>
      <c r="G896" s="136"/>
      <c r="H896" s="116"/>
      <c r="I896" s="116"/>
      <c r="J896" s="116"/>
      <c r="K896" s="116"/>
      <c r="L896" s="116"/>
      <c r="M896" s="116"/>
      <c r="N896" s="116"/>
      <c r="O896" s="116"/>
    </row>
    <row r="897" spans="1:15" x14ac:dyDescent="0.35">
      <c r="A897" s="116"/>
      <c r="B897" s="116"/>
      <c r="C897" s="116"/>
      <c r="D897" s="116"/>
      <c r="E897" s="116"/>
      <c r="F897" s="116"/>
      <c r="G897" s="136"/>
      <c r="H897" s="116"/>
      <c r="I897" s="116"/>
      <c r="J897" s="116"/>
      <c r="K897" s="116"/>
      <c r="L897" s="116"/>
      <c r="M897" s="116"/>
    </row>
    <row r="898" spans="1:15" x14ac:dyDescent="0.35">
      <c r="A898" s="116"/>
      <c r="B898" s="116"/>
      <c r="C898" s="116"/>
      <c r="D898" s="116"/>
      <c r="E898" s="116"/>
      <c r="F898" s="116"/>
      <c r="G898" s="136"/>
      <c r="H898" s="116"/>
      <c r="I898" s="116"/>
      <c r="J898" s="116"/>
      <c r="K898" s="116"/>
      <c r="L898" s="116"/>
      <c r="M898" s="116"/>
      <c r="N898" s="116"/>
      <c r="O898" s="116"/>
    </row>
    <row r="899" spans="1:15" x14ac:dyDescent="0.35">
      <c r="A899" s="116"/>
      <c r="B899" s="116"/>
      <c r="C899" s="116"/>
      <c r="D899" s="116"/>
      <c r="E899" s="116"/>
      <c r="F899" s="116"/>
      <c r="G899" s="136"/>
      <c r="H899" s="116"/>
      <c r="I899" s="116"/>
      <c r="J899" s="116"/>
      <c r="K899" s="116"/>
      <c r="L899" s="116"/>
      <c r="M899" s="116"/>
      <c r="N899" s="116"/>
      <c r="O899" s="116"/>
    </row>
    <row r="900" spans="1:15" x14ac:dyDescent="0.35">
      <c r="A900" s="116"/>
      <c r="B900" s="116"/>
      <c r="C900" s="116"/>
      <c r="D900" s="116"/>
      <c r="E900" s="116"/>
      <c r="F900" s="116"/>
      <c r="G900" s="136"/>
      <c r="H900" s="116"/>
      <c r="I900" s="116"/>
      <c r="J900" s="116"/>
      <c r="K900" s="116"/>
      <c r="L900" s="116"/>
      <c r="M900" s="116"/>
      <c r="N900" s="116"/>
      <c r="O900" s="116"/>
    </row>
    <row r="901" spans="1:15" x14ac:dyDescent="0.35">
      <c r="A901" s="116"/>
      <c r="B901" s="116"/>
      <c r="C901" s="116"/>
      <c r="D901" s="116"/>
      <c r="E901" s="116"/>
      <c r="F901" s="116"/>
      <c r="G901" s="136"/>
      <c r="H901" s="116"/>
      <c r="I901" s="116"/>
      <c r="J901" s="116"/>
      <c r="K901" s="116"/>
      <c r="L901" s="116"/>
      <c r="M901" s="116"/>
      <c r="N901" s="116"/>
      <c r="O901" s="116"/>
    </row>
    <row r="902" spans="1:15" x14ac:dyDescent="0.35">
      <c r="A902" s="116"/>
      <c r="B902" s="116"/>
      <c r="C902" s="116"/>
      <c r="D902" s="116"/>
      <c r="E902" s="116"/>
      <c r="F902" s="116"/>
      <c r="G902" s="136"/>
      <c r="H902" s="116"/>
      <c r="I902" s="116"/>
      <c r="J902" s="116"/>
      <c r="K902" s="116"/>
      <c r="L902" s="116"/>
      <c r="M902" s="116"/>
      <c r="N902" s="116"/>
      <c r="O902" s="116"/>
    </row>
    <row r="903" spans="1:15" x14ac:dyDescent="0.35">
      <c r="A903" s="116"/>
      <c r="B903" s="116"/>
      <c r="C903" s="116"/>
      <c r="D903" s="116"/>
      <c r="E903" s="116"/>
      <c r="F903" s="116"/>
      <c r="G903" s="136"/>
      <c r="H903" s="116"/>
      <c r="I903" s="116"/>
      <c r="J903" s="116"/>
      <c r="K903" s="116"/>
      <c r="L903" s="116"/>
      <c r="M903" s="116"/>
      <c r="N903" s="116"/>
      <c r="O903" s="116"/>
    </row>
    <row r="904" spans="1:15" x14ac:dyDescent="0.35">
      <c r="A904" s="116"/>
      <c r="B904" s="116"/>
      <c r="C904" s="116"/>
      <c r="D904" s="116"/>
      <c r="E904" s="116"/>
      <c r="F904" s="116"/>
      <c r="G904" s="136"/>
      <c r="H904" s="116"/>
      <c r="I904" s="116"/>
      <c r="J904" s="116"/>
      <c r="K904" s="116"/>
      <c r="L904" s="116"/>
      <c r="M904" s="116"/>
      <c r="N904" s="116"/>
      <c r="O904" s="116"/>
    </row>
    <row r="905" spans="1:15" x14ac:dyDescent="0.35">
      <c r="A905" s="116"/>
      <c r="B905" s="116"/>
      <c r="C905" s="116"/>
      <c r="D905" s="116"/>
      <c r="E905" s="116"/>
      <c r="F905" s="116"/>
      <c r="G905" s="136"/>
      <c r="H905" s="116"/>
      <c r="I905" s="116"/>
      <c r="J905" s="116"/>
      <c r="K905" s="116"/>
      <c r="L905" s="116"/>
      <c r="M905" s="116"/>
      <c r="N905" s="116"/>
      <c r="O905" s="116"/>
    </row>
    <row r="906" spans="1:15" x14ac:dyDescent="0.35">
      <c r="A906" s="116"/>
      <c r="B906" s="116"/>
      <c r="C906" s="116"/>
      <c r="D906" s="116"/>
      <c r="E906" s="116"/>
      <c r="F906" s="116"/>
      <c r="G906" s="136"/>
      <c r="H906" s="116"/>
      <c r="I906" s="116"/>
      <c r="J906" s="116"/>
      <c r="K906" s="116"/>
      <c r="L906" s="116"/>
      <c r="M906" s="116"/>
      <c r="N906" s="116"/>
      <c r="O906" s="116"/>
    </row>
    <row r="907" spans="1:15" x14ac:dyDescent="0.35">
      <c r="A907" s="116"/>
      <c r="B907" s="116"/>
      <c r="C907" s="116"/>
      <c r="D907" s="116"/>
      <c r="E907" s="116"/>
      <c r="F907" s="116"/>
      <c r="G907" s="136"/>
      <c r="H907" s="116"/>
      <c r="I907" s="116"/>
      <c r="J907" s="116"/>
      <c r="K907" s="116"/>
      <c r="L907" s="116"/>
      <c r="M907" s="116"/>
      <c r="N907" s="116"/>
      <c r="O907" s="116"/>
    </row>
    <row r="908" spans="1:15" x14ac:dyDescent="0.35">
      <c r="A908" s="116"/>
      <c r="B908" s="116"/>
      <c r="C908" s="116"/>
      <c r="D908" s="116"/>
      <c r="E908" s="116"/>
      <c r="F908" s="116"/>
      <c r="G908" s="136"/>
      <c r="H908" s="116"/>
      <c r="I908" s="116"/>
      <c r="J908" s="116"/>
      <c r="K908" s="116"/>
      <c r="L908" s="116"/>
      <c r="M908" s="116"/>
      <c r="N908" s="116"/>
      <c r="O908" s="116"/>
    </row>
    <row r="909" spans="1:15" x14ac:dyDescent="0.35">
      <c r="A909" s="116"/>
      <c r="B909" s="116"/>
      <c r="C909" s="116"/>
      <c r="D909" s="116"/>
      <c r="E909" s="116"/>
      <c r="F909" s="116"/>
      <c r="G909" s="136"/>
      <c r="H909" s="116"/>
      <c r="I909" s="116"/>
      <c r="J909" s="116"/>
      <c r="K909" s="116"/>
      <c r="L909" s="116"/>
      <c r="M909" s="116"/>
      <c r="N909" s="116"/>
      <c r="O909" s="116"/>
    </row>
    <row r="910" spans="1:15" x14ac:dyDescent="0.35">
      <c r="A910" s="116"/>
      <c r="B910" s="116"/>
      <c r="C910" s="116"/>
      <c r="D910" s="116"/>
      <c r="E910" s="116"/>
      <c r="F910" s="116"/>
      <c r="G910" s="136"/>
      <c r="H910" s="116"/>
      <c r="I910" s="116"/>
      <c r="J910" s="116"/>
      <c r="K910" s="116"/>
      <c r="L910" s="116"/>
      <c r="M910" s="116"/>
      <c r="N910" s="116"/>
      <c r="O910" s="116"/>
    </row>
    <row r="911" spans="1:15" x14ac:dyDescent="0.35">
      <c r="A911" s="116"/>
      <c r="B911" s="116"/>
      <c r="C911" s="116"/>
      <c r="D911" s="116"/>
      <c r="E911" s="116"/>
      <c r="F911" s="116"/>
      <c r="G911" s="136"/>
      <c r="H911" s="116"/>
      <c r="I911" s="116"/>
      <c r="J911" s="116"/>
      <c r="K911" s="116"/>
      <c r="L911" s="116"/>
      <c r="M911" s="116"/>
      <c r="N911" s="116"/>
      <c r="O911" s="116"/>
    </row>
    <row r="912" spans="1:15" x14ac:dyDescent="0.35">
      <c r="A912" s="116"/>
      <c r="B912" s="116"/>
      <c r="C912" s="116"/>
      <c r="D912" s="116"/>
      <c r="E912" s="116"/>
      <c r="F912" s="116"/>
      <c r="G912" s="136"/>
      <c r="H912" s="116"/>
      <c r="I912" s="116"/>
      <c r="J912" s="116"/>
      <c r="K912" s="116"/>
      <c r="L912" s="116"/>
      <c r="M912" s="116"/>
      <c r="N912" s="116"/>
      <c r="O912" s="116"/>
    </row>
    <row r="913" spans="1:15" x14ac:dyDescent="0.35">
      <c r="A913" s="116"/>
      <c r="B913" s="116"/>
      <c r="C913" s="116"/>
      <c r="D913" s="116"/>
      <c r="E913" s="116"/>
      <c r="F913" s="116"/>
      <c r="G913" s="136"/>
      <c r="H913" s="116"/>
      <c r="I913" s="116"/>
      <c r="J913" s="116"/>
      <c r="K913" s="116"/>
      <c r="L913" s="116"/>
      <c r="M913" s="116"/>
      <c r="N913" s="116"/>
      <c r="O913" s="116"/>
    </row>
    <row r="914" spans="1:15" x14ac:dyDescent="0.35">
      <c r="A914" s="116"/>
      <c r="B914" s="116"/>
      <c r="C914" s="116"/>
      <c r="D914" s="116"/>
      <c r="E914" s="116"/>
      <c r="F914" s="116"/>
      <c r="G914" s="136"/>
      <c r="H914" s="116"/>
      <c r="I914" s="116"/>
      <c r="J914" s="116"/>
      <c r="K914" s="116"/>
      <c r="L914" s="116"/>
      <c r="M914" s="116"/>
      <c r="N914" s="116"/>
      <c r="O914" s="116"/>
    </row>
    <row r="915" spans="1:15" x14ac:dyDescent="0.35">
      <c r="A915" s="116"/>
      <c r="B915" s="116"/>
      <c r="C915" s="116"/>
      <c r="D915" s="116"/>
      <c r="E915" s="116"/>
      <c r="F915" s="116"/>
      <c r="G915" s="136"/>
      <c r="H915" s="116"/>
      <c r="I915" s="116"/>
      <c r="J915" s="116"/>
      <c r="K915" s="116"/>
      <c r="L915" s="116"/>
      <c r="M915" s="116"/>
      <c r="N915" s="116"/>
      <c r="O915" s="116"/>
    </row>
    <row r="916" spans="1:15" x14ac:dyDescent="0.35">
      <c r="A916" s="116"/>
      <c r="B916" s="116"/>
      <c r="C916" s="116"/>
      <c r="D916" s="116"/>
      <c r="E916" s="116"/>
      <c r="F916" s="116"/>
      <c r="G916" s="136"/>
      <c r="H916" s="116"/>
      <c r="I916" s="116"/>
      <c r="J916" s="116"/>
      <c r="K916" s="116"/>
      <c r="L916" s="116"/>
      <c r="M916" s="116"/>
      <c r="N916" s="116"/>
      <c r="O916" s="116"/>
    </row>
    <row r="917" spans="1:15" x14ac:dyDescent="0.35">
      <c r="A917" s="116"/>
      <c r="B917" s="116"/>
      <c r="C917" s="116"/>
      <c r="D917" s="116"/>
      <c r="E917" s="116"/>
      <c r="F917" s="116"/>
      <c r="G917" s="136"/>
      <c r="H917" s="116"/>
      <c r="I917" s="116"/>
      <c r="J917" s="116"/>
      <c r="K917" s="116"/>
      <c r="L917" s="116"/>
      <c r="M917" s="116"/>
      <c r="N917" s="116"/>
      <c r="O917" s="116"/>
    </row>
    <row r="918" spans="1:15" x14ac:dyDescent="0.35">
      <c r="A918" s="116"/>
      <c r="B918" s="116"/>
      <c r="C918" s="116"/>
      <c r="D918" s="116"/>
      <c r="E918" s="116"/>
      <c r="F918" s="116"/>
      <c r="G918" s="136"/>
      <c r="H918" s="116"/>
      <c r="I918" s="116"/>
      <c r="J918" s="116"/>
      <c r="K918" s="116"/>
      <c r="L918" s="116"/>
      <c r="M918" s="116"/>
      <c r="N918" s="116"/>
      <c r="O918" s="116"/>
    </row>
    <row r="919" spans="1:15" x14ac:dyDescent="0.35">
      <c r="A919" s="116"/>
      <c r="B919" s="116"/>
      <c r="C919" s="116"/>
      <c r="D919" s="116"/>
      <c r="E919" s="116"/>
      <c r="F919" s="116"/>
      <c r="G919" s="136"/>
      <c r="H919" s="116"/>
      <c r="I919" s="116"/>
      <c r="J919" s="116"/>
      <c r="K919" s="116"/>
      <c r="L919" s="116"/>
      <c r="M919" s="116"/>
      <c r="N919" s="116"/>
      <c r="O919" s="116"/>
    </row>
    <row r="920" spans="1:15" x14ac:dyDescent="0.35">
      <c r="A920" s="116"/>
      <c r="B920" s="116"/>
      <c r="C920" s="116"/>
      <c r="D920" s="116"/>
      <c r="E920" s="116"/>
      <c r="F920" s="116"/>
      <c r="G920" s="136"/>
      <c r="H920" s="116"/>
      <c r="I920" s="116"/>
      <c r="J920" s="116"/>
      <c r="K920" s="116"/>
      <c r="L920" s="116"/>
      <c r="M920" s="116"/>
      <c r="N920" s="116"/>
      <c r="O920" s="116"/>
    </row>
    <row r="921" spans="1:15" x14ac:dyDescent="0.35">
      <c r="A921" s="116"/>
      <c r="B921" s="116"/>
      <c r="C921" s="116"/>
      <c r="D921" s="116"/>
      <c r="E921" s="116"/>
      <c r="F921" s="116"/>
      <c r="G921" s="136"/>
      <c r="H921" s="116"/>
      <c r="I921" s="116"/>
      <c r="J921" s="116"/>
      <c r="K921" s="116"/>
      <c r="L921" s="116"/>
      <c r="M921" s="116"/>
      <c r="N921" s="116"/>
      <c r="O921" s="116"/>
    </row>
    <row r="922" spans="1:15" x14ac:dyDescent="0.35">
      <c r="A922" s="116"/>
      <c r="B922" s="116"/>
      <c r="C922" s="116"/>
      <c r="D922" s="116"/>
      <c r="E922" s="116"/>
      <c r="F922" s="116"/>
      <c r="G922" s="136"/>
      <c r="H922" s="116"/>
      <c r="I922" s="116"/>
      <c r="J922" s="116"/>
      <c r="K922" s="116"/>
      <c r="L922" s="116"/>
      <c r="M922" s="116"/>
      <c r="N922" s="116"/>
      <c r="O922" s="116"/>
    </row>
    <row r="923" spans="1:15" x14ac:dyDescent="0.35">
      <c r="A923" s="116"/>
      <c r="B923" s="116"/>
      <c r="C923" s="116"/>
      <c r="D923" s="116"/>
      <c r="E923" s="116"/>
      <c r="F923" s="116"/>
      <c r="G923" s="136"/>
      <c r="H923" s="116"/>
      <c r="I923" s="116"/>
      <c r="J923" s="116"/>
      <c r="K923" s="116"/>
      <c r="L923" s="116"/>
      <c r="M923" s="116"/>
      <c r="N923" s="116"/>
      <c r="O923" s="116"/>
    </row>
    <row r="924" spans="1:15" x14ac:dyDescent="0.35">
      <c r="A924" s="116"/>
      <c r="B924" s="116"/>
      <c r="C924" s="116"/>
      <c r="D924" s="116"/>
      <c r="E924" s="116"/>
      <c r="F924" s="116"/>
      <c r="G924" s="136"/>
      <c r="H924" s="116"/>
      <c r="I924" s="116"/>
      <c r="J924" s="116"/>
      <c r="K924" s="116"/>
      <c r="L924" s="116"/>
      <c r="M924" s="116"/>
      <c r="N924" s="116"/>
      <c r="O924" s="116"/>
    </row>
    <row r="925" spans="1:15" x14ac:dyDescent="0.35">
      <c r="A925" s="116"/>
      <c r="B925" s="116"/>
      <c r="C925" s="116"/>
      <c r="D925" s="116"/>
      <c r="E925" s="116"/>
      <c r="F925" s="116"/>
      <c r="G925" s="136"/>
      <c r="H925" s="116"/>
      <c r="I925" s="116"/>
      <c r="J925" s="116"/>
      <c r="K925" s="116"/>
      <c r="L925" s="116"/>
      <c r="M925" s="116"/>
    </row>
    <row r="926" spans="1:15" x14ac:dyDescent="0.35">
      <c r="A926" s="116"/>
      <c r="B926" s="116"/>
      <c r="C926" s="116"/>
      <c r="D926" s="116"/>
      <c r="E926" s="116"/>
      <c r="F926" s="116"/>
      <c r="G926" s="136"/>
      <c r="H926" s="116"/>
      <c r="I926" s="116"/>
      <c r="J926" s="116"/>
      <c r="K926" s="116"/>
      <c r="L926" s="116"/>
      <c r="M926" s="116"/>
      <c r="N926" s="116"/>
      <c r="O926" s="116"/>
    </row>
    <row r="927" spans="1:15" x14ac:dyDescent="0.35">
      <c r="A927" s="116"/>
      <c r="B927" s="116"/>
      <c r="C927" s="116"/>
      <c r="D927" s="116"/>
      <c r="E927" s="116"/>
      <c r="F927" s="116"/>
      <c r="G927" s="136"/>
      <c r="H927" s="116"/>
      <c r="I927" s="116"/>
      <c r="J927" s="116"/>
      <c r="K927" s="116"/>
      <c r="L927" s="116"/>
      <c r="M927" s="116"/>
    </row>
    <row r="928" spans="1:15" x14ac:dyDescent="0.35">
      <c r="A928" s="116"/>
      <c r="B928" s="116"/>
      <c r="C928" s="116"/>
      <c r="D928" s="116"/>
      <c r="E928" s="116"/>
      <c r="F928" s="116"/>
      <c r="G928" s="136"/>
      <c r="H928" s="116"/>
      <c r="I928" s="116"/>
      <c r="J928" s="116"/>
      <c r="K928" s="116"/>
      <c r="L928" s="116"/>
      <c r="M928" s="116"/>
      <c r="N928" s="116"/>
      <c r="O928" s="116"/>
    </row>
    <row r="929" spans="1:15" x14ac:dyDescent="0.35">
      <c r="A929" s="116"/>
      <c r="B929" s="116"/>
      <c r="C929" s="116"/>
      <c r="D929" s="116"/>
      <c r="E929" s="116"/>
      <c r="F929" s="116"/>
      <c r="G929" s="136"/>
      <c r="H929" s="116"/>
      <c r="I929" s="116"/>
      <c r="J929" s="116"/>
      <c r="K929" s="116"/>
      <c r="L929" s="116"/>
      <c r="M929" s="116"/>
      <c r="N929" s="116"/>
      <c r="O929" s="116"/>
    </row>
    <row r="930" spans="1:15" x14ac:dyDescent="0.35">
      <c r="A930" s="116"/>
      <c r="B930" s="116"/>
      <c r="C930" s="116"/>
      <c r="D930" s="116"/>
      <c r="E930" s="116"/>
      <c r="F930" s="116"/>
      <c r="G930" s="136"/>
      <c r="H930" s="116"/>
      <c r="I930" s="116"/>
      <c r="J930" s="116"/>
      <c r="K930" s="116"/>
      <c r="L930" s="116"/>
      <c r="M930" s="116"/>
      <c r="N930" s="116"/>
      <c r="O930" s="116"/>
    </row>
    <row r="931" spans="1:15" x14ac:dyDescent="0.35">
      <c r="A931" s="116"/>
      <c r="B931" s="116"/>
      <c r="C931" s="116"/>
      <c r="D931" s="116"/>
      <c r="E931" s="116"/>
      <c r="F931" s="116"/>
      <c r="G931" s="136"/>
      <c r="H931" s="116"/>
      <c r="I931" s="116"/>
      <c r="J931" s="116"/>
      <c r="K931" s="116"/>
      <c r="L931" s="116"/>
      <c r="M931" s="116"/>
      <c r="N931" s="116"/>
      <c r="O931" s="116"/>
    </row>
    <row r="932" spans="1:15" x14ac:dyDescent="0.35">
      <c r="A932" s="116"/>
      <c r="B932" s="116"/>
      <c r="C932" s="116"/>
      <c r="D932" s="116"/>
      <c r="E932" s="116"/>
      <c r="F932" s="116"/>
      <c r="G932" s="136"/>
      <c r="H932" s="116"/>
      <c r="I932" s="116"/>
      <c r="J932" s="116"/>
      <c r="K932" s="116"/>
      <c r="L932" s="116"/>
      <c r="M932" s="116"/>
      <c r="N932" s="116"/>
      <c r="O932" s="116"/>
    </row>
    <row r="933" spans="1:15" x14ac:dyDescent="0.35">
      <c r="A933" s="116"/>
      <c r="B933" s="116"/>
      <c r="C933" s="116"/>
      <c r="D933" s="116"/>
      <c r="E933" s="116"/>
      <c r="F933" s="116"/>
      <c r="G933" s="136"/>
      <c r="H933" s="116"/>
      <c r="I933" s="116"/>
      <c r="J933" s="116"/>
      <c r="K933" s="116"/>
      <c r="L933" s="116"/>
      <c r="M933" s="116"/>
      <c r="N933" s="116"/>
      <c r="O933" s="116"/>
    </row>
    <row r="934" spans="1:15" x14ac:dyDescent="0.35">
      <c r="A934" s="116"/>
      <c r="B934" s="116"/>
      <c r="C934" s="116"/>
      <c r="D934" s="116"/>
      <c r="E934" s="116"/>
      <c r="F934" s="116"/>
      <c r="G934" s="136"/>
      <c r="H934" s="116"/>
      <c r="I934" s="116"/>
      <c r="J934" s="116"/>
      <c r="K934" s="116"/>
      <c r="L934" s="116"/>
      <c r="M934" s="116"/>
      <c r="N934" s="116"/>
      <c r="O934" s="116"/>
    </row>
    <row r="935" spans="1:15" x14ac:dyDescent="0.35">
      <c r="A935" s="116"/>
      <c r="B935" s="116"/>
      <c r="C935" s="116"/>
      <c r="D935" s="116"/>
      <c r="E935" s="116"/>
      <c r="F935" s="116"/>
      <c r="G935" s="136"/>
      <c r="H935" s="116"/>
      <c r="I935" s="116"/>
      <c r="J935" s="116"/>
      <c r="K935" s="116"/>
      <c r="L935" s="116"/>
      <c r="M935" s="116"/>
      <c r="N935" s="116"/>
      <c r="O935" s="116"/>
    </row>
    <row r="936" spans="1:15" x14ac:dyDescent="0.35">
      <c r="A936" s="116"/>
      <c r="B936" s="116"/>
      <c r="C936" s="116"/>
      <c r="D936" s="116"/>
      <c r="E936" s="116"/>
      <c r="F936" s="116"/>
      <c r="G936" s="136"/>
      <c r="H936" s="116"/>
      <c r="I936" s="116"/>
      <c r="J936" s="116"/>
      <c r="K936" s="116"/>
      <c r="L936" s="116"/>
      <c r="M936" s="116"/>
      <c r="N936" s="116"/>
      <c r="O936" s="116"/>
    </row>
    <row r="937" spans="1:15" x14ac:dyDescent="0.35">
      <c r="A937" s="116"/>
      <c r="B937" s="116"/>
      <c r="C937" s="116"/>
      <c r="D937" s="116"/>
      <c r="E937" s="116"/>
      <c r="F937" s="116"/>
      <c r="G937" s="136"/>
      <c r="H937" s="116"/>
      <c r="I937" s="116"/>
      <c r="J937" s="116"/>
      <c r="K937" s="116"/>
      <c r="L937" s="116"/>
      <c r="M937" s="116"/>
      <c r="N937" s="31"/>
      <c r="O937" s="31"/>
    </row>
    <row r="938" spans="1:15" x14ac:dyDescent="0.35">
      <c r="A938" s="116"/>
      <c r="B938" s="116"/>
      <c r="C938" s="116"/>
      <c r="D938" s="116"/>
      <c r="E938" s="116"/>
      <c r="F938" s="116"/>
      <c r="G938" s="136"/>
      <c r="H938" s="116"/>
      <c r="I938" s="116"/>
      <c r="J938" s="116"/>
      <c r="K938" s="116"/>
      <c r="L938" s="116"/>
      <c r="M938" s="116"/>
      <c r="N938" s="31"/>
      <c r="O938" s="31"/>
    </row>
    <row r="939" spans="1:15" x14ac:dyDescent="0.35">
      <c r="A939" s="116"/>
      <c r="B939" s="116"/>
      <c r="C939" s="116"/>
      <c r="D939" s="116"/>
      <c r="E939" s="116"/>
      <c r="F939" s="116"/>
      <c r="G939" s="136"/>
      <c r="H939" s="116"/>
      <c r="I939" s="116"/>
      <c r="J939" s="116"/>
      <c r="K939" s="116"/>
      <c r="L939" s="116"/>
      <c r="M939" s="116"/>
    </row>
    <row r="940" spans="1:15" x14ac:dyDescent="0.35">
      <c r="A940" s="116"/>
      <c r="B940" s="116"/>
      <c r="C940" s="116"/>
      <c r="D940" s="116"/>
      <c r="E940" s="116"/>
      <c r="F940" s="116"/>
      <c r="G940" s="136"/>
      <c r="H940" s="116"/>
      <c r="I940" s="116"/>
      <c r="J940" s="116"/>
      <c r="K940" s="116"/>
      <c r="L940" s="116"/>
      <c r="M940" s="116"/>
    </row>
    <row r="941" spans="1:15" x14ac:dyDescent="0.35">
      <c r="A941" s="116"/>
      <c r="B941" s="116"/>
      <c r="C941" s="116"/>
      <c r="D941" s="116"/>
      <c r="E941" s="116"/>
      <c r="F941" s="116"/>
      <c r="G941" s="136"/>
      <c r="H941" s="116"/>
      <c r="I941" s="116"/>
      <c r="J941" s="116"/>
      <c r="K941" s="116"/>
      <c r="L941" s="116"/>
      <c r="M941" s="116"/>
    </row>
    <row r="942" spans="1:15" x14ac:dyDescent="0.35">
      <c r="A942" s="116"/>
      <c r="B942" s="116"/>
      <c r="C942" s="116"/>
      <c r="D942" s="116"/>
      <c r="E942" s="116"/>
      <c r="F942" s="116"/>
      <c r="G942" s="136"/>
      <c r="H942" s="116"/>
      <c r="I942" s="116"/>
      <c r="J942" s="116"/>
      <c r="K942" s="116"/>
      <c r="L942" s="116"/>
      <c r="M942" s="116"/>
    </row>
    <row r="943" spans="1:15" x14ac:dyDescent="0.35">
      <c r="A943" s="116"/>
      <c r="B943" s="116"/>
      <c r="C943" s="116"/>
      <c r="D943" s="116"/>
      <c r="E943" s="116"/>
      <c r="F943" s="116"/>
      <c r="G943" s="136"/>
      <c r="H943" s="116"/>
      <c r="I943" s="116"/>
      <c r="J943" s="116"/>
      <c r="K943" s="116"/>
      <c r="L943" s="116"/>
      <c r="M943" s="116"/>
    </row>
    <row r="944" spans="1:15" x14ac:dyDescent="0.35">
      <c r="A944" s="116"/>
      <c r="B944" s="116"/>
      <c r="C944" s="116"/>
      <c r="D944" s="116"/>
      <c r="E944" s="116"/>
      <c r="F944" s="116"/>
      <c r="G944" s="136"/>
      <c r="H944" s="116"/>
      <c r="I944" s="116"/>
      <c r="J944" s="116"/>
      <c r="K944" s="116"/>
      <c r="L944" s="116"/>
      <c r="M944" s="116"/>
    </row>
    <row r="945" spans="1:15" x14ac:dyDescent="0.35">
      <c r="A945" s="116"/>
      <c r="B945" s="116"/>
      <c r="C945" s="116"/>
      <c r="D945" s="116"/>
      <c r="E945" s="116"/>
      <c r="F945" s="116"/>
      <c r="G945" s="136"/>
      <c r="H945" s="116"/>
      <c r="I945" s="116"/>
      <c r="J945" s="116"/>
      <c r="K945" s="116"/>
      <c r="L945" s="116"/>
      <c r="M945" s="116"/>
    </row>
    <row r="946" spans="1:15" x14ac:dyDescent="0.35">
      <c r="A946" s="116"/>
      <c r="B946" s="116"/>
      <c r="C946" s="116"/>
      <c r="D946" s="116"/>
      <c r="E946" s="116"/>
      <c r="F946" s="116"/>
      <c r="G946" s="136"/>
      <c r="H946" s="116"/>
      <c r="I946" s="116"/>
      <c r="J946" s="116"/>
      <c r="K946" s="116"/>
      <c r="L946" s="116"/>
      <c r="M946" s="116"/>
      <c r="N946" s="116"/>
      <c r="O946" s="116"/>
    </row>
    <row r="947" spans="1:15" x14ac:dyDescent="0.35">
      <c r="A947" s="116"/>
      <c r="B947" s="116"/>
      <c r="C947" s="116"/>
      <c r="D947" s="116"/>
      <c r="E947" s="116"/>
      <c r="F947" s="116"/>
      <c r="G947" s="136"/>
      <c r="H947" s="116"/>
      <c r="I947" s="116"/>
      <c r="J947" s="116"/>
      <c r="K947" s="116"/>
      <c r="L947" s="116"/>
      <c r="M947" s="116"/>
      <c r="N947" s="116"/>
      <c r="O947" s="116"/>
    </row>
    <row r="948" spans="1:15" x14ac:dyDescent="0.35">
      <c r="A948" s="116"/>
      <c r="B948" s="116"/>
      <c r="C948" s="116"/>
      <c r="D948" s="116"/>
      <c r="E948" s="116"/>
      <c r="F948" s="116"/>
      <c r="G948" s="136"/>
      <c r="H948" s="116"/>
      <c r="I948" s="116"/>
      <c r="J948" s="116"/>
      <c r="K948" s="116"/>
      <c r="L948" s="116"/>
      <c r="M948" s="116"/>
    </row>
    <row r="949" spans="1:15" x14ac:dyDescent="0.35">
      <c r="A949" s="116"/>
      <c r="B949" s="116"/>
      <c r="C949" s="116"/>
      <c r="D949" s="116"/>
      <c r="E949" s="116"/>
      <c r="F949" s="116"/>
      <c r="G949" s="136"/>
      <c r="H949" s="116"/>
      <c r="I949" s="116"/>
      <c r="J949" s="116"/>
      <c r="K949" s="116"/>
      <c r="L949" s="116"/>
      <c r="M949" s="116"/>
      <c r="N949" s="116"/>
      <c r="O949" s="116"/>
    </row>
    <row r="950" spans="1:15" x14ac:dyDescent="0.35">
      <c r="A950" s="116"/>
      <c r="B950" s="116"/>
      <c r="C950" s="116"/>
      <c r="D950" s="116"/>
      <c r="E950" s="116"/>
      <c r="F950" s="116"/>
      <c r="G950" s="136"/>
      <c r="H950" s="116"/>
      <c r="I950" s="116"/>
      <c r="J950" s="116"/>
      <c r="K950" s="116"/>
      <c r="L950" s="116"/>
      <c r="M950" s="116"/>
    </row>
    <row r="951" spans="1:15" x14ac:dyDescent="0.35">
      <c r="A951" s="116"/>
      <c r="B951" s="116"/>
      <c r="C951" s="116"/>
      <c r="D951" s="116"/>
      <c r="E951" s="116"/>
      <c r="F951" s="116"/>
      <c r="G951" s="136"/>
      <c r="H951" s="116"/>
      <c r="I951" s="116"/>
      <c r="J951" s="116"/>
      <c r="K951" s="116"/>
      <c r="L951" s="116"/>
      <c r="M951" s="116"/>
    </row>
    <row r="952" spans="1:15" x14ac:dyDescent="0.35">
      <c r="A952" s="116"/>
      <c r="B952" s="116"/>
      <c r="C952" s="116"/>
      <c r="D952" s="116"/>
      <c r="E952" s="116"/>
      <c r="F952" s="116"/>
      <c r="G952" s="136"/>
      <c r="H952" s="116"/>
      <c r="I952" s="116"/>
      <c r="J952" s="116"/>
      <c r="K952" s="116"/>
      <c r="L952" s="116"/>
      <c r="M952" s="116"/>
    </row>
    <row r="953" spans="1:15" x14ac:dyDescent="0.35">
      <c r="A953" s="116"/>
      <c r="B953" s="116"/>
      <c r="C953" s="116"/>
      <c r="D953" s="116"/>
      <c r="E953" s="116"/>
      <c r="F953" s="116"/>
      <c r="G953" s="136"/>
      <c r="H953" s="116"/>
      <c r="I953" s="116"/>
      <c r="J953" s="116"/>
      <c r="K953" s="116"/>
      <c r="L953" s="116"/>
      <c r="M953" s="116"/>
    </row>
    <row r="954" spans="1:15" x14ac:dyDescent="0.35">
      <c r="A954" s="116"/>
      <c r="B954" s="116"/>
      <c r="C954" s="116"/>
      <c r="D954" s="116"/>
      <c r="E954" s="116"/>
      <c r="F954" s="116"/>
      <c r="G954" s="136"/>
      <c r="H954" s="116"/>
      <c r="I954" s="116"/>
      <c r="J954" s="116"/>
      <c r="K954" s="116"/>
      <c r="L954" s="116"/>
      <c r="M954" s="116"/>
      <c r="N954" s="116"/>
      <c r="O954" s="116"/>
    </row>
    <row r="955" spans="1:15" x14ac:dyDescent="0.35">
      <c r="A955" s="116"/>
      <c r="B955" s="116"/>
      <c r="C955" s="116"/>
      <c r="D955" s="116"/>
      <c r="E955" s="116"/>
      <c r="F955" s="116"/>
      <c r="G955" s="136"/>
      <c r="H955" s="116"/>
      <c r="I955" s="116"/>
      <c r="J955" s="116"/>
      <c r="K955" s="116"/>
      <c r="L955" s="116"/>
      <c r="M955" s="116"/>
    </row>
    <row r="956" spans="1:15" x14ac:dyDescent="0.35">
      <c r="A956" s="116"/>
      <c r="B956" s="116"/>
      <c r="C956" s="116"/>
      <c r="D956" s="116"/>
      <c r="E956" s="116"/>
      <c r="F956" s="116"/>
      <c r="G956" s="136"/>
      <c r="H956" s="116"/>
      <c r="I956" s="116"/>
      <c r="J956" s="116"/>
      <c r="K956" s="116"/>
      <c r="L956" s="116"/>
      <c r="M956" s="116"/>
      <c r="N956" s="116"/>
      <c r="O956" s="116"/>
    </row>
    <row r="957" spans="1:15" x14ac:dyDescent="0.35">
      <c r="A957" s="116"/>
      <c r="B957" s="116"/>
      <c r="C957" s="116"/>
      <c r="D957" s="116"/>
      <c r="E957" s="116"/>
      <c r="F957" s="116"/>
      <c r="G957" s="136"/>
      <c r="H957" s="116"/>
      <c r="I957" s="116"/>
      <c r="J957" s="116"/>
      <c r="K957" s="116"/>
      <c r="L957" s="116"/>
      <c r="M957" s="116"/>
      <c r="N957" s="116"/>
      <c r="O957" s="116"/>
    </row>
    <row r="958" spans="1:15" x14ac:dyDescent="0.35">
      <c r="A958" s="116"/>
      <c r="B958" s="116"/>
      <c r="C958" s="116"/>
      <c r="D958" s="116"/>
      <c r="E958" s="116"/>
      <c r="F958" s="116"/>
      <c r="G958" s="136"/>
      <c r="H958" s="116"/>
      <c r="I958" s="116"/>
      <c r="J958" s="116"/>
      <c r="K958" s="116"/>
      <c r="L958" s="116"/>
      <c r="M958" s="116"/>
      <c r="N958" s="116"/>
      <c r="O958" s="116"/>
    </row>
    <row r="959" spans="1:15" x14ac:dyDescent="0.35">
      <c r="A959" s="116"/>
      <c r="B959" s="116"/>
      <c r="C959" s="116"/>
      <c r="D959" s="116"/>
      <c r="E959" s="116"/>
      <c r="F959" s="116"/>
      <c r="G959" s="136"/>
      <c r="H959" s="116"/>
      <c r="I959" s="116"/>
      <c r="J959" s="116"/>
      <c r="K959" s="116"/>
      <c r="L959" s="116"/>
      <c r="M959" s="116"/>
      <c r="N959" s="116"/>
      <c r="O959" s="116"/>
    </row>
    <row r="960" spans="1:15" x14ac:dyDescent="0.35">
      <c r="A960" s="116"/>
      <c r="B960" s="116"/>
      <c r="C960" s="116"/>
      <c r="D960" s="116"/>
      <c r="E960" s="116"/>
      <c r="F960" s="116"/>
      <c r="G960" s="136"/>
      <c r="H960" s="116"/>
      <c r="I960" s="116"/>
      <c r="J960" s="116"/>
      <c r="K960" s="116"/>
      <c r="L960" s="116"/>
      <c r="M960" s="116"/>
      <c r="N960" s="116"/>
      <c r="O960" s="116"/>
    </row>
    <row r="961" spans="1:15" x14ac:dyDescent="0.35">
      <c r="A961" s="116"/>
      <c r="B961" s="116"/>
      <c r="C961" s="116"/>
      <c r="D961" s="116"/>
      <c r="E961" s="116"/>
      <c r="F961" s="116"/>
      <c r="G961" s="136"/>
      <c r="H961" s="116"/>
      <c r="I961" s="116"/>
      <c r="J961" s="116"/>
      <c r="K961" s="116"/>
      <c r="L961" s="116"/>
      <c r="M961" s="116"/>
      <c r="N961" s="116"/>
      <c r="O961" s="116"/>
    </row>
    <row r="962" spans="1:15" x14ac:dyDescent="0.35">
      <c r="A962" s="116"/>
      <c r="B962" s="116"/>
      <c r="C962" s="116"/>
      <c r="D962" s="116"/>
      <c r="E962" s="116"/>
      <c r="F962" s="116"/>
      <c r="G962" s="136"/>
      <c r="H962" s="116"/>
      <c r="I962" s="116"/>
      <c r="J962" s="116"/>
      <c r="K962" s="116"/>
      <c r="L962" s="116"/>
      <c r="M962" s="116"/>
      <c r="N962" s="116"/>
      <c r="O962" s="116"/>
    </row>
    <row r="963" spans="1:15" x14ac:dyDescent="0.35">
      <c r="A963" s="116"/>
      <c r="B963" s="116"/>
      <c r="C963" s="116"/>
      <c r="D963" s="116"/>
      <c r="E963" s="116"/>
      <c r="F963" s="116"/>
      <c r="G963" s="136"/>
      <c r="H963" s="116"/>
      <c r="I963" s="116"/>
      <c r="J963" s="116"/>
      <c r="K963" s="116"/>
      <c r="L963" s="116"/>
      <c r="M963" s="116"/>
      <c r="N963" s="116"/>
      <c r="O963" s="116"/>
    </row>
    <row r="964" spans="1:15" x14ac:dyDescent="0.35">
      <c r="A964" s="116"/>
      <c r="B964" s="116"/>
      <c r="C964" s="116"/>
      <c r="D964" s="116"/>
      <c r="E964" s="116"/>
      <c r="F964" s="116"/>
      <c r="G964" s="136"/>
      <c r="H964" s="116"/>
      <c r="I964" s="116"/>
      <c r="J964" s="116"/>
      <c r="K964" s="116"/>
      <c r="L964" s="116"/>
      <c r="M964" s="116"/>
      <c r="N964" s="116"/>
      <c r="O964" s="116"/>
    </row>
    <row r="965" spans="1:15" x14ac:dyDescent="0.35">
      <c r="A965" s="116"/>
      <c r="B965" s="116"/>
      <c r="C965" s="116"/>
      <c r="D965" s="116"/>
      <c r="E965" s="116"/>
      <c r="F965" s="116"/>
      <c r="G965" s="136"/>
      <c r="H965" s="116"/>
      <c r="I965" s="116"/>
      <c r="J965" s="116"/>
      <c r="K965" s="116"/>
      <c r="L965" s="116"/>
      <c r="M965" s="116"/>
      <c r="N965" s="116"/>
      <c r="O965" s="116"/>
    </row>
    <row r="966" spans="1:15" x14ac:dyDescent="0.35">
      <c r="A966" s="116"/>
      <c r="B966" s="116"/>
      <c r="C966" s="116"/>
      <c r="D966" s="116"/>
      <c r="E966" s="116"/>
      <c r="F966" s="116"/>
      <c r="G966" s="136"/>
      <c r="H966" s="116"/>
      <c r="I966" s="116"/>
      <c r="J966" s="116"/>
      <c r="K966" s="116"/>
      <c r="L966" s="116"/>
      <c r="M966" s="116"/>
      <c r="N966" s="116"/>
      <c r="O966" s="116"/>
    </row>
    <row r="967" spans="1:15" x14ac:dyDescent="0.35">
      <c r="A967" s="116"/>
      <c r="B967" s="116"/>
      <c r="C967" s="116"/>
      <c r="D967" s="116"/>
      <c r="E967" s="116"/>
      <c r="F967" s="116"/>
      <c r="G967" s="136"/>
      <c r="H967" s="116"/>
      <c r="I967" s="116"/>
      <c r="J967" s="116"/>
      <c r="K967" s="116"/>
      <c r="L967" s="116"/>
      <c r="M967" s="116"/>
      <c r="N967" s="116"/>
      <c r="O967" s="116"/>
    </row>
    <row r="968" spans="1:15" x14ac:dyDescent="0.35">
      <c r="A968" s="116"/>
      <c r="B968" s="116"/>
      <c r="C968" s="116"/>
      <c r="D968" s="116"/>
      <c r="E968" s="116"/>
      <c r="F968" s="116"/>
      <c r="G968" s="136"/>
      <c r="H968" s="116"/>
      <c r="I968" s="116"/>
      <c r="J968" s="116"/>
      <c r="K968" s="116"/>
      <c r="L968" s="116"/>
      <c r="M968" s="116"/>
      <c r="N968" s="116"/>
      <c r="O968" s="116"/>
    </row>
    <row r="969" spans="1:15" x14ac:dyDescent="0.35">
      <c r="A969" s="116"/>
      <c r="B969" s="116"/>
      <c r="C969" s="116"/>
      <c r="D969" s="116"/>
      <c r="E969" s="116"/>
      <c r="F969" s="116"/>
      <c r="G969" s="136"/>
      <c r="H969" s="116"/>
      <c r="I969" s="116"/>
      <c r="J969" s="116"/>
      <c r="K969" s="116"/>
      <c r="L969" s="116"/>
      <c r="M969" s="116"/>
      <c r="N969" s="116"/>
      <c r="O969" s="116"/>
    </row>
    <row r="970" spans="1:15" x14ac:dyDescent="0.35">
      <c r="A970" s="116"/>
      <c r="B970" s="116"/>
      <c r="C970" s="116"/>
      <c r="D970" s="116"/>
      <c r="E970" s="116"/>
      <c r="F970" s="116"/>
      <c r="G970" s="136"/>
      <c r="H970" s="116"/>
      <c r="I970" s="116"/>
      <c r="J970" s="116"/>
      <c r="K970" s="116"/>
      <c r="L970" s="116"/>
      <c r="M970" s="116"/>
      <c r="N970" s="116"/>
      <c r="O970" s="116"/>
    </row>
    <row r="971" spans="1:15" x14ac:dyDescent="0.35">
      <c r="A971" s="116"/>
      <c r="B971" s="116"/>
      <c r="C971" s="116"/>
      <c r="D971" s="116"/>
      <c r="E971" s="116"/>
      <c r="F971" s="116"/>
      <c r="G971" s="136"/>
      <c r="H971" s="116"/>
      <c r="I971" s="116"/>
      <c r="J971" s="116"/>
      <c r="K971" s="116"/>
      <c r="L971" s="116"/>
      <c r="M971" s="116"/>
      <c r="N971" s="116"/>
      <c r="O971" s="116"/>
    </row>
    <row r="972" spans="1:15" x14ac:dyDescent="0.35">
      <c r="A972" s="116"/>
      <c r="B972" s="116"/>
      <c r="C972" s="116"/>
      <c r="D972" s="116"/>
      <c r="E972" s="116"/>
      <c r="F972" s="116"/>
      <c r="G972" s="136"/>
      <c r="H972" s="116"/>
      <c r="I972" s="116"/>
      <c r="J972" s="116"/>
      <c r="K972" s="116"/>
      <c r="L972" s="116"/>
      <c r="M972" s="116"/>
      <c r="N972" s="116"/>
      <c r="O972" s="116"/>
    </row>
    <row r="973" spans="1:15" x14ac:dyDescent="0.35">
      <c r="A973" s="116"/>
      <c r="B973" s="116"/>
      <c r="C973" s="116"/>
      <c r="D973" s="116"/>
      <c r="E973" s="116"/>
      <c r="F973" s="116"/>
      <c r="G973" s="136"/>
      <c r="H973" s="116"/>
      <c r="I973" s="116"/>
      <c r="J973" s="116"/>
      <c r="K973" s="116"/>
      <c r="L973" s="116"/>
      <c r="M973" s="116"/>
      <c r="N973" s="31"/>
      <c r="O973" s="31"/>
    </row>
    <row r="974" spans="1:15" x14ac:dyDescent="0.35">
      <c r="A974" s="116"/>
      <c r="B974" s="116"/>
      <c r="C974" s="116"/>
      <c r="D974" s="116"/>
      <c r="E974" s="116"/>
      <c r="F974" s="116"/>
      <c r="G974" s="136"/>
      <c r="H974" s="116"/>
      <c r="I974" s="116"/>
      <c r="J974" s="116"/>
      <c r="K974" s="116"/>
      <c r="L974" s="116"/>
      <c r="M974" s="116"/>
    </row>
    <row r="975" spans="1:15" x14ac:dyDescent="0.35">
      <c r="A975" s="116"/>
      <c r="B975" s="116"/>
      <c r="C975" s="116"/>
      <c r="D975" s="116"/>
      <c r="E975" s="116"/>
      <c r="F975" s="116"/>
      <c r="G975" s="136"/>
      <c r="H975" s="116"/>
      <c r="I975" s="116"/>
      <c r="J975" s="116"/>
      <c r="K975" s="116"/>
      <c r="L975" s="116"/>
      <c r="M975" s="116"/>
    </row>
    <row r="976" spans="1:15" x14ac:dyDescent="0.35">
      <c r="A976" s="116"/>
      <c r="B976" s="116"/>
      <c r="C976" s="116"/>
      <c r="D976" s="116"/>
      <c r="E976" s="116"/>
      <c r="F976" s="116"/>
      <c r="G976" s="136"/>
      <c r="H976" s="116"/>
      <c r="I976" s="116"/>
      <c r="J976" s="116"/>
      <c r="K976" s="116"/>
      <c r="L976" s="116"/>
      <c r="M976" s="116"/>
    </row>
    <row r="977" spans="1:15" x14ac:dyDescent="0.35">
      <c r="A977" s="116"/>
      <c r="B977" s="116"/>
      <c r="C977" s="116"/>
      <c r="D977" s="116"/>
      <c r="E977" s="116"/>
      <c r="F977" s="116"/>
      <c r="G977" s="136"/>
      <c r="H977" s="116"/>
      <c r="I977" s="116"/>
      <c r="J977" s="116"/>
      <c r="K977" s="116"/>
      <c r="L977" s="116"/>
      <c r="M977" s="116"/>
    </row>
    <row r="978" spans="1:15" x14ac:dyDescent="0.35">
      <c r="A978" s="116"/>
      <c r="B978" s="116"/>
      <c r="C978" s="116"/>
      <c r="D978" s="116"/>
      <c r="E978" s="116"/>
      <c r="F978" s="116"/>
      <c r="G978" s="136"/>
      <c r="H978" s="116"/>
      <c r="I978" s="116"/>
      <c r="J978" s="116"/>
      <c r="K978" s="116"/>
      <c r="L978" s="116"/>
      <c r="M978" s="116"/>
    </row>
    <row r="979" spans="1:15" x14ac:dyDescent="0.35">
      <c r="A979" s="116"/>
      <c r="B979" s="116"/>
      <c r="C979" s="116"/>
      <c r="D979" s="116"/>
      <c r="E979" s="116"/>
      <c r="F979" s="116"/>
      <c r="G979" s="136"/>
      <c r="H979" s="116"/>
      <c r="I979" s="116"/>
      <c r="J979" s="116"/>
      <c r="K979" s="116"/>
      <c r="L979" s="116"/>
      <c r="M979" s="116"/>
      <c r="N979" s="116"/>
      <c r="O979" s="116"/>
    </row>
    <row r="980" spans="1:15" x14ac:dyDescent="0.35">
      <c r="A980" s="116"/>
      <c r="B980" s="116"/>
      <c r="C980" s="116"/>
      <c r="D980" s="116"/>
      <c r="E980" s="116"/>
      <c r="F980" s="116"/>
      <c r="G980" s="136"/>
      <c r="H980" s="116"/>
      <c r="I980" s="116"/>
      <c r="J980" s="116"/>
      <c r="K980" s="116"/>
      <c r="L980" s="116"/>
      <c r="M980" s="116"/>
    </row>
    <row r="981" spans="1:15" x14ac:dyDescent="0.35">
      <c r="A981" s="116"/>
      <c r="B981" s="116"/>
      <c r="C981" s="116"/>
      <c r="D981" s="116"/>
      <c r="E981" s="116"/>
      <c r="F981" s="116"/>
      <c r="G981" s="136"/>
      <c r="H981" s="116"/>
      <c r="I981" s="116"/>
      <c r="J981" s="116"/>
      <c r="K981" s="116"/>
      <c r="L981" s="116"/>
      <c r="M981" s="116"/>
      <c r="N981" s="31"/>
      <c r="O981" s="31"/>
    </row>
    <row r="982" spans="1:15" x14ac:dyDescent="0.35">
      <c r="A982" s="116"/>
      <c r="B982" s="116"/>
      <c r="C982" s="116"/>
      <c r="D982" s="116"/>
      <c r="E982" s="116"/>
      <c r="F982" s="116"/>
      <c r="G982" s="136"/>
      <c r="H982" s="116"/>
      <c r="I982" s="116"/>
      <c r="J982" s="116"/>
      <c r="K982" s="116"/>
      <c r="L982" s="116"/>
      <c r="M982" s="116"/>
      <c r="N982" s="116"/>
      <c r="O982" s="116"/>
    </row>
    <row r="983" spans="1:15" x14ac:dyDescent="0.35">
      <c r="A983" s="116"/>
      <c r="B983" s="116"/>
      <c r="C983" s="116"/>
      <c r="D983" s="116"/>
      <c r="E983" s="116"/>
      <c r="F983" s="116"/>
      <c r="G983" s="136"/>
      <c r="H983" s="116"/>
      <c r="I983" s="116"/>
      <c r="J983" s="116"/>
      <c r="K983" s="116"/>
      <c r="L983" s="116"/>
      <c r="M983" s="116"/>
      <c r="N983" s="116"/>
      <c r="O983" s="116"/>
    </row>
    <row r="984" spans="1:15" x14ac:dyDescent="0.35">
      <c r="A984" s="116"/>
      <c r="B984" s="116"/>
      <c r="C984" s="116"/>
      <c r="D984" s="116"/>
      <c r="E984" s="116"/>
      <c r="F984" s="116"/>
      <c r="G984" s="136"/>
      <c r="H984" s="116"/>
      <c r="I984" s="116"/>
      <c r="J984" s="116"/>
      <c r="K984" s="116"/>
      <c r="L984" s="116"/>
      <c r="M984" s="116"/>
      <c r="N984" s="116"/>
      <c r="O984" s="116"/>
    </row>
    <row r="985" spans="1:15" x14ac:dyDescent="0.35">
      <c r="A985" s="116"/>
      <c r="B985" s="116"/>
      <c r="C985" s="116"/>
      <c r="D985" s="116"/>
      <c r="E985" s="116"/>
      <c r="F985" s="116"/>
      <c r="G985" s="136"/>
      <c r="H985" s="116"/>
      <c r="I985" s="116"/>
      <c r="J985" s="116"/>
      <c r="K985" s="116"/>
      <c r="L985" s="116"/>
      <c r="M985" s="116"/>
      <c r="N985" s="116"/>
      <c r="O985" s="116"/>
    </row>
    <row r="986" spans="1:15" x14ac:dyDescent="0.35">
      <c r="A986" s="116"/>
      <c r="B986" s="116"/>
      <c r="C986" s="116"/>
      <c r="D986" s="116"/>
      <c r="E986" s="116"/>
      <c r="F986" s="116"/>
      <c r="G986" s="136"/>
      <c r="H986" s="116"/>
      <c r="I986" s="116"/>
      <c r="J986" s="116"/>
      <c r="K986" s="116"/>
      <c r="L986" s="116"/>
      <c r="M986" s="116"/>
      <c r="N986" s="116"/>
      <c r="O986" s="116"/>
    </row>
    <row r="987" spans="1:15" x14ac:dyDescent="0.35">
      <c r="A987" s="116"/>
      <c r="B987" s="116"/>
      <c r="C987" s="116"/>
      <c r="D987" s="116"/>
      <c r="E987" s="116"/>
      <c r="F987" s="116"/>
      <c r="G987" s="136"/>
      <c r="H987" s="116"/>
      <c r="I987" s="116"/>
      <c r="J987" s="116"/>
      <c r="K987" s="116"/>
      <c r="L987" s="116"/>
      <c r="M987" s="116"/>
      <c r="N987" s="116"/>
      <c r="O987" s="116"/>
    </row>
    <row r="988" spans="1:15" x14ac:dyDescent="0.35">
      <c r="A988" s="116"/>
      <c r="B988" s="116"/>
      <c r="C988" s="116"/>
      <c r="D988" s="116"/>
      <c r="E988" s="116"/>
      <c r="F988" s="116"/>
      <c r="G988" s="136"/>
      <c r="H988" s="116"/>
      <c r="I988" s="116"/>
      <c r="J988" s="116"/>
      <c r="K988" s="116"/>
      <c r="L988" s="116"/>
      <c r="M988" s="116"/>
      <c r="N988" s="116"/>
      <c r="O988" s="116"/>
    </row>
    <row r="989" spans="1:15" x14ac:dyDescent="0.35">
      <c r="A989" s="116"/>
      <c r="B989" s="116"/>
      <c r="C989" s="116"/>
      <c r="D989" s="116"/>
      <c r="E989" s="116"/>
      <c r="F989" s="116"/>
      <c r="G989" s="136"/>
      <c r="H989" s="116"/>
      <c r="I989" s="116"/>
      <c r="J989" s="116"/>
      <c r="K989" s="116"/>
      <c r="L989" s="116"/>
      <c r="M989" s="116"/>
      <c r="N989" s="116"/>
      <c r="O989" s="116"/>
    </row>
    <row r="990" spans="1:15" x14ac:dyDescent="0.35">
      <c r="A990" s="116"/>
      <c r="B990" s="116"/>
      <c r="C990" s="116"/>
      <c r="D990" s="116"/>
      <c r="E990" s="116"/>
      <c r="F990" s="116"/>
      <c r="G990" s="136"/>
      <c r="H990" s="116"/>
      <c r="I990" s="116"/>
      <c r="J990" s="116"/>
      <c r="K990" s="116"/>
      <c r="L990" s="116"/>
      <c r="M990" s="116"/>
      <c r="N990" s="116"/>
      <c r="O990" s="116"/>
    </row>
    <row r="991" spans="1:15" x14ac:dyDescent="0.35">
      <c r="A991" s="116"/>
      <c r="B991" s="116"/>
      <c r="C991" s="116"/>
      <c r="D991" s="116"/>
      <c r="E991" s="116"/>
      <c r="F991" s="116"/>
      <c r="G991" s="136"/>
      <c r="H991" s="116"/>
      <c r="I991" s="116"/>
      <c r="J991" s="116"/>
      <c r="K991" s="116"/>
      <c r="L991" s="116"/>
      <c r="M991" s="116"/>
      <c r="N991" s="116"/>
      <c r="O991" s="116"/>
    </row>
    <row r="992" spans="1:15" x14ac:dyDescent="0.35">
      <c r="A992" s="116"/>
      <c r="B992" s="116"/>
      <c r="C992" s="116"/>
      <c r="D992" s="116"/>
      <c r="E992" s="116"/>
      <c r="F992" s="116"/>
      <c r="G992" s="136"/>
      <c r="H992" s="116"/>
      <c r="I992" s="116"/>
      <c r="J992" s="116"/>
      <c r="K992" s="116"/>
      <c r="L992" s="116"/>
      <c r="M992" s="116"/>
      <c r="N992" s="116"/>
      <c r="O992" s="116"/>
    </row>
    <row r="993" spans="1:15" x14ac:dyDescent="0.35">
      <c r="A993" s="116"/>
      <c r="B993" s="116"/>
      <c r="C993" s="116"/>
      <c r="D993" s="116"/>
      <c r="E993" s="116"/>
      <c r="F993" s="116"/>
      <c r="G993" s="136"/>
      <c r="H993" s="116"/>
      <c r="I993" s="116"/>
      <c r="J993" s="116"/>
      <c r="K993" s="116"/>
      <c r="L993" s="116"/>
      <c r="M993" s="116"/>
      <c r="N993" s="116"/>
      <c r="O993" s="116"/>
    </row>
    <row r="994" spans="1:15" x14ac:dyDescent="0.35">
      <c r="A994" s="116"/>
      <c r="B994" s="116"/>
      <c r="C994" s="116"/>
      <c r="D994" s="116"/>
      <c r="E994" s="116"/>
      <c r="F994" s="116"/>
      <c r="G994" s="136"/>
      <c r="H994" s="116"/>
      <c r="I994" s="116"/>
      <c r="J994" s="116"/>
      <c r="K994" s="116"/>
      <c r="L994" s="116"/>
      <c r="M994" s="116"/>
      <c r="N994" s="116"/>
      <c r="O994" s="116"/>
    </row>
    <row r="995" spans="1:15" x14ac:dyDescent="0.35">
      <c r="A995" s="116"/>
      <c r="B995" s="116"/>
      <c r="C995" s="116"/>
      <c r="D995" s="116"/>
      <c r="E995" s="116"/>
      <c r="F995" s="116"/>
      <c r="G995" s="136"/>
      <c r="H995" s="116"/>
      <c r="I995" s="116"/>
      <c r="J995" s="116"/>
      <c r="K995" s="116"/>
      <c r="L995" s="116"/>
      <c r="M995" s="116"/>
      <c r="N995" s="116"/>
      <c r="O995" s="116"/>
    </row>
    <row r="996" spans="1:15" x14ac:dyDescent="0.35">
      <c r="A996" s="116"/>
      <c r="B996" s="116"/>
      <c r="C996" s="116"/>
      <c r="D996" s="116"/>
      <c r="E996" s="116"/>
      <c r="F996" s="116"/>
      <c r="G996" s="136"/>
      <c r="H996" s="116"/>
      <c r="I996" s="116"/>
      <c r="J996" s="116"/>
      <c r="K996" s="116"/>
      <c r="L996" s="116"/>
      <c r="M996" s="116"/>
      <c r="N996" s="116"/>
      <c r="O996" s="116"/>
    </row>
    <row r="997" spans="1:15" x14ac:dyDescent="0.35">
      <c r="A997" s="116"/>
      <c r="B997" s="116"/>
      <c r="C997" s="116"/>
      <c r="D997" s="116"/>
      <c r="E997" s="116"/>
      <c r="F997" s="116"/>
      <c r="G997" s="136"/>
      <c r="H997" s="116"/>
      <c r="I997" s="116"/>
      <c r="J997" s="116"/>
      <c r="K997" s="116"/>
      <c r="L997" s="116"/>
      <c r="M997" s="116"/>
      <c r="N997" s="116"/>
      <c r="O997" s="116"/>
    </row>
    <row r="998" spans="1:15" x14ac:dyDescent="0.35">
      <c r="A998" s="116"/>
      <c r="B998" s="116"/>
      <c r="C998" s="116"/>
      <c r="D998" s="116"/>
      <c r="E998" s="116"/>
      <c r="F998" s="116"/>
      <c r="G998" s="136"/>
      <c r="H998" s="116"/>
      <c r="I998" s="116"/>
      <c r="J998" s="116"/>
      <c r="K998" s="116"/>
      <c r="L998" s="116"/>
      <c r="M998" s="116"/>
      <c r="N998" s="116"/>
      <c r="O998" s="116"/>
    </row>
    <row r="999" spans="1:15" x14ac:dyDescent="0.35">
      <c r="A999" s="116"/>
      <c r="B999" s="116"/>
      <c r="C999" s="116"/>
      <c r="D999" s="116"/>
      <c r="E999" s="116"/>
      <c r="F999" s="116"/>
      <c r="G999" s="136"/>
      <c r="H999" s="116"/>
      <c r="I999" s="116"/>
      <c r="J999" s="116"/>
      <c r="K999" s="116"/>
      <c r="L999" s="116"/>
      <c r="M999" s="116"/>
    </row>
    <row r="1000" spans="1:15" x14ac:dyDescent="0.35">
      <c r="A1000" s="116"/>
      <c r="B1000" s="116"/>
      <c r="C1000" s="116"/>
      <c r="D1000" s="116"/>
      <c r="E1000" s="116"/>
      <c r="F1000" s="116"/>
      <c r="G1000" s="136"/>
      <c r="H1000" s="116"/>
      <c r="I1000" s="116"/>
      <c r="J1000" s="116"/>
      <c r="K1000" s="116"/>
      <c r="L1000" s="116"/>
      <c r="M1000" s="116"/>
      <c r="N1000" s="116"/>
      <c r="O1000" s="116"/>
    </row>
    <row r="1001" spans="1:15" x14ac:dyDescent="0.35">
      <c r="A1001" s="116"/>
      <c r="B1001" s="116"/>
      <c r="C1001" s="116"/>
      <c r="D1001" s="116"/>
      <c r="E1001" s="116"/>
      <c r="F1001" s="116"/>
      <c r="G1001" s="136"/>
      <c r="H1001" s="116"/>
      <c r="I1001" s="116"/>
      <c r="J1001" s="116"/>
      <c r="K1001" s="116"/>
      <c r="L1001" s="116"/>
      <c r="M1001" s="116"/>
      <c r="N1001" s="116"/>
      <c r="O1001" s="116"/>
    </row>
    <row r="1002" spans="1:15" x14ac:dyDescent="0.35">
      <c r="A1002" s="116"/>
      <c r="B1002" s="116"/>
      <c r="C1002" s="116"/>
      <c r="D1002" s="116"/>
      <c r="E1002" s="116"/>
      <c r="F1002" s="116"/>
      <c r="G1002" s="136"/>
      <c r="H1002" s="116"/>
      <c r="I1002" s="116"/>
      <c r="J1002" s="116"/>
      <c r="K1002" s="116"/>
      <c r="L1002" s="116"/>
      <c r="M1002" s="116"/>
      <c r="N1002" s="116"/>
      <c r="O1002" s="116"/>
    </row>
    <row r="1003" spans="1:15" x14ac:dyDescent="0.35">
      <c r="A1003" s="116"/>
      <c r="B1003" s="116"/>
      <c r="C1003" s="116"/>
      <c r="D1003" s="116"/>
      <c r="E1003" s="116"/>
      <c r="F1003" s="116"/>
      <c r="G1003" s="136"/>
      <c r="H1003" s="116"/>
      <c r="I1003" s="116"/>
      <c r="J1003" s="116"/>
      <c r="K1003" s="116"/>
      <c r="L1003" s="116"/>
      <c r="M1003" s="116"/>
      <c r="N1003" s="116"/>
      <c r="O1003" s="116"/>
    </row>
    <row r="1004" spans="1:15" x14ac:dyDescent="0.35">
      <c r="A1004" s="116"/>
      <c r="B1004" s="116"/>
      <c r="C1004" s="116"/>
      <c r="D1004" s="116"/>
      <c r="E1004" s="116"/>
      <c r="F1004" s="116"/>
      <c r="G1004" s="136"/>
      <c r="H1004" s="116"/>
      <c r="I1004" s="116"/>
      <c r="J1004" s="116"/>
      <c r="K1004" s="116"/>
      <c r="L1004" s="116"/>
      <c r="M1004" s="116"/>
      <c r="N1004" s="116"/>
      <c r="O1004" s="116"/>
    </row>
    <row r="1005" spans="1:15" x14ac:dyDescent="0.35">
      <c r="A1005" s="116"/>
      <c r="B1005" s="116"/>
      <c r="C1005" s="116"/>
      <c r="D1005" s="116"/>
      <c r="E1005" s="116"/>
      <c r="F1005" s="116"/>
      <c r="G1005" s="136"/>
      <c r="H1005" s="116"/>
      <c r="I1005" s="116"/>
      <c r="J1005" s="116"/>
      <c r="K1005" s="116"/>
      <c r="L1005" s="116"/>
      <c r="M1005" s="116"/>
      <c r="N1005" s="31"/>
      <c r="O1005" s="31"/>
    </row>
    <row r="1006" spans="1:15" x14ac:dyDescent="0.35">
      <c r="A1006" s="116"/>
      <c r="B1006" s="116"/>
      <c r="C1006" s="116"/>
      <c r="D1006" s="116"/>
      <c r="E1006" s="116"/>
      <c r="F1006" s="116"/>
      <c r="G1006" s="136"/>
      <c r="H1006" s="116"/>
      <c r="I1006" s="116"/>
      <c r="J1006" s="116"/>
      <c r="K1006" s="116"/>
      <c r="L1006" s="116"/>
      <c r="M1006" s="116"/>
    </row>
    <row r="1007" spans="1:15" x14ac:dyDescent="0.35">
      <c r="A1007" s="116"/>
      <c r="B1007" s="116"/>
      <c r="C1007" s="116"/>
      <c r="D1007" s="116"/>
      <c r="E1007" s="116"/>
      <c r="F1007" s="116"/>
      <c r="G1007" s="136"/>
      <c r="H1007" s="116"/>
      <c r="I1007" s="116"/>
      <c r="J1007" s="116"/>
      <c r="K1007" s="116"/>
      <c r="L1007" s="116"/>
      <c r="M1007" s="116"/>
    </row>
    <row r="1008" spans="1:15" x14ac:dyDescent="0.35">
      <c r="A1008" s="116"/>
      <c r="B1008" s="116"/>
      <c r="C1008" s="116"/>
      <c r="D1008" s="116"/>
      <c r="E1008" s="116"/>
      <c r="F1008" s="116"/>
      <c r="G1008" s="136"/>
      <c r="H1008" s="116"/>
      <c r="I1008" s="116"/>
      <c r="J1008" s="116"/>
      <c r="K1008" s="116"/>
      <c r="L1008" s="116"/>
      <c r="M1008" s="116"/>
    </row>
    <row r="1009" spans="1:15" x14ac:dyDescent="0.35">
      <c r="A1009" s="116"/>
      <c r="B1009" s="116"/>
      <c r="C1009" s="116"/>
      <c r="D1009" s="116"/>
      <c r="E1009" s="116"/>
      <c r="F1009" s="116"/>
      <c r="G1009" s="136"/>
      <c r="H1009" s="116"/>
      <c r="I1009" s="116"/>
      <c r="J1009" s="116"/>
      <c r="K1009" s="116"/>
      <c r="L1009" s="116"/>
      <c r="M1009" s="116"/>
      <c r="N1009" s="116"/>
      <c r="O1009" s="116"/>
    </row>
    <row r="1010" spans="1:15" x14ac:dyDescent="0.35">
      <c r="A1010" s="116"/>
      <c r="B1010" s="116"/>
      <c r="C1010" s="116"/>
      <c r="D1010" s="116"/>
      <c r="E1010" s="116"/>
      <c r="F1010" s="116"/>
      <c r="G1010" s="136"/>
      <c r="H1010" s="116"/>
      <c r="I1010" s="116"/>
      <c r="J1010" s="116"/>
      <c r="K1010" s="116"/>
      <c r="L1010" s="116"/>
      <c r="M1010" s="116"/>
      <c r="N1010" s="116"/>
      <c r="O1010" s="116"/>
    </row>
    <row r="1011" spans="1:15" x14ac:dyDescent="0.35">
      <c r="A1011" s="116"/>
      <c r="B1011" s="116"/>
      <c r="C1011" s="116"/>
      <c r="D1011" s="116"/>
      <c r="E1011" s="116"/>
      <c r="F1011" s="116"/>
      <c r="G1011" s="136"/>
      <c r="H1011" s="116"/>
      <c r="I1011" s="116"/>
      <c r="J1011" s="116"/>
      <c r="K1011" s="116"/>
      <c r="L1011" s="116"/>
      <c r="M1011" s="116"/>
    </row>
    <row r="1012" spans="1:15" x14ac:dyDescent="0.35">
      <c r="A1012" s="116"/>
      <c r="B1012" s="116"/>
      <c r="C1012" s="116"/>
      <c r="D1012" s="116"/>
      <c r="E1012" s="116"/>
      <c r="F1012" s="116"/>
      <c r="G1012" s="136"/>
      <c r="H1012" s="116"/>
      <c r="I1012" s="116"/>
      <c r="J1012" s="116"/>
      <c r="K1012" s="116"/>
      <c r="L1012" s="116"/>
      <c r="M1012" s="116"/>
    </row>
    <row r="1013" spans="1:15" x14ac:dyDescent="0.35">
      <c r="A1013" s="116"/>
      <c r="B1013" s="116"/>
      <c r="C1013" s="116"/>
      <c r="D1013" s="116"/>
      <c r="E1013" s="116"/>
      <c r="F1013" s="116"/>
      <c r="G1013" s="136"/>
      <c r="H1013" s="116"/>
      <c r="I1013" s="116"/>
      <c r="J1013" s="116"/>
      <c r="K1013" s="116"/>
      <c r="L1013" s="116"/>
      <c r="M1013" s="116"/>
    </row>
    <row r="1014" spans="1:15" x14ac:dyDescent="0.35">
      <c r="A1014" s="116"/>
      <c r="B1014" s="116"/>
      <c r="C1014" s="116"/>
      <c r="D1014" s="116"/>
      <c r="E1014" s="116"/>
      <c r="F1014" s="116"/>
      <c r="G1014" s="136"/>
      <c r="H1014" s="116"/>
      <c r="I1014" s="116"/>
      <c r="J1014" s="116"/>
      <c r="K1014" s="116"/>
      <c r="L1014" s="116"/>
      <c r="M1014" s="116"/>
      <c r="N1014" s="31"/>
      <c r="O1014" s="31"/>
    </row>
    <row r="1015" spans="1:15" x14ac:dyDescent="0.35">
      <c r="A1015" s="116"/>
      <c r="B1015" s="116"/>
      <c r="C1015" s="116"/>
      <c r="D1015" s="116"/>
      <c r="E1015" s="116"/>
      <c r="F1015" s="116"/>
      <c r="G1015" s="136"/>
      <c r="H1015" s="116"/>
      <c r="I1015" s="116"/>
      <c r="J1015" s="116"/>
      <c r="K1015" s="116"/>
      <c r="L1015" s="116"/>
      <c r="M1015" s="116"/>
    </row>
    <row r="1016" spans="1:15" x14ac:dyDescent="0.35">
      <c r="A1016" s="116"/>
      <c r="B1016" s="116"/>
      <c r="C1016" s="116"/>
      <c r="D1016" s="116"/>
      <c r="E1016" s="116"/>
      <c r="F1016" s="116"/>
      <c r="G1016" s="136"/>
      <c r="H1016" s="116"/>
      <c r="I1016" s="116"/>
      <c r="J1016" s="116"/>
      <c r="K1016" s="116"/>
      <c r="L1016" s="116"/>
      <c r="M1016" s="116"/>
      <c r="N1016" s="116"/>
      <c r="O1016" s="116"/>
    </row>
    <row r="1017" spans="1:15" x14ac:dyDescent="0.35">
      <c r="A1017" s="116"/>
      <c r="B1017" s="116"/>
      <c r="C1017" s="116"/>
      <c r="D1017" s="116"/>
      <c r="E1017" s="116"/>
      <c r="F1017" s="116"/>
      <c r="G1017" s="136"/>
      <c r="H1017" s="116"/>
      <c r="I1017" s="116"/>
      <c r="J1017" s="116"/>
      <c r="K1017" s="116"/>
      <c r="L1017" s="116"/>
      <c r="M1017" s="116"/>
      <c r="N1017" s="116"/>
      <c r="O1017" s="116"/>
    </row>
    <row r="1018" spans="1:15" x14ac:dyDescent="0.35">
      <c r="A1018" s="116"/>
      <c r="B1018" s="116"/>
      <c r="C1018" s="116"/>
      <c r="D1018" s="116"/>
      <c r="E1018" s="116"/>
      <c r="F1018" s="116"/>
      <c r="G1018" s="136"/>
      <c r="H1018" s="116"/>
      <c r="I1018" s="116"/>
      <c r="J1018" s="116"/>
      <c r="K1018" s="116"/>
      <c r="L1018" s="116"/>
      <c r="M1018" s="116"/>
      <c r="N1018" s="116"/>
      <c r="O1018" s="116"/>
    </row>
    <row r="1019" spans="1:15" x14ac:dyDescent="0.35">
      <c r="A1019" s="116"/>
      <c r="B1019" s="116"/>
      <c r="C1019" s="116"/>
      <c r="D1019" s="116"/>
      <c r="E1019" s="116"/>
      <c r="F1019" s="116"/>
      <c r="G1019" s="136"/>
      <c r="H1019" s="116"/>
      <c r="I1019" s="116"/>
      <c r="J1019" s="116"/>
      <c r="K1019" s="116"/>
      <c r="L1019" s="116"/>
      <c r="M1019" s="116"/>
      <c r="N1019" s="116"/>
      <c r="O1019" s="116"/>
    </row>
    <row r="1020" spans="1:15" x14ac:dyDescent="0.35">
      <c r="A1020" s="116"/>
      <c r="B1020" s="116"/>
      <c r="C1020" s="116"/>
      <c r="D1020" s="116"/>
      <c r="E1020" s="116"/>
      <c r="F1020" s="116"/>
      <c r="G1020" s="136"/>
      <c r="H1020" s="116"/>
      <c r="I1020" s="116"/>
      <c r="J1020" s="116"/>
      <c r="K1020" s="116"/>
      <c r="L1020" s="116"/>
      <c r="M1020" s="116"/>
      <c r="N1020" s="116"/>
      <c r="O1020" s="116"/>
    </row>
    <row r="1021" spans="1:15" x14ac:dyDescent="0.35">
      <c r="A1021" s="116"/>
      <c r="B1021" s="116"/>
      <c r="C1021" s="116"/>
      <c r="D1021" s="116"/>
      <c r="E1021" s="116"/>
      <c r="F1021" s="116"/>
      <c r="G1021" s="136"/>
      <c r="H1021" s="116"/>
      <c r="I1021" s="116"/>
      <c r="J1021" s="116"/>
      <c r="K1021" s="116"/>
      <c r="L1021" s="116"/>
      <c r="M1021" s="116"/>
      <c r="N1021" s="116"/>
      <c r="O1021" s="116"/>
    </row>
    <row r="1022" spans="1:15" x14ac:dyDescent="0.35">
      <c r="A1022" s="116"/>
      <c r="B1022" s="116"/>
      <c r="C1022" s="116"/>
      <c r="D1022" s="116"/>
      <c r="E1022" s="116"/>
      <c r="F1022" s="116"/>
      <c r="G1022" s="136"/>
      <c r="H1022" s="116"/>
      <c r="I1022" s="116"/>
      <c r="J1022" s="116"/>
      <c r="K1022" s="116"/>
      <c r="L1022" s="116"/>
      <c r="M1022" s="116"/>
      <c r="N1022" s="116"/>
      <c r="O1022" s="116"/>
    </row>
    <row r="1023" spans="1:15" x14ac:dyDescent="0.35">
      <c r="A1023" s="116"/>
      <c r="B1023" s="116"/>
      <c r="C1023" s="116"/>
      <c r="D1023" s="116"/>
      <c r="E1023" s="116"/>
      <c r="F1023" s="116"/>
      <c r="G1023" s="136"/>
      <c r="H1023" s="116"/>
      <c r="I1023" s="116"/>
      <c r="J1023" s="116"/>
      <c r="K1023" s="116"/>
      <c r="L1023" s="116"/>
      <c r="M1023" s="116"/>
      <c r="N1023" s="116"/>
      <c r="O1023" s="116"/>
    </row>
    <row r="1024" spans="1:15" x14ac:dyDescent="0.35">
      <c r="A1024" s="116"/>
      <c r="B1024" s="116"/>
      <c r="C1024" s="116"/>
      <c r="D1024" s="116"/>
      <c r="E1024" s="116"/>
      <c r="F1024" s="116"/>
      <c r="G1024" s="136"/>
      <c r="H1024" s="116"/>
      <c r="I1024" s="116"/>
      <c r="J1024" s="116"/>
      <c r="K1024" s="116"/>
      <c r="L1024" s="116"/>
      <c r="M1024" s="116"/>
      <c r="N1024" s="116"/>
      <c r="O1024" s="116"/>
    </row>
    <row r="1025" spans="1:15" x14ac:dyDescent="0.35">
      <c r="A1025" s="116"/>
      <c r="B1025" s="116"/>
      <c r="C1025" s="116"/>
      <c r="D1025" s="116"/>
      <c r="E1025" s="116"/>
      <c r="F1025" s="116"/>
      <c r="G1025" s="136"/>
      <c r="H1025" s="116"/>
      <c r="I1025" s="116"/>
      <c r="J1025" s="116"/>
      <c r="K1025" s="116"/>
      <c r="L1025" s="116"/>
      <c r="M1025" s="116"/>
      <c r="N1025" s="116"/>
      <c r="O1025" s="116"/>
    </row>
    <row r="1026" spans="1:15" x14ac:dyDescent="0.35">
      <c r="A1026" s="116"/>
      <c r="B1026" s="116"/>
      <c r="C1026" s="116"/>
      <c r="D1026" s="116"/>
      <c r="E1026" s="116"/>
      <c r="F1026" s="116"/>
      <c r="G1026" s="136"/>
      <c r="H1026" s="116"/>
      <c r="I1026" s="116"/>
      <c r="J1026" s="116"/>
      <c r="K1026" s="116"/>
      <c r="L1026" s="116"/>
      <c r="M1026" s="116"/>
      <c r="N1026" s="116"/>
      <c r="O1026" s="116"/>
    </row>
    <row r="1027" spans="1:15" x14ac:dyDescent="0.35">
      <c r="A1027" s="116"/>
      <c r="B1027" s="116"/>
      <c r="C1027" s="116"/>
      <c r="D1027" s="116"/>
      <c r="E1027" s="116"/>
      <c r="F1027" s="116"/>
      <c r="G1027" s="136"/>
      <c r="H1027" s="116"/>
      <c r="I1027" s="116"/>
      <c r="J1027" s="116"/>
      <c r="K1027" s="116"/>
      <c r="L1027" s="116"/>
      <c r="M1027" s="116"/>
      <c r="N1027" s="116"/>
      <c r="O1027" s="116"/>
    </row>
    <row r="1028" spans="1:15" x14ac:dyDescent="0.35">
      <c r="A1028" s="116"/>
      <c r="B1028" s="116"/>
      <c r="C1028" s="116"/>
      <c r="D1028" s="116"/>
      <c r="E1028" s="116"/>
      <c r="F1028" s="116"/>
      <c r="G1028" s="136"/>
      <c r="H1028" s="116"/>
      <c r="I1028" s="116"/>
      <c r="J1028" s="116"/>
      <c r="K1028" s="116"/>
      <c r="L1028" s="116"/>
      <c r="M1028" s="116"/>
      <c r="N1028" s="116"/>
      <c r="O1028" s="116"/>
    </row>
    <row r="1029" spans="1:15" x14ac:dyDescent="0.35">
      <c r="A1029" s="116"/>
      <c r="B1029" s="116"/>
      <c r="C1029" s="116"/>
      <c r="D1029" s="116"/>
      <c r="E1029" s="116"/>
      <c r="F1029" s="116"/>
      <c r="G1029" s="136"/>
      <c r="H1029" s="116"/>
      <c r="I1029" s="116"/>
      <c r="J1029" s="116"/>
      <c r="K1029" s="116"/>
      <c r="L1029" s="116"/>
      <c r="M1029" s="116"/>
      <c r="N1029" s="116"/>
      <c r="O1029" s="116"/>
    </row>
    <row r="1030" spans="1:15" x14ac:dyDescent="0.35">
      <c r="A1030" s="116"/>
      <c r="B1030" s="116"/>
      <c r="C1030" s="116"/>
      <c r="D1030" s="116"/>
      <c r="E1030" s="116"/>
      <c r="F1030" s="116"/>
      <c r="G1030" s="136"/>
      <c r="H1030" s="116"/>
      <c r="I1030" s="116"/>
      <c r="J1030" s="116"/>
      <c r="K1030" s="116"/>
      <c r="L1030" s="116"/>
      <c r="M1030" s="116"/>
      <c r="N1030" s="116"/>
      <c r="O1030" s="116"/>
    </row>
    <row r="1031" spans="1:15" x14ac:dyDescent="0.35">
      <c r="A1031" s="116"/>
      <c r="B1031" s="116"/>
      <c r="C1031" s="116"/>
      <c r="D1031" s="116"/>
      <c r="E1031" s="116"/>
      <c r="F1031" s="116"/>
      <c r="G1031" s="136"/>
      <c r="H1031" s="116"/>
      <c r="I1031" s="116"/>
      <c r="J1031" s="116"/>
      <c r="K1031" s="116"/>
      <c r="L1031" s="116"/>
      <c r="M1031" s="116"/>
      <c r="N1031" s="116"/>
      <c r="O1031" s="116"/>
    </row>
    <row r="1032" spans="1:15" x14ac:dyDescent="0.35">
      <c r="A1032" s="116"/>
      <c r="B1032" s="116"/>
      <c r="C1032" s="116"/>
      <c r="D1032" s="116"/>
      <c r="E1032" s="116"/>
      <c r="F1032" s="116"/>
      <c r="G1032" s="136"/>
      <c r="H1032" s="116"/>
      <c r="I1032" s="116"/>
      <c r="J1032" s="116"/>
      <c r="K1032" s="116"/>
      <c r="L1032" s="116"/>
      <c r="M1032" s="116"/>
      <c r="N1032" s="116"/>
      <c r="O1032" s="116"/>
    </row>
    <row r="1033" spans="1:15" x14ac:dyDescent="0.35">
      <c r="A1033" s="116"/>
      <c r="B1033" s="116"/>
      <c r="C1033" s="116"/>
      <c r="D1033" s="116"/>
      <c r="E1033" s="116"/>
      <c r="F1033" s="116"/>
      <c r="G1033" s="136"/>
      <c r="H1033" s="116"/>
      <c r="I1033" s="116"/>
      <c r="J1033" s="116"/>
      <c r="K1033" s="116"/>
      <c r="L1033" s="116"/>
      <c r="M1033" s="116"/>
      <c r="N1033" s="116"/>
      <c r="O1033" s="116"/>
    </row>
    <row r="1034" spans="1:15" x14ac:dyDescent="0.35">
      <c r="A1034" s="116"/>
      <c r="B1034" s="116"/>
      <c r="C1034" s="116"/>
      <c r="D1034" s="116"/>
      <c r="E1034" s="116"/>
      <c r="F1034" s="116"/>
      <c r="G1034" s="136"/>
      <c r="H1034" s="116"/>
      <c r="I1034" s="116"/>
      <c r="J1034" s="116"/>
      <c r="K1034" s="116"/>
      <c r="L1034" s="116"/>
      <c r="M1034" s="116"/>
      <c r="N1034" s="116"/>
      <c r="O1034" s="116"/>
    </row>
    <row r="1035" spans="1:15" x14ac:dyDescent="0.35">
      <c r="A1035" s="116"/>
      <c r="B1035" s="116"/>
      <c r="C1035" s="116"/>
      <c r="D1035" s="116"/>
      <c r="E1035" s="116"/>
      <c r="F1035" s="116"/>
      <c r="G1035" s="136"/>
      <c r="H1035" s="116"/>
      <c r="I1035" s="116"/>
      <c r="J1035" s="116"/>
      <c r="K1035" s="116"/>
      <c r="L1035" s="116"/>
      <c r="M1035" s="116"/>
      <c r="N1035" s="116"/>
      <c r="O1035" s="116"/>
    </row>
    <row r="1036" spans="1:15" x14ac:dyDescent="0.35">
      <c r="A1036" s="116"/>
      <c r="B1036" s="116"/>
      <c r="C1036" s="116"/>
      <c r="D1036" s="116"/>
      <c r="E1036" s="116"/>
      <c r="F1036" s="116"/>
      <c r="G1036" s="136"/>
      <c r="H1036" s="116"/>
      <c r="I1036" s="116"/>
      <c r="J1036" s="116"/>
      <c r="K1036" s="116"/>
      <c r="L1036" s="116"/>
      <c r="M1036" s="116"/>
      <c r="N1036" s="31"/>
      <c r="O1036" s="31"/>
    </row>
    <row r="1037" spans="1:15" x14ac:dyDescent="0.35">
      <c r="A1037" s="116"/>
      <c r="B1037" s="116"/>
      <c r="C1037" s="116"/>
      <c r="D1037" s="116"/>
      <c r="E1037" s="116"/>
      <c r="F1037" s="116"/>
      <c r="G1037" s="136"/>
      <c r="H1037" s="116"/>
      <c r="I1037" s="116"/>
      <c r="J1037" s="116"/>
      <c r="K1037" s="116"/>
      <c r="L1037" s="116"/>
      <c r="M1037" s="116"/>
    </row>
    <row r="1038" spans="1:15" x14ac:dyDescent="0.35">
      <c r="A1038" s="116"/>
      <c r="B1038" s="116"/>
      <c r="C1038" s="116"/>
      <c r="D1038" s="116"/>
      <c r="E1038" s="116"/>
      <c r="F1038" s="116"/>
      <c r="G1038" s="136"/>
      <c r="H1038" s="116"/>
      <c r="I1038" s="116"/>
      <c r="J1038" s="116"/>
      <c r="K1038" s="116"/>
      <c r="L1038" s="116"/>
      <c r="M1038" s="116"/>
    </row>
    <row r="1039" spans="1:15" x14ac:dyDescent="0.35">
      <c r="A1039" s="116"/>
      <c r="B1039" s="116"/>
      <c r="C1039" s="116"/>
      <c r="D1039" s="116"/>
      <c r="E1039" s="116"/>
      <c r="F1039" s="116"/>
      <c r="G1039" s="136"/>
      <c r="H1039" s="116"/>
      <c r="I1039" s="116"/>
      <c r="J1039" s="116"/>
      <c r="K1039" s="116"/>
      <c r="L1039" s="116"/>
      <c r="M1039" s="116"/>
    </row>
    <row r="1040" spans="1:15" x14ac:dyDescent="0.35">
      <c r="A1040" s="116"/>
      <c r="B1040" s="116"/>
      <c r="C1040" s="116"/>
      <c r="D1040" s="116"/>
      <c r="E1040" s="116"/>
      <c r="F1040" s="116"/>
      <c r="G1040" s="136"/>
      <c r="H1040" s="116"/>
      <c r="I1040" s="116"/>
      <c r="J1040" s="116"/>
      <c r="K1040" s="116"/>
      <c r="L1040" s="116"/>
      <c r="M1040" s="116"/>
    </row>
    <row r="1041" spans="1:15" x14ac:dyDescent="0.35">
      <c r="A1041" s="116"/>
      <c r="B1041" s="116"/>
      <c r="C1041" s="116"/>
      <c r="D1041" s="116"/>
      <c r="E1041" s="116"/>
      <c r="F1041" s="116"/>
      <c r="G1041" s="136"/>
      <c r="H1041" s="116"/>
      <c r="I1041" s="116"/>
      <c r="J1041" s="116"/>
      <c r="K1041" s="116"/>
      <c r="L1041" s="116"/>
      <c r="M1041" s="116"/>
    </row>
    <row r="1042" spans="1:15" x14ac:dyDescent="0.35">
      <c r="A1042" s="116"/>
      <c r="B1042" s="116"/>
      <c r="C1042" s="116"/>
      <c r="D1042" s="116"/>
      <c r="E1042" s="116"/>
      <c r="F1042" s="116"/>
      <c r="G1042" s="136"/>
      <c r="H1042" s="116"/>
      <c r="I1042" s="116"/>
      <c r="J1042" s="116"/>
      <c r="K1042" s="116"/>
      <c r="L1042" s="116"/>
      <c r="M1042" s="116"/>
      <c r="N1042" s="116"/>
      <c r="O1042" s="116"/>
    </row>
    <row r="1043" spans="1:15" x14ac:dyDescent="0.35">
      <c r="A1043" s="116"/>
      <c r="B1043" s="116"/>
      <c r="C1043" s="116"/>
      <c r="D1043" s="116"/>
      <c r="E1043" s="116"/>
      <c r="F1043" s="116"/>
      <c r="G1043" s="136"/>
      <c r="H1043" s="116"/>
      <c r="I1043" s="116"/>
      <c r="J1043" s="116"/>
      <c r="K1043" s="116"/>
      <c r="L1043" s="116"/>
      <c r="M1043" s="116"/>
    </row>
    <row r="1044" spans="1:15" x14ac:dyDescent="0.35">
      <c r="A1044" s="116"/>
      <c r="B1044" s="116"/>
      <c r="C1044" s="116"/>
      <c r="D1044" s="116"/>
      <c r="E1044" s="116"/>
      <c r="F1044" s="116"/>
      <c r="G1044" s="136"/>
      <c r="H1044" s="116"/>
      <c r="I1044" s="116"/>
      <c r="J1044" s="116"/>
      <c r="K1044" s="116"/>
      <c r="L1044" s="116"/>
      <c r="M1044" s="116"/>
      <c r="N1044" s="31"/>
      <c r="O1044" s="31"/>
    </row>
    <row r="1045" spans="1:15" x14ac:dyDescent="0.35">
      <c r="A1045" s="116"/>
      <c r="B1045" s="116"/>
      <c r="C1045" s="116"/>
      <c r="D1045" s="116"/>
      <c r="E1045" s="116"/>
      <c r="F1045" s="116"/>
      <c r="G1045" s="136"/>
      <c r="H1045" s="116"/>
      <c r="I1045" s="116"/>
      <c r="J1045" s="116"/>
      <c r="K1045" s="116"/>
      <c r="L1045" s="116"/>
      <c r="M1045" s="116"/>
      <c r="N1045" s="116"/>
      <c r="O1045" s="116"/>
    </row>
    <row r="1046" spans="1:15" x14ac:dyDescent="0.35">
      <c r="A1046" s="116"/>
      <c r="B1046" s="116"/>
      <c r="C1046" s="116"/>
      <c r="D1046" s="116"/>
      <c r="E1046" s="116"/>
      <c r="F1046" s="116"/>
      <c r="G1046" s="136"/>
      <c r="H1046" s="116"/>
      <c r="I1046" s="116"/>
      <c r="J1046" s="116"/>
      <c r="K1046" s="116"/>
      <c r="L1046" s="116"/>
      <c r="M1046" s="116"/>
      <c r="N1046" s="116"/>
      <c r="O1046" s="116"/>
    </row>
    <row r="1047" spans="1:15" x14ac:dyDescent="0.35">
      <c r="A1047" s="116"/>
      <c r="B1047" s="116"/>
      <c r="C1047" s="116"/>
      <c r="D1047" s="116"/>
      <c r="E1047" s="116"/>
      <c r="F1047" s="116"/>
      <c r="G1047" s="136"/>
      <c r="H1047" s="116"/>
      <c r="I1047" s="116"/>
      <c r="J1047" s="116"/>
      <c r="K1047" s="116"/>
      <c r="L1047" s="116"/>
      <c r="M1047" s="116"/>
      <c r="N1047" s="116"/>
      <c r="O1047" s="116"/>
    </row>
    <row r="1048" spans="1:15" x14ac:dyDescent="0.35">
      <c r="A1048" s="116"/>
      <c r="B1048" s="116"/>
      <c r="C1048" s="116"/>
      <c r="D1048" s="116"/>
      <c r="E1048" s="116"/>
      <c r="F1048" s="116"/>
      <c r="G1048" s="136"/>
      <c r="H1048" s="116"/>
      <c r="I1048" s="116"/>
      <c r="J1048" s="116"/>
      <c r="K1048" s="116"/>
      <c r="L1048" s="116"/>
      <c r="M1048" s="116"/>
      <c r="N1048" s="116"/>
      <c r="O1048" s="116"/>
    </row>
    <row r="1049" spans="1:15" x14ac:dyDescent="0.35">
      <c r="A1049" s="116"/>
      <c r="B1049" s="116"/>
      <c r="C1049" s="116"/>
      <c r="D1049" s="116"/>
      <c r="E1049" s="116"/>
      <c r="F1049" s="116"/>
      <c r="G1049" s="136"/>
      <c r="H1049" s="116"/>
      <c r="I1049" s="116"/>
      <c r="J1049" s="116"/>
      <c r="K1049" s="116"/>
      <c r="L1049" s="116"/>
      <c r="M1049" s="116"/>
    </row>
    <row r="1050" spans="1:15" x14ac:dyDescent="0.35">
      <c r="A1050" s="116"/>
      <c r="B1050" s="116"/>
      <c r="C1050" s="116"/>
      <c r="D1050" s="116"/>
      <c r="E1050" s="116"/>
      <c r="F1050" s="116"/>
      <c r="G1050" s="136"/>
      <c r="H1050" s="116"/>
      <c r="I1050" s="116"/>
      <c r="J1050" s="116"/>
      <c r="K1050" s="116"/>
      <c r="L1050" s="116"/>
      <c r="M1050" s="116"/>
      <c r="N1050" s="116"/>
      <c r="O1050" s="116"/>
    </row>
    <row r="1051" spans="1:15" x14ac:dyDescent="0.35">
      <c r="A1051" s="116"/>
      <c r="B1051" s="116"/>
      <c r="C1051" s="116"/>
      <c r="D1051" s="116"/>
      <c r="E1051" s="116"/>
      <c r="F1051" s="116"/>
      <c r="G1051" s="136"/>
      <c r="H1051" s="116"/>
      <c r="I1051" s="116"/>
      <c r="J1051" s="116"/>
      <c r="K1051" s="116"/>
      <c r="L1051" s="116"/>
      <c r="M1051" s="116"/>
      <c r="N1051" s="116"/>
      <c r="O1051" s="116"/>
    </row>
    <row r="1052" spans="1:15" x14ac:dyDescent="0.35">
      <c r="A1052" s="116"/>
      <c r="B1052" s="116"/>
      <c r="C1052" s="116"/>
      <c r="D1052" s="116"/>
      <c r="E1052" s="116"/>
      <c r="F1052" s="116"/>
      <c r="G1052" s="136"/>
      <c r="H1052" s="116"/>
      <c r="I1052" s="116"/>
      <c r="J1052" s="116"/>
      <c r="K1052" s="116"/>
      <c r="L1052" s="116"/>
      <c r="M1052" s="116"/>
      <c r="N1052" s="116"/>
      <c r="O1052" s="116"/>
    </row>
    <row r="1053" spans="1:15" x14ac:dyDescent="0.35">
      <c r="A1053" s="116"/>
      <c r="B1053" s="116"/>
      <c r="C1053" s="116"/>
      <c r="D1053" s="116"/>
      <c r="E1053" s="116"/>
      <c r="F1053" s="116"/>
      <c r="G1053" s="136"/>
      <c r="H1053" s="116"/>
      <c r="I1053" s="116"/>
      <c r="J1053" s="116"/>
      <c r="K1053" s="116"/>
      <c r="L1053" s="116"/>
      <c r="M1053" s="116"/>
      <c r="N1053" s="116"/>
      <c r="O1053" s="116"/>
    </row>
    <row r="1054" spans="1:15" x14ac:dyDescent="0.35">
      <c r="A1054" s="116"/>
      <c r="B1054" s="116"/>
      <c r="C1054" s="116"/>
      <c r="D1054" s="116"/>
      <c r="E1054" s="116"/>
      <c r="F1054" s="116"/>
      <c r="G1054" s="136"/>
      <c r="H1054" s="116"/>
      <c r="I1054" s="116"/>
      <c r="J1054" s="116"/>
      <c r="K1054" s="116"/>
      <c r="L1054" s="116"/>
      <c r="M1054" s="116"/>
      <c r="N1054" s="116"/>
      <c r="O1054" s="116"/>
    </row>
    <row r="1055" spans="1:15" x14ac:dyDescent="0.35">
      <c r="A1055" s="116"/>
      <c r="B1055" s="116"/>
      <c r="C1055" s="116"/>
      <c r="D1055" s="116"/>
      <c r="E1055" s="116"/>
      <c r="F1055" s="116"/>
      <c r="G1055" s="136"/>
      <c r="H1055" s="116"/>
      <c r="I1055" s="116"/>
      <c r="J1055" s="116"/>
      <c r="K1055" s="116"/>
      <c r="L1055" s="116"/>
      <c r="M1055" s="116"/>
      <c r="N1055" s="116"/>
      <c r="O1055" s="116"/>
    </row>
    <row r="1056" spans="1:15" x14ac:dyDescent="0.35">
      <c r="A1056" s="116"/>
      <c r="B1056" s="116"/>
      <c r="C1056" s="116"/>
      <c r="D1056" s="116"/>
      <c r="E1056" s="116"/>
      <c r="F1056" s="116"/>
      <c r="G1056" s="136"/>
      <c r="H1056" s="116"/>
      <c r="I1056" s="116"/>
      <c r="J1056" s="116"/>
      <c r="K1056" s="116"/>
      <c r="L1056" s="116"/>
      <c r="M1056" s="116"/>
      <c r="N1056" s="116"/>
      <c r="O1056" s="116"/>
    </row>
    <row r="1057" spans="1:15" x14ac:dyDescent="0.35">
      <c r="A1057" s="116"/>
      <c r="B1057" s="116"/>
      <c r="C1057" s="116"/>
      <c r="D1057" s="116"/>
      <c r="E1057" s="116"/>
      <c r="F1057" s="116"/>
      <c r="G1057" s="136"/>
      <c r="H1057" s="116"/>
      <c r="I1057" s="116"/>
      <c r="J1057" s="116"/>
      <c r="K1057" s="116"/>
      <c r="L1057" s="116"/>
      <c r="M1057" s="116"/>
      <c r="N1057" s="116"/>
      <c r="O1057" s="116"/>
    </row>
    <row r="1058" spans="1:15" x14ac:dyDescent="0.35">
      <c r="A1058" s="116"/>
      <c r="B1058" s="116"/>
      <c r="C1058" s="116"/>
      <c r="D1058" s="116"/>
      <c r="E1058" s="116"/>
      <c r="F1058" s="116"/>
      <c r="G1058" s="136"/>
      <c r="H1058" s="116"/>
      <c r="I1058" s="116"/>
      <c r="J1058" s="116"/>
      <c r="K1058" s="116"/>
      <c r="L1058" s="116"/>
      <c r="M1058" s="116"/>
      <c r="N1058" s="116"/>
      <c r="O1058" s="116"/>
    </row>
    <row r="1059" spans="1:15" x14ac:dyDescent="0.35">
      <c r="A1059" s="116"/>
      <c r="B1059" s="116"/>
      <c r="C1059" s="116"/>
      <c r="D1059" s="116"/>
      <c r="E1059" s="116"/>
      <c r="F1059" s="116"/>
      <c r="G1059" s="136"/>
      <c r="H1059" s="116"/>
      <c r="I1059" s="116"/>
      <c r="J1059" s="116"/>
      <c r="K1059" s="116"/>
      <c r="L1059" s="116"/>
      <c r="M1059" s="116"/>
      <c r="N1059" s="116"/>
      <c r="O1059" s="116"/>
    </row>
    <row r="1060" spans="1:15" x14ac:dyDescent="0.35">
      <c r="A1060" s="116"/>
      <c r="B1060" s="116"/>
      <c r="C1060" s="116"/>
      <c r="D1060" s="116"/>
      <c r="E1060" s="116"/>
      <c r="F1060" s="116"/>
      <c r="G1060" s="136"/>
      <c r="H1060" s="116"/>
      <c r="I1060" s="116"/>
      <c r="J1060" s="116"/>
      <c r="K1060" s="116"/>
      <c r="L1060" s="116"/>
      <c r="M1060" s="116"/>
      <c r="N1060" s="116"/>
      <c r="O1060" s="116"/>
    </row>
    <row r="1061" spans="1:15" x14ac:dyDescent="0.35">
      <c r="A1061" s="116"/>
      <c r="B1061" s="116"/>
      <c r="C1061" s="116"/>
      <c r="D1061" s="116"/>
      <c r="E1061" s="116"/>
      <c r="F1061" s="116"/>
      <c r="G1061" s="136"/>
      <c r="H1061" s="116"/>
      <c r="I1061" s="116"/>
      <c r="J1061" s="116"/>
      <c r="K1061" s="116"/>
      <c r="L1061" s="116"/>
      <c r="M1061" s="116"/>
      <c r="N1061" s="116"/>
      <c r="O1061" s="116"/>
    </row>
    <row r="1062" spans="1:15" x14ac:dyDescent="0.35">
      <c r="A1062" s="116"/>
      <c r="B1062" s="116"/>
      <c r="C1062" s="116"/>
      <c r="D1062" s="116"/>
      <c r="E1062" s="116"/>
      <c r="F1062" s="116"/>
      <c r="G1062" s="136"/>
      <c r="H1062" s="116"/>
      <c r="I1062" s="116"/>
      <c r="J1062" s="116"/>
      <c r="K1062" s="116"/>
      <c r="L1062" s="116"/>
      <c r="M1062" s="116"/>
      <c r="N1062" s="116"/>
      <c r="O1062" s="116"/>
    </row>
    <row r="1063" spans="1:15" x14ac:dyDescent="0.35">
      <c r="A1063" s="116"/>
      <c r="B1063" s="116"/>
      <c r="C1063" s="116"/>
      <c r="D1063" s="116"/>
      <c r="E1063" s="116"/>
      <c r="F1063" s="116"/>
      <c r="G1063" s="136"/>
      <c r="H1063" s="116"/>
      <c r="I1063" s="116"/>
      <c r="J1063" s="116"/>
      <c r="K1063" s="116"/>
      <c r="L1063" s="116"/>
      <c r="M1063" s="116"/>
      <c r="N1063" s="116"/>
      <c r="O1063" s="116"/>
    </row>
    <row r="1064" spans="1:15" x14ac:dyDescent="0.35">
      <c r="A1064" s="116"/>
      <c r="B1064" s="116"/>
      <c r="C1064" s="116"/>
      <c r="D1064" s="116"/>
      <c r="E1064" s="116"/>
      <c r="F1064" s="116"/>
      <c r="G1064" s="136"/>
      <c r="H1064" s="116"/>
      <c r="I1064" s="116"/>
      <c r="J1064" s="116"/>
      <c r="K1064" s="116"/>
      <c r="L1064" s="116"/>
      <c r="M1064" s="116"/>
      <c r="N1064" s="116"/>
      <c r="O1064" s="116"/>
    </row>
    <row r="1065" spans="1:15" x14ac:dyDescent="0.35">
      <c r="A1065" s="116"/>
      <c r="B1065" s="116"/>
      <c r="C1065" s="116"/>
      <c r="D1065" s="116"/>
      <c r="E1065" s="116"/>
      <c r="F1065" s="116"/>
      <c r="G1065" s="136"/>
      <c r="H1065" s="116"/>
      <c r="I1065" s="116"/>
      <c r="J1065" s="116"/>
      <c r="K1065" s="116"/>
      <c r="L1065" s="116"/>
      <c r="M1065" s="116"/>
      <c r="N1065" s="116"/>
      <c r="O1065" s="116"/>
    </row>
    <row r="1066" spans="1:15" x14ac:dyDescent="0.35">
      <c r="A1066" s="116"/>
      <c r="B1066" s="116"/>
      <c r="C1066" s="116"/>
      <c r="D1066" s="116"/>
      <c r="E1066" s="116"/>
      <c r="F1066" s="116"/>
      <c r="G1066" s="136"/>
      <c r="H1066" s="116"/>
      <c r="I1066" s="116"/>
      <c r="J1066" s="116"/>
      <c r="K1066" s="116"/>
      <c r="L1066" s="116"/>
      <c r="M1066" s="116"/>
    </row>
    <row r="1067" spans="1:15" x14ac:dyDescent="0.35">
      <c r="A1067" s="116"/>
      <c r="B1067" s="116"/>
      <c r="C1067" s="116"/>
      <c r="D1067" s="116"/>
      <c r="E1067" s="116"/>
      <c r="F1067" s="116"/>
      <c r="G1067" s="136"/>
      <c r="H1067" s="116"/>
      <c r="I1067" s="116"/>
      <c r="J1067" s="116"/>
      <c r="K1067" s="116"/>
      <c r="L1067" s="116"/>
      <c r="M1067" s="116"/>
    </row>
    <row r="1068" spans="1:15" x14ac:dyDescent="0.35">
      <c r="A1068" s="116"/>
      <c r="B1068" s="116"/>
      <c r="C1068" s="116"/>
      <c r="D1068" s="116"/>
      <c r="E1068" s="116"/>
      <c r="F1068" s="116"/>
      <c r="G1068" s="136"/>
      <c r="H1068" s="116"/>
      <c r="I1068" s="116"/>
      <c r="J1068" s="116"/>
      <c r="K1068" s="116"/>
      <c r="L1068" s="116"/>
      <c r="M1068" s="116"/>
      <c r="N1068" s="116"/>
      <c r="O1068" s="116"/>
    </row>
    <row r="1069" spans="1:15" x14ac:dyDescent="0.35">
      <c r="A1069" s="116"/>
      <c r="B1069" s="116"/>
      <c r="C1069" s="116"/>
      <c r="D1069" s="116"/>
      <c r="E1069" s="116"/>
      <c r="F1069" s="116"/>
      <c r="G1069" s="136"/>
      <c r="H1069" s="116"/>
      <c r="I1069" s="116"/>
      <c r="J1069" s="116"/>
      <c r="K1069" s="116"/>
      <c r="L1069" s="116"/>
      <c r="M1069" s="116"/>
      <c r="N1069" s="116"/>
      <c r="O1069" s="116"/>
    </row>
    <row r="1070" spans="1:15" x14ac:dyDescent="0.35">
      <c r="A1070" s="116"/>
      <c r="B1070" s="116"/>
      <c r="C1070" s="116"/>
      <c r="D1070" s="116"/>
      <c r="E1070" s="116"/>
      <c r="F1070" s="116"/>
      <c r="G1070" s="136"/>
      <c r="H1070" s="116"/>
      <c r="I1070" s="116"/>
      <c r="J1070" s="116"/>
      <c r="K1070" s="116"/>
      <c r="L1070" s="116"/>
      <c r="M1070" s="116"/>
      <c r="N1070" s="116"/>
      <c r="O1070" s="116"/>
    </row>
    <row r="1071" spans="1:15" x14ac:dyDescent="0.35">
      <c r="A1071" s="116"/>
      <c r="B1071" s="116"/>
      <c r="C1071" s="116"/>
      <c r="D1071" s="116"/>
      <c r="E1071" s="116"/>
      <c r="F1071" s="116"/>
      <c r="G1071" s="136"/>
      <c r="H1071" s="116"/>
      <c r="I1071" s="116"/>
      <c r="J1071" s="116"/>
      <c r="K1071" s="116"/>
      <c r="L1071" s="116"/>
      <c r="M1071" s="116"/>
      <c r="N1071" s="116"/>
      <c r="O1071" s="116"/>
    </row>
    <row r="1072" spans="1:15" x14ac:dyDescent="0.35">
      <c r="A1072" s="116"/>
      <c r="B1072" s="116"/>
      <c r="C1072" s="116"/>
      <c r="D1072" s="116"/>
      <c r="E1072" s="116"/>
      <c r="F1072" s="116"/>
      <c r="G1072" s="136"/>
      <c r="H1072" s="116"/>
      <c r="I1072" s="116"/>
      <c r="J1072" s="116"/>
      <c r="K1072" s="116"/>
      <c r="L1072" s="116"/>
      <c r="M1072" s="116"/>
      <c r="N1072" s="116"/>
      <c r="O1072" s="116"/>
    </row>
    <row r="1073" spans="1:15" x14ac:dyDescent="0.35">
      <c r="A1073" s="116"/>
      <c r="B1073" s="116"/>
      <c r="C1073" s="116"/>
      <c r="D1073" s="116"/>
      <c r="E1073" s="116"/>
      <c r="F1073" s="116"/>
      <c r="G1073" s="136"/>
      <c r="H1073" s="116"/>
      <c r="I1073" s="116"/>
      <c r="J1073" s="116"/>
      <c r="K1073" s="116"/>
      <c r="L1073" s="116"/>
      <c r="M1073" s="116"/>
      <c r="N1073" s="116"/>
      <c r="O1073" s="116"/>
    </row>
    <row r="1074" spans="1:15" x14ac:dyDescent="0.35">
      <c r="A1074" s="116"/>
      <c r="B1074" s="116"/>
      <c r="C1074" s="116"/>
      <c r="D1074" s="116"/>
      <c r="E1074" s="116"/>
      <c r="F1074" s="116"/>
      <c r="G1074" s="136"/>
      <c r="H1074" s="116"/>
      <c r="I1074" s="116"/>
      <c r="J1074" s="116"/>
      <c r="K1074" s="116"/>
      <c r="L1074" s="116"/>
      <c r="M1074" s="116"/>
      <c r="N1074" s="116"/>
      <c r="O1074" s="116"/>
    </row>
    <row r="1075" spans="1:15" x14ac:dyDescent="0.35">
      <c r="A1075" s="116"/>
      <c r="B1075" s="116"/>
      <c r="C1075" s="116"/>
      <c r="D1075" s="116"/>
      <c r="E1075" s="116"/>
      <c r="F1075" s="116"/>
      <c r="G1075" s="136"/>
      <c r="H1075" s="116"/>
      <c r="I1075" s="116"/>
      <c r="J1075" s="116"/>
      <c r="K1075" s="116"/>
      <c r="L1075" s="116"/>
      <c r="M1075" s="116"/>
      <c r="N1075" s="116"/>
      <c r="O1075" s="116"/>
    </row>
    <row r="1076" spans="1:15" x14ac:dyDescent="0.35">
      <c r="A1076" s="116"/>
      <c r="B1076" s="116"/>
      <c r="C1076" s="116"/>
      <c r="D1076" s="116"/>
      <c r="E1076" s="116"/>
      <c r="F1076" s="116"/>
      <c r="G1076" s="136"/>
      <c r="H1076" s="116"/>
      <c r="I1076" s="116"/>
      <c r="J1076" s="116"/>
      <c r="K1076" s="116"/>
      <c r="L1076" s="116"/>
      <c r="M1076" s="116"/>
      <c r="N1076" s="116"/>
      <c r="O1076" s="116"/>
    </row>
    <row r="1077" spans="1:15" x14ac:dyDescent="0.35">
      <c r="A1077" s="116"/>
      <c r="B1077" s="116"/>
      <c r="C1077" s="116"/>
      <c r="D1077" s="116"/>
      <c r="E1077" s="116"/>
      <c r="F1077" s="116"/>
      <c r="G1077" s="136"/>
      <c r="H1077" s="116"/>
      <c r="I1077" s="116"/>
      <c r="J1077" s="116"/>
      <c r="K1077" s="116"/>
      <c r="L1077" s="116"/>
      <c r="M1077" s="116"/>
      <c r="N1077" s="116"/>
      <c r="O1077" s="116"/>
    </row>
    <row r="1078" spans="1:15" x14ac:dyDescent="0.35">
      <c r="A1078" s="116"/>
      <c r="B1078" s="116"/>
      <c r="C1078" s="116"/>
      <c r="D1078" s="116"/>
      <c r="E1078" s="116"/>
      <c r="F1078" s="116"/>
      <c r="G1078" s="136"/>
      <c r="H1078" s="116"/>
      <c r="I1078" s="116"/>
      <c r="J1078" s="116"/>
      <c r="K1078" s="116"/>
      <c r="L1078" s="116"/>
      <c r="M1078" s="116"/>
      <c r="N1078" s="116"/>
      <c r="O1078" s="116"/>
    </row>
    <row r="1079" spans="1:15" x14ac:dyDescent="0.35">
      <c r="A1079" s="116"/>
      <c r="B1079" s="116"/>
      <c r="C1079" s="116"/>
      <c r="D1079" s="116"/>
      <c r="E1079" s="116"/>
      <c r="F1079" s="116"/>
      <c r="G1079" s="136"/>
      <c r="H1079" s="116"/>
      <c r="I1079" s="116"/>
      <c r="J1079" s="116"/>
      <c r="K1079" s="116"/>
      <c r="L1079" s="116"/>
      <c r="M1079" s="116"/>
      <c r="N1079" s="116"/>
      <c r="O1079" s="116"/>
    </row>
    <row r="1080" spans="1:15" x14ac:dyDescent="0.35">
      <c r="A1080" s="116"/>
      <c r="B1080" s="116"/>
      <c r="C1080" s="116"/>
      <c r="D1080" s="116"/>
      <c r="E1080" s="116"/>
      <c r="F1080" s="116"/>
      <c r="G1080" s="136"/>
      <c r="H1080" s="116"/>
      <c r="I1080" s="116"/>
      <c r="J1080" s="116"/>
      <c r="K1080" s="116"/>
      <c r="L1080" s="116"/>
      <c r="M1080" s="116"/>
      <c r="N1080" s="116"/>
      <c r="O1080" s="116"/>
    </row>
    <row r="1081" spans="1:15" x14ac:dyDescent="0.35">
      <c r="A1081" s="116"/>
      <c r="B1081" s="116"/>
      <c r="C1081" s="116"/>
      <c r="D1081" s="116"/>
      <c r="E1081" s="116"/>
      <c r="F1081" s="116"/>
      <c r="G1081" s="136"/>
      <c r="H1081" s="116"/>
      <c r="I1081" s="116"/>
      <c r="J1081" s="116"/>
      <c r="K1081" s="116"/>
      <c r="L1081" s="116"/>
      <c r="M1081" s="116"/>
      <c r="N1081" s="116"/>
      <c r="O1081" s="116"/>
    </row>
    <row r="1082" spans="1:15" x14ac:dyDescent="0.35">
      <c r="A1082" s="116"/>
      <c r="B1082" s="116"/>
      <c r="C1082" s="116"/>
      <c r="D1082" s="116"/>
      <c r="E1082" s="116"/>
      <c r="F1082" s="116"/>
      <c r="G1082" s="136"/>
      <c r="H1082" s="116"/>
      <c r="I1082" s="116"/>
      <c r="J1082" s="116"/>
      <c r="K1082" s="116"/>
      <c r="L1082" s="116"/>
      <c r="M1082" s="116"/>
      <c r="N1082" s="116"/>
      <c r="O1082" s="116"/>
    </row>
    <row r="1083" spans="1:15" x14ac:dyDescent="0.35">
      <c r="A1083" s="116"/>
      <c r="B1083" s="116"/>
      <c r="C1083" s="116"/>
      <c r="D1083" s="116"/>
      <c r="E1083" s="116"/>
      <c r="F1083" s="116"/>
      <c r="G1083" s="136"/>
      <c r="H1083" s="116"/>
      <c r="I1083" s="116"/>
      <c r="J1083" s="116"/>
      <c r="K1083" s="116"/>
      <c r="L1083" s="116"/>
      <c r="M1083" s="116"/>
      <c r="N1083" s="116"/>
      <c r="O1083" s="116"/>
    </row>
    <row r="1084" spans="1:15" x14ac:dyDescent="0.35">
      <c r="A1084" s="116"/>
      <c r="B1084" s="116"/>
      <c r="C1084" s="116"/>
      <c r="D1084" s="116"/>
      <c r="E1084" s="116"/>
      <c r="F1084" s="116"/>
      <c r="G1084" s="136"/>
      <c r="H1084" s="116"/>
      <c r="I1084" s="116"/>
      <c r="J1084" s="116"/>
      <c r="K1084" s="116"/>
      <c r="L1084" s="116"/>
      <c r="M1084" s="116"/>
      <c r="N1084" s="116"/>
      <c r="O1084" s="116"/>
    </row>
    <row r="1085" spans="1:15" x14ac:dyDescent="0.35">
      <c r="A1085" s="116"/>
      <c r="B1085" s="116"/>
      <c r="C1085" s="116"/>
      <c r="D1085" s="116"/>
      <c r="E1085" s="116"/>
      <c r="F1085" s="116"/>
      <c r="G1085" s="136"/>
      <c r="H1085" s="116"/>
      <c r="I1085" s="116"/>
      <c r="J1085" s="116"/>
      <c r="K1085" s="116"/>
      <c r="L1085" s="116"/>
      <c r="M1085" s="116"/>
      <c r="N1085" s="116"/>
      <c r="O1085" s="116"/>
    </row>
    <row r="1086" spans="1:15" x14ac:dyDescent="0.35">
      <c r="A1086" s="116"/>
      <c r="B1086" s="116"/>
      <c r="C1086" s="116"/>
      <c r="D1086" s="116"/>
      <c r="E1086" s="116"/>
      <c r="F1086" s="116"/>
      <c r="G1086" s="136"/>
      <c r="H1086" s="116"/>
      <c r="I1086" s="116"/>
      <c r="J1086" s="116"/>
      <c r="K1086" s="116"/>
      <c r="L1086" s="116"/>
      <c r="M1086" s="116"/>
      <c r="N1086" s="116"/>
      <c r="O1086" s="116"/>
    </row>
    <row r="1087" spans="1:15" x14ac:dyDescent="0.35">
      <c r="A1087" s="116"/>
      <c r="B1087" s="116"/>
      <c r="C1087" s="116"/>
      <c r="D1087" s="116"/>
      <c r="E1087" s="116"/>
      <c r="F1087" s="116"/>
      <c r="G1087" s="136"/>
      <c r="H1087" s="116"/>
      <c r="I1087" s="116"/>
      <c r="J1087" s="116"/>
      <c r="K1087" s="116"/>
      <c r="L1087" s="116"/>
      <c r="M1087" s="116"/>
      <c r="N1087" s="116"/>
      <c r="O1087" s="116"/>
    </row>
    <row r="1088" spans="1:15" x14ac:dyDescent="0.35">
      <c r="A1088" s="116"/>
      <c r="B1088" s="116"/>
      <c r="C1088" s="116"/>
      <c r="D1088" s="116"/>
      <c r="E1088" s="116"/>
      <c r="F1088" s="116"/>
      <c r="G1088" s="136"/>
      <c r="H1088" s="116"/>
      <c r="I1088" s="116"/>
      <c r="J1088" s="116"/>
      <c r="K1088" s="116"/>
      <c r="L1088" s="116"/>
      <c r="M1088" s="116"/>
      <c r="N1088" s="116"/>
      <c r="O1088" s="116"/>
    </row>
    <row r="1089" spans="1:15" x14ac:dyDescent="0.35">
      <c r="A1089" s="116"/>
      <c r="B1089" s="116"/>
      <c r="C1089" s="116"/>
      <c r="D1089" s="116"/>
      <c r="E1089" s="116"/>
      <c r="F1089" s="116"/>
      <c r="G1089" s="136"/>
      <c r="H1089" s="116"/>
      <c r="I1089" s="116"/>
      <c r="J1089" s="116"/>
      <c r="K1089" s="116"/>
      <c r="L1089" s="116"/>
      <c r="M1089" s="116"/>
      <c r="N1089" s="116"/>
      <c r="O1089" s="116"/>
    </row>
    <row r="1090" spans="1:15" x14ac:dyDescent="0.35">
      <c r="A1090" s="116"/>
      <c r="B1090" s="116"/>
      <c r="C1090" s="116"/>
      <c r="D1090" s="116"/>
      <c r="E1090" s="116"/>
      <c r="F1090" s="116"/>
      <c r="G1090" s="136"/>
      <c r="H1090" s="116"/>
      <c r="I1090" s="116"/>
      <c r="J1090" s="116"/>
      <c r="K1090" s="116"/>
      <c r="L1090" s="116"/>
      <c r="M1090" s="116"/>
      <c r="N1090" s="116"/>
      <c r="O1090" s="116"/>
    </row>
    <row r="1091" spans="1:15" x14ac:dyDescent="0.35">
      <c r="A1091" s="116"/>
      <c r="B1091" s="116"/>
      <c r="C1091" s="116"/>
      <c r="D1091" s="116"/>
      <c r="E1091" s="116"/>
      <c r="F1091" s="116"/>
      <c r="G1091" s="136"/>
      <c r="H1091" s="116"/>
      <c r="I1091" s="116"/>
      <c r="J1091" s="116"/>
      <c r="K1091" s="116"/>
      <c r="L1091" s="116"/>
      <c r="M1091" s="116"/>
      <c r="N1091" s="116"/>
      <c r="O1091" s="116"/>
    </row>
    <row r="1092" spans="1:15" x14ac:dyDescent="0.35">
      <c r="A1092" s="116"/>
      <c r="B1092" s="116"/>
      <c r="C1092" s="116"/>
      <c r="D1092" s="116"/>
      <c r="E1092" s="116"/>
      <c r="F1092" s="116"/>
      <c r="G1092" s="136"/>
      <c r="H1092" s="116"/>
      <c r="I1092" s="116"/>
      <c r="J1092" s="116"/>
      <c r="K1092" s="116"/>
      <c r="L1092" s="116"/>
      <c r="M1092" s="116"/>
      <c r="N1092" s="116"/>
      <c r="O1092" s="116"/>
    </row>
    <row r="1093" spans="1:15" x14ac:dyDescent="0.35">
      <c r="A1093" s="116"/>
      <c r="B1093" s="116"/>
      <c r="C1093" s="116"/>
      <c r="D1093" s="116"/>
      <c r="E1093" s="116"/>
      <c r="F1093" s="116"/>
      <c r="G1093" s="136"/>
      <c r="H1093" s="116"/>
      <c r="I1093" s="116"/>
      <c r="J1093" s="116"/>
      <c r="K1093" s="116"/>
      <c r="L1093" s="116"/>
      <c r="M1093" s="116"/>
      <c r="N1093" s="116"/>
      <c r="O1093" s="116"/>
    </row>
    <row r="1094" spans="1:15" x14ac:dyDescent="0.35">
      <c r="A1094" s="116"/>
      <c r="B1094" s="116"/>
      <c r="C1094" s="116"/>
      <c r="D1094" s="116"/>
      <c r="E1094" s="116"/>
      <c r="F1094" s="116"/>
      <c r="G1094" s="136"/>
      <c r="H1094" s="116"/>
      <c r="I1094" s="116"/>
      <c r="J1094" s="116"/>
      <c r="K1094" s="116"/>
      <c r="L1094" s="116"/>
      <c r="M1094" s="116"/>
    </row>
    <row r="1095" spans="1:15" x14ac:dyDescent="0.35">
      <c r="A1095" s="116"/>
      <c r="B1095" s="116"/>
      <c r="C1095" s="116"/>
      <c r="D1095" s="116"/>
      <c r="E1095" s="116"/>
      <c r="F1095" s="116"/>
      <c r="G1095" s="136"/>
      <c r="H1095" s="116"/>
      <c r="I1095" s="116"/>
      <c r="J1095" s="116"/>
      <c r="K1095" s="116"/>
      <c r="L1095" s="116"/>
      <c r="M1095" s="116"/>
    </row>
    <row r="1096" spans="1:15" x14ac:dyDescent="0.35">
      <c r="A1096" s="116"/>
      <c r="B1096" s="116"/>
      <c r="C1096" s="116"/>
      <c r="D1096" s="116"/>
      <c r="E1096" s="116"/>
      <c r="F1096" s="116"/>
      <c r="G1096" s="136"/>
      <c r="H1096" s="116"/>
      <c r="I1096" s="116"/>
      <c r="J1096" s="116"/>
      <c r="K1096" s="116"/>
      <c r="L1096" s="116"/>
      <c r="M1096" s="116"/>
    </row>
    <row r="1097" spans="1:15" x14ac:dyDescent="0.35">
      <c r="A1097" s="116"/>
      <c r="B1097" s="116"/>
      <c r="C1097" s="116"/>
      <c r="D1097" s="116"/>
      <c r="E1097" s="116"/>
      <c r="F1097" s="116"/>
      <c r="G1097" s="136"/>
      <c r="H1097" s="116"/>
      <c r="I1097" s="116"/>
      <c r="J1097" s="116"/>
      <c r="K1097" s="116"/>
      <c r="L1097" s="116"/>
      <c r="M1097" s="116"/>
      <c r="N1097" s="116"/>
      <c r="O1097" s="116"/>
    </row>
    <row r="1098" spans="1:15" x14ac:dyDescent="0.35">
      <c r="A1098" s="116"/>
      <c r="B1098" s="116"/>
      <c r="C1098" s="116"/>
      <c r="D1098" s="116"/>
      <c r="E1098" s="116"/>
      <c r="F1098" s="116"/>
      <c r="G1098" s="136"/>
      <c r="H1098" s="116"/>
      <c r="I1098" s="116"/>
      <c r="J1098" s="116"/>
      <c r="K1098" s="116"/>
      <c r="L1098" s="116"/>
      <c r="M1098" s="116"/>
      <c r="N1098" s="116"/>
      <c r="O1098" s="116"/>
    </row>
    <row r="1099" spans="1:15" x14ac:dyDescent="0.35">
      <c r="A1099" s="116"/>
      <c r="B1099" s="116"/>
      <c r="C1099" s="116"/>
      <c r="D1099" s="116"/>
      <c r="E1099" s="116"/>
      <c r="F1099" s="116"/>
      <c r="G1099" s="136"/>
      <c r="H1099" s="116"/>
      <c r="I1099" s="116"/>
      <c r="J1099" s="116"/>
      <c r="K1099" s="116"/>
      <c r="L1099" s="116"/>
      <c r="M1099" s="116"/>
      <c r="N1099" s="116"/>
      <c r="O1099" s="116"/>
    </row>
    <row r="1100" spans="1:15" x14ac:dyDescent="0.35">
      <c r="A1100" s="116"/>
      <c r="B1100" s="116"/>
      <c r="C1100" s="116"/>
      <c r="D1100" s="116"/>
      <c r="E1100" s="116"/>
      <c r="F1100" s="116"/>
      <c r="G1100" s="136"/>
      <c r="H1100" s="116"/>
      <c r="I1100" s="116"/>
      <c r="J1100" s="116"/>
      <c r="K1100" s="116"/>
      <c r="L1100" s="116"/>
      <c r="M1100" s="116"/>
      <c r="N1100" s="116"/>
      <c r="O1100" s="116"/>
    </row>
    <row r="1101" spans="1:15" x14ac:dyDescent="0.35">
      <c r="A1101" s="116"/>
      <c r="B1101" s="116"/>
      <c r="C1101" s="116"/>
      <c r="D1101" s="116"/>
      <c r="E1101" s="116"/>
      <c r="F1101" s="116"/>
      <c r="G1101" s="136"/>
      <c r="H1101" s="116"/>
      <c r="I1101" s="116"/>
      <c r="J1101" s="116"/>
      <c r="K1101" s="116"/>
      <c r="L1101" s="116"/>
      <c r="M1101" s="116"/>
      <c r="N1101" s="31"/>
      <c r="O1101" s="31"/>
    </row>
    <row r="1102" spans="1:15" x14ac:dyDescent="0.35">
      <c r="A1102" s="116"/>
      <c r="B1102" s="116"/>
      <c r="C1102" s="116"/>
      <c r="D1102" s="116"/>
      <c r="E1102" s="116"/>
      <c r="F1102" s="116"/>
      <c r="G1102" s="136"/>
      <c r="H1102" s="116"/>
      <c r="I1102" s="116"/>
      <c r="J1102" s="116"/>
      <c r="K1102" s="116"/>
      <c r="L1102" s="116"/>
      <c r="M1102" s="116"/>
      <c r="N1102" s="31"/>
      <c r="O1102" s="31"/>
    </row>
    <row r="1103" spans="1:15" x14ac:dyDescent="0.35">
      <c r="A1103" s="116"/>
      <c r="B1103" s="116"/>
      <c r="C1103" s="116"/>
      <c r="D1103" s="116"/>
      <c r="E1103" s="116"/>
      <c r="F1103" s="116"/>
      <c r="G1103" s="136"/>
      <c r="H1103" s="116"/>
      <c r="I1103" s="116"/>
      <c r="J1103" s="116"/>
      <c r="K1103" s="116"/>
      <c r="L1103" s="116"/>
      <c r="M1103" s="116"/>
    </row>
    <row r="1104" spans="1:15" x14ac:dyDescent="0.35">
      <c r="A1104" s="116"/>
      <c r="B1104" s="116"/>
      <c r="C1104" s="116"/>
      <c r="D1104" s="116"/>
      <c r="E1104" s="116"/>
      <c r="F1104" s="116"/>
      <c r="G1104" s="136"/>
      <c r="H1104" s="116"/>
      <c r="I1104" s="116"/>
      <c r="J1104" s="116"/>
      <c r="K1104" s="116"/>
      <c r="L1104" s="116"/>
      <c r="M1104" s="116"/>
    </row>
    <row r="1105" spans="1:15" x14ac:dyDescent="0.35">
      <c r="A1105" s="116"/>
      <c r="B1105" s="116"/>
      <c r="C1105" s="116"/>
      <c r="D1105" s="116"/>
      <c r="E1105" s="116"/>
      <c r="F1105" s="116"/>
      <c r="G1105" s="136"/>
      <c r="H1105" s="116"/>
      <c r="I1105" s="116"/>
      <c r="J1105" s="116"/>
      <c r="K1105" s="116"/>
      <c r="L1105" s="116"/>
      <c r="M1105" s="116"/>
    </row>
    <row r="1106" spans="1:15" x14ac:dyDescent="0.35">
      <c r="A1106" s="116"/>
      <c r="B1106" s="116"/>
      <c r="C1106" s="116"/>
      <c r="D1106" s="116"/>
      <c r="E1106" s="116"/>
      <c r="F1106" s="116"/>
      <c r="G1106" s="136"/>
      <c r="H1106" s="116"/>
      <c r="I1106" s="116"/>
      <c r="J1106" s="116"/>
      <c r="K1106" s="116"/>
      <c r="L1106" s="116"/>
      <c r="M1106" s="116"/>
    </row>
    <row r="1107" spans="1:15" x14ac:dyDescent="0.35">
      <c r="A1107" s="116"/>
      <c r="B1107" s="116"/>
      <c r="C1107" s="116"/>
      <c r="D1107" s="116"/>
      <c r="E1107" s="116"/>
      <c r="F1107" s="116"/>
      <c r="G1107" s="136"/>
      <c r="H1107" s="116"/>
      <c r="I1107" s="116"/>
      <c r="J1107" s="116"/>
      <c r="K1107" s="116"/>
      <c r="L1107" s="116"/>
      <c r="M1107" s="116"/>
    </row>
    <row r="1108" spans="1:15" x14ac:dyDescent="0.35">
      <c r="A1108" s="116"/>
      <c r="B1108" s="116"/>
      <c r="C1108" s="116"/>
      <c r="D1108" s="116"/>
      <c r="E1108" s="116"/>
      <c r="F1108" s="116"/>
      <c r="G1108" s="136"/>
      <c r="H1108" s="116"/>
      <c r="I1108" s="116"/>
      <c r="J1108" s="116"/>
      <c r="K1108" s="116"/>
      <c r="L1108" s="116"/>
      <c r="M1108" s="116"/>
      <c r="N1108" s="116"/>
      <c r="O1108" s="116"/>
    </row>
    <row r="1109" spans="1:15" x14ac:dyDescent="0.35">
      <c r="A1109" s="116"/>
      <c r="B1109" s="116"/>
      <c r="C1109" s="116"/>
      <c r="D1109" s="116"/>
      <c r="E1109" s="116"/>
      <c r="F1109" s="116"/>
      <c r="G1109" s="136"/>
      <c r="H1109" s="116"/>
      <c r="I1109" s="116"/>
      <c r="J1109" s="116"/>
      <c r="K1109" s="116"/>
      <c r="L1109" s="116"/>
      <c r="M1109" s="116"/>
    </row>
    <row r="1110" spans="1:15" x14ac:dyDescent="0.35">
      <c r="A1110" s="116"/>
      <c r="B1110" s="116"/>
      <c r="C1110" s="116"/>
      <c r="D1110" s="116"/>
      <c r="E1110" s="116"/>
      <c r="F1110" s="116"/>
      <c r="G1110" s="136"/>
      <c r="H1110" s="116"/>
      <c r="I1110" s="116"/>
      <c r="J1110" s="116"/>
      <c r="K1110" s="116"/>
      <c r="L1110" s="116"/>
      <c r="M1110" s="116"/>
      <c r="N1110" s="116"/>
      <c r="O1110" s="116"/>
    </row>
    <row r="1111" spans="1:15" x14ac:dyDescent="0.35">
      <c r="A1111" s="116"/>
      <c r="B1111" s="116"/>
      <c r="C1111" s="116"/>
      <c r="D1111" s="116"/>
      <c r="E1111" s="116"/>
      <c r="F1111" s="116"/>
      <c r="G1111" s="136"/>
      <c r="H1111" s="116"/>
      <c r="I1111" s="116"/>
      <c r="J1111" s="116"/>
      <c r="K1111" s="116"/>
      <c r="L1111" s="116"/>
      <c r="M1111" s="116"/>
      <c r="N1111" s="116"/>
      <c r="O1111" s="116"/>
    </row>
    <row r="1112" spans="1:15" x14ac:dyDescent="0.35">
      <c r="A1112" s="116"/>
      <c r="B1112" s="116"/>
      <c r="C1112" s="116"/>
      <c r="D1112" s="116"/>
      <c r="E1112" s="116"/>
      <c r="F1112" s="116"/>
      <c r="G1112" s="136"/>
      <c r="H1112" s="116"/>
      <c r="I1112" s="116"/>
      <c r="J1112" s="116"/>
      <c r="K1112" s="116"/>
      <c r="L1112" s="116"/>
      <c r="M1112" s="116"/>
      <c r="N1112" s="116"/>
      <c r="O1112" s="116"/>
    </row>
    <row r="1113" spans="1:15" x14ac:dyDescent="0.35">
      <c r="A1113" s="116"/>
      <c r="B1113" s="116"/>
      <c r="C1113" s="116"/>
      <c r="D1113" s="116"/>
      <c r="E1113" s="116"/>
      <c r="F1113" s="116"/>
      <c r="G1113" s="136"/>
      <c r="H1113" s="116"/>
      <c r="I1113" s="116"/>
      <c r="J1113" s="116"/>
      <c r="K1113" s="116"/>
      <c r="L1113" s="116"/>
      <c r="M1113" s="116"/>
      <c r="N1113" s="116"/>
      <c r="O1113" s="116"/>
    </row>
    <row r="1114" spans="1:15" x14ac:dyDescent="0.35">
      <c r="A1114" s="116"/>
      <c r="B1114" s="116"/>
      <c r="C1114" s="116"/>
      <c r="D1114" s="116"/>
      <c r="E1114" s="116"/>
      <c r="F1114" s="116"/>
      <c r="G1114" s="136"/>
      <c r="H1114" s="116"/>
      <c r="I1114" s="116"/>
      <c r="J1114" s="116"/>
      <c r="K1114" s="116"/>
      <c r="L1114" s="116"/>
      <c r="M1114" s="116"/>
      <c r="N1114" s="116"/>
      <c r="O1114" s="116"/>
    </row>
    <row r="1115" spans="1:15" x14ac:dyDescent="0.35">
      <c r="A1115" s="116"/>
      <c r="B1115" s="116"/>
      <c r="C1115" s="116"/>
      <c r="D1115" s="116"/>
      <c r="E1115" s="116"/>
      <c r="F1115" s="116"/>
      <c r="G1115" s="136"/>
      <c r="H1115" s="116"/>
      <c r="I1115" s="116"/>
      <c r="J1115" s="116"/>
      <c r="K1115" s="116"/>
      <c r="L1115" s="116"/>
      <c r="M1115" s="116"/>
      <c r="N1115" s="116"/>
      <c r="O1115" s="116"/>
    </row>
    <row r="1116" spans="1:15" x14ac:dyDescent="0.35">
      <c r="A1116" s="116"/>
      <c r="B1116" s="116"/>
      <c r="C1116" s="116"/>
      <c r="D1116" s="116"/>
      <c r="E1116" s="116"/>
      <c r="F1116" s="116"/>
      <c r="G1116" s="136"/>
      <c r="H1116" s="116"/>
      <c r="I1116" s="116"/>
      <c r="J1116" s="116"/>
      <c r="K1116" s="116"/>
      <c r="L1116" s="116"/>
      <c r="M1116" s="116"/>
      <c r="N1116" s="116"/>
      <c r="O1116" s="116"/>
    </row>
    <row r="1117" spans="1:15" x14ac:dyDescent="0.35">
      <c r="A1117" s="116"/>
      <c r="B1117" s="116"/>
      <c r="C1117" s="116"/>
      <c r="D1117" s="116"/>
      <c r="E1117" s="116"/>
      <c r="F1117" s="116"/>
      <c r="G1117" s="136"/>
      <c r="H1117" s="116"/>
      <c r="I1117" s="116"/>
      <c r="J1117" s="116"/>
      <c r="K1117" s="116"/>
      <c r="L1117" s="116"/>
      <c r="M1117" s="116"/>
    </row>
    <row r="1118" spans="1:15" x14ac:dyDescent="0.35">
      <c r="A1118" s="116"/>
      <c r="B1118" s="116"/>
      <c r="C1118" s="116"/>
      <c r="D1118" s="116"/>
      <c r="E1118" s="116"/>
      <c r="F1118" s="116"/>
      <c r="G1118" s="136"/>
      <c r="H1118" s="116"/>
      <c r="I1118" s="116"/>
      <c r="J1118" s="116"/>
      <c r="K1118" s="116"/>
      <c r="L1118" s="116"/>
      <c r="M1118" s="116"/>
      <c r="N1118" s="116"/>
      <c r="O1118" s="116"/>
    </row>
    <row r="1119" spans="1:15" x14ac:dyDescent="0.35">
      <c r="A1119" s="116"/>
      <c r="B1119" s="116"/>
      <c r="C1119" s="116"/>
      <c r="D1119" s="116"/>
      <c r="E1119" s="116"/>
      <c r="F1119" s="116"/>
      <c r="G1119" s="136"/>
      <c r="H1119" s="116"/>
      <c r="I1119" s="116"/>
      <c r="J1119" s="116"/>
      <c r="K1119" s="116"/>
      <c r="L1119" s="116"/>
      <c r="M1119" s="116"/>
      <c r="N1119" s="116"/>
      <c r="O1119" s="116"/>
    </row>
    <row r="1120" spans="1:15" x14ac:dyDescent="0.35">
      <c r="A1120" s="116"/>
      <c r="B1120" s="116"/>
      <c r="C1120" s="116"/>
      <c r="D1120" s="116"/>
      <c r="E1120" s="116"/>
      <c r="F1120" s="116"/>
      <c r="G1120" s="136"/>
      <c r="H1120" s="116"/>
      <c r="I1120" s="116"/>
      <c r="J1120" s="116"/>
      <c r="K1120" s="116"/>
      <c r="L1120" s="116"/>
      <c r="M1120" s="116"/>
      <c r="N1120" s="116"/>
      <c r="O1120" s="116"/>
    </row>
    <row r="1121" spans="1:15" x14ac:dyDescent="0.35">
      <c r="A1121" s="116"/>
      <c r="B1121" s="116"/>
      <c r="C1121" s="116"/>
      <c r="D1121" s="116"/>
      <c r="E1121" s="116"/>
      <c r="F1121" s="116"/>
      <c r="G1121" s="136"/>
      <c r="H1121" s="116"/>
      <c r="I1121" s="116"/>
      <c r="J1121" s="116"/>
      <c r="K1121" s="116"/>
      <c r="L1121" s="116"/>
      <c r="M1121" s="116"/>
      <c r="N1121" s="116"/>
      <c r="O1121" s="116"/>
    </row>
    <row r="1122" spans="1:15" x14ac:dyDescent="0.35">
      <c r="A1122" s="116"/>
      <c r="B1122" s="116"/>
      <c r="C1122" s="116"/>
      <c r="D1122" s="116"/>
      <c r="E1122" s="116"/>
      <c r="F1122" s="116"/>
      <c r="G1122" s="136"/>
      <c r="H1122" s="116"/>
      <c r="I1122" s="116"/>
      <c r="J1122" s="116"/>
      <c r="K1122" s="116"/>
      <c r="L1122" s="116"/>
      <c r="M1122" s="116"/>
      <c r="N1122" s="116"/>
      <c r="O1122" s="116"/>
    </row>
    <row r="1123" spans="1:15" x14ac:dyDescent="0.35">
      <c r="A1123" s="116"/>
      <c r="B1123" s="116"/>
      <c r="C1123" s="116"/>
      <c r="D1123" s="116"/>
      <c r="E1123" s="116"/>
      <c r="F1123" s="116"/>
      <c r="G1123" s="136"/>
      <c r="H1123" s="116"/>
      <c r="I1123" s="116"/>
      <c r="J1123" s="116"/>
      <c r="K1123" s="116"/>
      <c r="L1123" s="116"/>
      <c r="M1123" s="116"/>
      <c r="N1123" s="116"/>
      <c r="O1123" s="116"/>
    </row>
    <row r="1124" spans="1:15" x14ac:dyDescent="0.35">
      <c r="A1124" s="116"/>
      <c r="B1124" s="116"/>
      <c r="C1124" s="116"/>
      <c r="D1124" s="116"/>
      <c r="E1124" s="116"/>
      <c r="F1124" s="116"/>
      <c r="G1124" s="136"/>
      <c r="H1124" s="116"/>
      <c r="I1124" s="116"/>
      <c r="J1124" s="116"/>
      <c r="K1124" s="116"/>
      <c r="L1124" s="116"/>
      <c r="M1124" s="116"/>
      <c r="N1124" s="116"/>
      <c r="O1124" s="116"/>
    </row>
    <row r="1125" spans="1:15" x14ac:dyDescent="0.35">
      <c r="A1125" s="116"/>
      <c r="B1125" s="116"/>
      <c r="C1125" s="116"/>
      <c r="D1125" s="116"/>
      <c r="E1125" s="116"/>
      <c r="F1125" s="116"/>
      <c r="G1125" s="136"/>
      <c r="H1125" s="116"/>
      <c r="I1125" s="116"/>
      <c r="J1125" s="116"/>
      <c r="K1125" s="116"/>
      <c r="L1125" s="116"/>
      <c r="M1125" s="116"/>
      <c r="N1125" s="116"/>
      <c r="O1125" s="116"/>
    </row>
    <row r="1126" spans="1:15" x14ac:dyDescent="0.35">
      <c r="A1126" s="116"/>
      <c r="B1126" s="116"/>
      <c r="C1126" s="116"/>
      <c r="D1126" s="116"/>
      <c r="E1126" s="116"/>
      <c r="F1126" s="116"/>
      <c r="G1126" s="136"/>
      <c r="H1126" s="116"/>
      <c r="I1126" s="116"/>
      <c r="J1126" s="116"/>
      <c r="K1126" s="116"/>
      <c r="L1126" s="116"/>
      <c r="M1126" s="116"/>
      <c r="N1126" s="116"/>
      <c r="O1126" s="116"/>
    </row>
    <row r="1127" spans="1:15" x14ac:dyDescent="0.35">
      <c r="A1127" s="116"/>
      <c r="B1127" s="116"/>
      <c r="C1127" s="116"/>
      <c r="D1127" s="116"/>
      <c r="E1127" s="116"/>
      <c r="F1127" s="116"/>
      <c r="G1127" s="136"/>
      <c r="H1127" s="116"/>
      <c r="I1127" s="116"/>
      <c r="J1127" s="116"/>
      <c r="K1127" s="116"/>
      <c r="L1127" s="116"/>
      <c r="M1127" s="116"/>
      <c r="N1127" s="116"/>
      <c r="O1127" s="116"/>
    </row>
    <row r="1128" spans="1:15" x14ac:dyDescent="0.35">
      <c r="A1128" s="116"/>
      <c r="B1128" s="116"/>
      <c r="C1128" s="116"/>
      <c r="D1128" s="116"/>
      <c r="E1128" s="116"/>
      <c r="F1128" s="116"/>
      <c r="G1128" s="136"/>
      <c r="H1128" s="116"/>
      <c r="I1128" s="116"/>
      <c r="J1128" s="116"/>
      <c r="K1128" s="116"/>
      <c r="L1128" s="116"/>
      <c r="M1128" s="116"/>
    </row>
    <row r="1129" spans="1:15" x14ac:dyDescent="0.35">
      <c r="A1129" s="116"/>
      <c r="B1129" s="116"/>
      <c r="C1129" s="116"/>
      <c r="D1129" s="116"/>
      <c r="E1129" s="116"/>
      <c r="F1129" s="116"/>
      <c r="G1129" s="136"/>
      <c r="H1129" s="116"/>
      <c r="I1129" s="116"/>
      <c r="J1129" s="116"/>
      <c r="K1129" s="116"/>
      <c r="L1129" s="116"/>
      <c r="M1129" s="116"/>
    </row>
    <row r="1130" spans="1:15" x14ac:dyDescent="0.35">
      <c r="A1130" s="116"/>
      <c r="B1130" s="116"/>
      <c r="C1130" s="116"/>
      <c r="D1130" s="116"/>
      <c r="E1130" s="116"/>
      <c r="F1130" s="116"/>
      <c r="G1130" s="136"/>
      <c r="H1130" s="116"/>
      <c r="I1130" s="116"/>
      <c r="J1130" s="116"/>
      <c r="K1130" s="116"/>
      <c r="L1130" s="116"/>
      <c r="M1130" s="116"/>
    </row>
    <row r="1131" spans="1:15" x14ac:dyDescent="0.35">
      <c r="A1131" s="116"/>
      <c r="B1131" s="116"/>
      <c r="C1131" s="116"/>
      <c r="D1131" s="116"/>
      <c r="E1131" s="116"/>
      <c r="F1131" s="116"/>
      <c r="G1131" s="136"/>
      <c r="H1131" s="116"/>
      <c r="I1131" s="116"/>
      <c r="J1131" s="116"/>
      <c r="K1131" s="116"/>
      <c r="L1131" s="116"/>
      <c r="M1131" s="116"/>
    </row>
    <row r="1132" spans="1:15" x14ac:dyDescent="0.35">
      <c r="A1132" s="116"/>
      <c r="B1132" s="116"/>
      <c r="C1132" s="116"/>
      <c r="D1132" s="116"/>
      <c r="E1132" s="116"/>
      <c r="F1132" s="116"/>
      <c r="G1132" s="136"/>
      <c r="H1132" s="116"/>
      <c r="I1132" s="116"/>
      <c r="J1132" s="116"/>
      <c r="K1132" s="116"/>
      <c r="L1132" s="116"/>
      <c r="M1132" s="116"/>
    </row>
    <row r="1133" spans="1:15" x14ac:dyDescent="0.35">
      <c r="A1133" s="116"/>
      <c r="B1133" s="116"/>
      <c r="C1133" s="116"/>
      <c r="D1133" s="116"/>
      <c r="E1133" s="116"/>
      <c r="F1133" s="116"/>
      <c r="G1133" s="136"/>
      <c r="H1133" s="116"/>
      <c r="I1133" s="116"/>
      <c r="J1133" s="116"/>
      <c r="K1133" s="116"/>
      <c r="L1133" s="116"/>
      <c r="M1133" s="116"/>
      <c r="N1133" s="116"/>
      <c r="O1133" s="116"/>
    </row>
    <row r="1134" spans="1:15" x14ac:dyDescent="0.35">
      <c r="A1134" s="116"/>
      <c r="B1134" s="116"/>
      <c r="C1134" s="116"/>
      <c r="D1134" s="116"/>
      <c r="E1134" s="116"/>
      <c r="F1134" s="116"/>
      <c r="G1134" s="136"/>
      <c r="H1134" s="116"/>
      <c r="I1134" s="116"/>
      <c r="J1134" s="116"/>
      <c r="K1134" s="116"/>
      <c r="L1134" s="116"/>
      <c r="M1134" s="116"/>
      <c r="N1134" s="116"/>
      <c r="O1134" s="116"/>
    </row>
    <row r="1135" spans="1:15" x14ac:dyDescent="0.35">
      <c r="A1135" s="116"/>
      <c r="B1135" s="116"/>
      <c r="C1135" s="116"/>
      <c r="D1135" s="116"/>
      <c r="E1135" s="116"/>
      <c r="F1135" s="116"/>
      <c r="G1135" s="136"/>
      <c r="H1135" s="116"/>
      <c r="I1135" s="116"/>
      <c r="J1135" s="116"/>
      <c r="K1135" s="116"/>
      <c r="L1135" s="116"/>
      <c r="M1135" s="116"/>
      <c r="N1135" s="116"/>
      <c r="O1135" s="116"/>
    </row>
    <row r="1136" spans="1:15" x14ac:dyDescent="0.35">
      <c r="A1136" s="116"/>
      <c r="B1136" s="116"/>
      <c r="C1136" s="116"/>
      <c r="D1136" s="116"/>
      <c r="E1136" s="116"/>
      <c r="F1136" s="116"/>
      <c r="G1136" s="136"/>
      <c r="H1136" s="116"/>
      <c r="I1136" s="116"/>
      <c r="J1136" s="116"/>
      <c r="K1136" s="116"/>
      <c r="L1136" s="116"/>
      <c r="M1136" s="116"/>
      <c r="N1136" s="116"/>
      <c r="O1136" s="116"/>
    </row>
    <row r="1137" spans="1:15" x14ac:dyDescent="0.35">
      <c r="A1137" s="116"/>
      <c r="B1137" s="116"/>
      <c r="C1137" s="116"/>
      <c r="D1137" s="116"/>
      <c r="E1137" s="116"/>
      <c r="F1137" s="116"/>
      <c r="G1137" s="136"/>
      <c r="H1137" s="116"/>
      <c r="I1137" s="116"/>
      <c r="J1137" s="116"/>
      <c r="K1137" s="116"/>
      <c r="L1137" s="116"/>
      <c r="M1137" s="116"/>
      <c r="N1137" s="116"/>
      <c r="O1137" s="116"/>
    </row>
    <row r="1138" spans="1:15" x14ac:dyDescent="0.35">
      <c r="A1138" s="116"/>
      <c r="B1138" s="116"/>
      <c r="C1138" s="116"/>
      <c r="D1138" s="116"/>
      <c r="E1138" s="116"/>
      <c r="F1138" s="116"/>
      <c r="G1138" s="136"/>
      <c r="H1138" s="116"/>
      <c r="I1138" s="116"/>
      <c r="J1138" s="116"/>
      <c r="K1138" s="116"/>
      <c r="L1138" s="116"/>
      <c r="M1138" s="116"/>
      <c r="N1138" s="116"/>
      <c r="O1138" s="116"/>
    </row>
    <row r="1139" spans="1:15" x14ac:dyDescent="0.35">
      <c r="A1139" s="116"/>
      <c r="B1139" s="116"/>
      <c r="C1139" s="116"/>
      <c r="D1139" s="116"/>
      <c r="E1139" s="116"/>
      <c r="F1139" s="116"/>
      <c r="G1139" s="136"/>
      <c r="H1139" s="116"/>
      <c r="I1139" s="116"/>
      <c r="J1139" s="116"/>
      <c r="K1139" s="116"/>
      <c r="L1139" s="116"/>
      <c r="M1139" s="116"/>
      <c r="N1139" s="116"/>
      <c r="O1139" s="116"/>
    </row>
    <row r="1140" spans="1:15" x14ac:dyDescent="0.35">
      <c r="A1140" s="116"/>
      <c r="B1140" s="116"/>
      <c r="C1140" s="116"/>
      <c r="D1140" s="116"/>
      <c r="E1140" s="116"/>
      <c r="F1140" s="116"/>
      <c r="G1140" s="136"/>
      <c r="H1140" s="116"/>
      <c r="I1140" s="116"/>
      <c r="J1140" s="116"/>
      <c r="K1140" s="116"/>
      <c r="L1140" s="116"/>
      <c r="M1140" s="116"/>
      <c r="N1140" s="116"/>
      <c r="O1140" s="116"/>
    </row>
    <row r="1141" spans="1:15" x14ac:dyDescent="0.35">
      <c r="A1141" s="116"/>
      <c r="B1141" s="116"/>
      <c r="C1141" s="116"/>
      <c r="D1141" s="116"/>
      <c r="E1141" s="116"/>
      <c r="F1141" s="116"/>
      <c r="G1141" s="136"/>
      <c r="H1141" s="116"/>
      <c r="I1141" s="116"/>
      <c r="J1141" s="116"/>
      <c r="K1141" s="116"/>
      <c r="L1141" s="116"/>
      <c r="M1141" s="116"/>
      <c r="N1141" s="116"/>
      <c r="O1141" s="116"/>
    </row>
    <row r="1142" spans="1:15" x14ac:dyDescent="0.35">
      <c r="A1142" s="116"/>
      <c r="B1142" s="116"/>
      <c r="C1142" s="116"/>
      <c r="D1142" s="116"/>
      <c r="E1142" s="116"/>
      <c r="F1142" s="116"/>
      <c r="G1142" s="136"/>
      <c r="H1142" s="116"/>
      <c r="I1142" s="116"/>
      <c r="J1142" s="116"/>
      <c r="K1142" s="116"/>
      <c r="L1142" s="116"/>
      <c r="M1142" s="116"/>
      <c r="N1142" s="116"/>
      <c r="O1142" s="116"/>
    </row>
    <row r="1143" spans="1:15" x14ac:dyDescent="0.35">
      <c r="A1143" s="116"/>
      <c r="B1143" s="116"/>
      <c r="C1143" s="116"/>
      <c r="D1143" s="116"/>
      <c r="E1143" s="116"/>
      <c r="F1143" s="116"/>
      <c r="G1143" s="136"/>
      <c r="H1143" s="116"/>
      <c r="I1143" s="116"/>
      <c r="J1143" s="116"/>
      <c r="K1143" s="116"/>
      <c r="L1143" s="116"/>
      <c r="M1143" s="116"/>
      <c r="N1143" s="116"/>
      <c r="O1143" s="116"/>
    </row>
    <row r="1144" spans="1:15" x14ac:dyDescent="0.35">
      <c r="A1144" s="116"/>
      <c r="B1144" s="116"/>
      <c r="C1144" s="116"/>
      <c r="D1144" s="116"/>
      <c r="E1144" s="116"/>
      <c r="F1144" s="116"/>
      <c r="G1144" s="136"/>
      <c r="H1144" s="116"/>
      <c r="I1144" s="116"/>
      <c r="J1144" s="116"/>
      <c r="K1144" s="116"/>
      <c r="L1144" s="116"/>
      <c r="M1144" s="116"/>
      <c r="N1144" s="31"/>
      <c r="O1144" s="31"/>
    </row>
    <row r="1145" spans="1:15" x14ac:dyDescent="0.35">
      <c r="A1145" s="116"/>
      <c r="B1145" s="116"/>
      <c r="C1145" s="116"/>
      <c r="D1145" s="116"/>
      <c r="E1145" s="116"/>
      <c r="F1145" s="116"/>
      <c r="G1145" s="136"/>
      <c r="H1145" s="116"/>
      <c r="I1145" s="116"/>
      <c r="J1145" s="116"/>
      <c r="K1145" s="116"/>
      <c r="L1145" s="116"/>
      <c r="M1145" s="116"/>
      <c r="N1145" s="116"/>
      <c r="O1145" s="116"/>
    </row>
    <row r="1146" spans="1:15" x14ac:dyDescent="0.35">
      <c r="A1146" s="116"/>
      <c r="B1146" s="116"/>
      <c r="C1146" s="116"/>
      <c r="D1146" s="116"/>
      <c r="E1146" s="116"/>
      <c r="F1146" s="116"/>
      <c r="G1146" s="136"/>
      <c r="H1146" s="116"/>
      <c r="I1146" s="116"/>
      <c r="J1146" s="116"/>
      <c r="K1146" s="116"/>
      <c r="L1146" s="116"/>
      <c r="M1146" s="116"/>
      <c r="N1146" s="116"/>
      <c r="O1146" s="116"/>
    </row>
    <row r="1147" spans="1:15" x14ac:dyDescent="0.35">
      <c r="A1147" s="116"/>
      <c r="B1147" s="116"/>
      <c r="C1147" s="116"/>
      <c r="D1147" s="116"/>
      <c r="E1147" s="116"/>
      <c r="F1147" s="116"/>
      <c r="G1147" s="136"/>
      <c r="H1147" s="116"/>
      <c r="I1147" s="116"/>
      <c r="J1147" s="116"/>
      <c r="K1147" s="116"/>
      <c r="L1147" s="116"/>
      <c r="M1147" s="116"/>
      <c r="N1147" s="116"/>
      <c r="O1147" s="116"/>
    </row>
    <row r="1148" spans="1:15" x14ac:dyDescent="0.35">
      <c r="A1148" s="116"/>
      <c r="B1148" s="116"/>
      <c r="C1148" s="116"/>
      <c r="D1148" s="116"/>
      <c r="E1148" s="116"/>
      <c r="F1148" s="116"/>
      <c r="G1148" s="136"/>
      <c r="H1148" s="116"/>
      <c r="I1148" s="116"/>
      <c r="J1148" s="116"/>
      <c r="K1148" s="116"/>
      <c r="L1148" s="116"/>
      <c r="M1148" s="116"/>
      <c r="N1148" s="116"/>
      <c r="O1148" s="116"/>
    </row>
    <row r="1149" spans="1:15" x14ac:dyDescent="0.35">
      <c r="A1149" s="116"/>
      <c r="B1149" s="116"/>
      <c r="C1149" s="116"/>
      <c r="D1149" s="116"/>
      <c r="E1149" s="116"/>
      <c r="F1149" s="116"/>
      <c r="G1149" s="136"/>
      <c r="H1149" s="116"/>
      <c r="I1149" s="116"/>
      <c r="J1149" s="116"/>
      <c r="K1149" s="116"/>
      <c r="L1149" s="116"/>
      <c r="M1149" s="116"/>
      <c r="N1149" s="116"/>
      <c r="O1149" s="116"/>
    </row>
    <row r="1150" spans="1:15" x14ac:dyDescent="0.35">
      <c r="A1150" s="116"/>
      <c r="B1150" s="116"/>
      <c r="C1150" s="116"/>
      <c r="D1150" s="116"/>
      <c r="E1150" s="116"/>
      <c r="F1150" s="116"/>
      <c r="G1150" s="136"/>
      <c r="H1150" s="116"/>
      <c r="I1150" s="116"/>
      <c r="J1150" s="116"/>
      <c r="K1150" s="116"/>
      <c r="L1150" s="116"/>
      <c r="M1150" s="116"/>
      <c r="N1150" s="116"/>
      <c r="O1150" s="116"/>
    </row>
    <row r="1151" spans="1:15" x14ac:dyDescent="0.35">
      <c r="A1151" s="116"/>
      <c r="B1151" s="116"/>
      <c r="C1151" s="116"/>
      <c r="D1151" s="116"/>
      <c r="E1151" s="116"/>
      <c r="F1151" s="116"/>
      <c r="G1151" s="136"/>
      <c r="H1151" s="116"/>
      <c r="I1151" s="116"/>
      <c r="J1151" s="116"/>
      <c r="K1151" s="116"/>
      <c r="L1151" s="116"/>
      <c r="M1151" s="116"/>
      <c r="N1151" s="116"/>
      <c r="O1151" s="116"/>
    </row>
    <row r="1152" spans="1:15" x14ac:dyDescent="0.35">
      <c r="A1152" s="116"/>
      <c r="B1152" s="116"/>
      <c r="C1152" s="116"/>
      <c r="D1152" s="116"/>
      <c r="E1152" s="116"/>
      <c r="F1152" s="116"/>
      <c r="G1152" s="136"/>
      <c r="H1152" s="116"/>
      <c r="I1152" s="116"/>
      <c r="J1152" s="116"/>
      <c r="K1152" s="116"/>
      <c r="L1152" s="116"/>
      <c r="M1152" s="116"/>
      <c r="N1152" s="116"/>
      <c r="O1152" s="116"/>
    </row>
    <row r="1153" spans="1:15" x14ac:dyDescent="0.35">
      <c r="A1153" s="116"/>
      <c r="B1153" s="116"/>
      <c r="C1153" s="116"/>
      <c r="D1153" s="116"/>
      <c r="E1153" s="116"/>
      <c r="F1153" s="116"/>
      <c r="G1153" s="136"/>
      <c r="H1153" s="116"/>
      <c r="I1153" s="116"/>
      <c r="J1153" s="116"/>
      <c r="K1153" s="116"/>
      <c r="L1153" s="116"/>
      <c r="M1153" s="116"/>
      <c r="N1153" s="116"/>
      <c r="O1153" s="116"/>
    </row>
    <row r="1154" spans="1:15" x14ac:dyDescent="0.35">
      <c r="A1154" s="116"/>
      <c r="B1154" s="116"/>
      <c r="C1154" s="116"/>
      <c r="D1154" s="116"/>
      <c r="E1154" s="116"/>
      <c r="F1154" s="116"/>
      <c r="G1154" s="136"/>
      <c r="H1154" s="116"/>
      <c r="I1154" s="116"/>
      <c r="J1154" s="116"/>
      <c r="K1154" s="116"/>
      <c r="L1154" s="116"/>
      <c r="M1154" s="116"/>
      <c r="N1154" s="116"/>
      <c r="O1154" s="116"/>
    </row>
    <row r="1155" spans="1:15" x14ac:dyDescent="0.35">
      <c r="A1155" s="116"/>
      <c r="B1155" s="116"/>
      <c r="C1155" s="116"/>
      <c r="D1155" s="116"/>
      <c r="E1155" s="116"/>
      <c r="F1155" s="116"/>
      <c r="G1155" s="136"/>
      <c r="H1155" s="116"/>
      <c r="I1155" s="116"/>
      <c r="J1155" s="116"/>
      <c r="K1155" s="116"/>
      <c r="L1155" s="116"/>
      <c r="M1155" s="116"/>
      <c r="N1155" s="116"/>
      <c r="O1155" s="116"/>
    </row>
    <row r="1156" spans="1:15" x14ac:dyDescent="0.35">
      <c r="A1156" s="116"/>
      <c r="B1156" s="116"/>
      <c r="C1156" s="116"/>
      <c r="D1156" s="116"/>
      <c r="E1156" s="116"/>
      <c r="F1156" s="116"/>
      <c r="G1156" s="136"/>
      <c r="H1156" s="116"/>
      <c r="I1156" s="116"/>
      <c r="J1156" s="116"/>
      <c r="K1156" s="116"/>
      <c r="L1156" s="116"/>
      <c r="M1156" s="116"/>
      <c r="N1156" s="116"/>
      <c r="O1156" s="116"/>
    </row>
    <row r="1157" spans="1:15" x14ac:dyDescent="0.35">
      <c r="A1157" s="116"/>
      <c r="B1157" s="116"/>
      <c r="C1157" s="116"/>
      <c r="D1157" s="116"/>
      <c r="E1157" s="116"/>
      <c r="F1157" s="116"/>
      <c r="G1157" s="136"/>
      <c r="H1157" s="116"/>
      <c r="I1157" s="116"/>
      <c r="J1157" s="116"/>
      <c r="K1157" s="116"/>
      <c r="L1157" s="116"/>
      <c r="M1157" s="116"/>
      <c r="N1157" s="116"/>
      <c r="O1157" s="116"/>
    </row>
    <row r="1158" spans="1:15" x14ac:dyDescent="0.35">
      <c r="A1158" s="116"/>
      <c r="B1158" s="116"/>
      <c r="C1158" s="116"/>
      <c r="D1158" s="116"/>
      <c r="E1158" s="116"/>
      <c r="F1158" s="116"/>
      <c r="G1158" s="136"/>
      <c r="H1158" s="116"/>
      <c r="I1158" s="116"/>
      <c r="J1158" s="116"/>
      <c r="K1158" s="116"/>
      <c r="L1158" s="116"/>
      <c r="M1158" s="116"/>
      <c r="N1158" s="116"/>
      <c r="O1158" s="116"/>
    </row>
    <row r="1159" spans="1:15" x14ac:dyDescent="0.35">
      <c r="A1159" s="116"/>
      <c r="B1159" s="116"/>
      <c r="C1159" s="116"/>
      <c r="D1159" s="116"/>
      <c r="E1159" s="116"/>
      <c r="F1159" s="116"/>
      <c r="G1159" s="136"/>
      <c r="H1159" s="116"/>
      <c r="I1159" s="116"/>
      <c r="J1159" s="116"/>
      <c r="K1159" s="116"/>
      <c r="L1159" s="116"/>
      <c r="M1159" s="116"/>
      <c r="N1159" s="116"/>
      <c r="O1159" s="116"/>
    </row>
    <row r="1160" spans="1:15" x14ac:dyDescent="0.35">
      <c r="A1160" s="116"/>
      <c r="B1160" s="116"/>
      <c r="C1160" s="116"/>
      <c r="D1160" s="116"/>
      <c r="E1160" s="116"/>
      <c r="F1160" s="116"/>
      <c r="G1160" s="136"/>
      <c r="H1160" s="116"/>
      <c r="I1160" s="116"/>
      <c r="J1160" s="116"/>
      <c r="K1160" s="116"/>
      <c r="L1160" s="116"/>
      <c r="M1160" s="116"/>
      <c r="N1160" s="116"/>
      <c r="O1160" s="116"/>
    </row>
    <row r="1161" spans="1:15" x14ac:dyDescent="0.35">
      <c r="A1161" s="116"/>
      <c r="B1161" s="116"/>
      <c r="C1161" s="116"/>
      <c r="D1161" s="116"/>
      <c r="E1161" s="116"/>
      <c r="F1161" s="116"/>
      <c r="G1161" s="136"/>
      <c r="H1161" s="116"/>
      <c r="I1161" s="116"/>
      <c r="J1161" s="116"/>
      <c r="K1161" s="116"/>
      <c r="L1161" s="116"/>
      <c r="M1161" s="116"/>
      <c r="N1161" s="116"/>
      <c r="O1161" s="116"/>
    </row>
    <row r="1162" spans="1:15" x14ac:dyDescent="0.35">
      <c r="A1162" s="116"/>
      <c r="B1162" s="116"/>
      <c r="C1162" s="116"/>
      <c r="D1162" s="116"/>
      <c r="E1162" s="116"/>
      <c r="F1162" s="116"/>
      <c r="G1162" s="136"/>
      <c r="H1162" s="116"/>
      <c r="I1162" s="116"/>
      <c r="J1162" s="116"/>
      <c r="K1162" s="116"/>
      <c r="L1162" s="116"/>
      <c r="M1162" s="116"/>
      <c r="N1162" s="116"/>
      <c r="O1162" s="116"/>
    </row>
    <row r="1163" spans="1:15" x14ac:dyDescent="0.35">
      <c r="A1163" s="116"/>
      <c r="B1163" s="116"/>
      <c r="C1163" s="116"/>
      <c r="D1163" s="116"/>
      <c r="E1163" s="116"/>
      <c r="F1163" s="116"/>
      <c r="G1163" s="136"/>
      <c r="H1163" s="116"/>
      <c r="I1163" s="116"/>
      <c r="J1163" s="116"/>
      <c r="K1163" s="116"/>
      <c r="L1163" s="116"/>
      <c r="M1163" s="116"/>
      <c r="N1163" s="116"/>
      <c r="O1163" s="116"/>
    </row>
    <row r="1164" spans="1:15" x14ac:dyDescent="0.35">
      <c r="A1164" s="116"/>
      <c r="B1164" s="116"/>
      <c r="C1164" s="116"/>
      <c r="D1164" s="116"/>
      <c r="E1164" s="116"/>
      <c r="F1164" s="116"/>
      <c r="G1164" s="136"/>
      <c r="H1164" s="116"/>
      <c r="I1164" s="116"/>
      <c r="J1164" s="116"/>
      <c r="K1164" s="116"/>
      <c r="L1164" s="116"/>
      <c r="M1164" s="116"/>
      <c r="N1164" s="116"/>
      <c r="O1164" s="116"/>
    </row>
    <row r="1165" spans="1:15" x14ac:dyDescent="0.35">
      <c r="A1165" s="116"/>
      <c r="B1165" s="116"/>
      <c r="C1165" s="116"/>
      <c r="D1165" s="116"/>
      <c r="E1165" s="116"/>
      <c r="F1165" s="116"/>
      <c r="G1165" s="136"/>
      <c r="H1165" s="116"/>
      <c r="I1165" s="116"/>
      <c r="J1165" s="116"/>
      <c r="K1165" s="116"/>
      <c r="L1165" s="116"/>
      <c r="M1165" s="116"/>
      <c r="N1165" s="116"/>
      <c r="O1165" s="116"/>
    </row>
    <row r="1166" spans="1:15" x14ac:dyDescent="0.35">
      <c r="A1166" s="116"/>
      <c r="B1166" s="116"/>
      <c r="C1166" s="116"/>
      <c r="D1166" s="116"/>
      <c r="E1166" s="116"/>
      <c r="F1166" s="116"/>
      <c r="G1166" s="136"/>
      <c r="H1166" s="116"/>
      <c r="I1166" s="116"/>
      <c r="J1166" s="116"/>
      <c r="K1166" s="116"/>
      <c r="L1166" s="116"/>
      <c r="M1166" s="116"/>
    </row>
    <row r="1167" spans="1:15" x14ac:dyDescent="0.35">
      <c r="A1167" s="116"/>
      <c r="B1167" s="116"/>
      <c r="C1167" s="116"/>
      <c r="D1167" s="116"/>
      <c r="E1167" s="116"/>
      <c r="F1167" s="116"/>
      <c r="G1167" s="136"/>
      <c r="H1167" s="116"/>
      <c r="I1167" s="116"/>
      <c r="J1167" s="116"/>
      <c r="K1167" s="116"/>
      <c r="L1167" s="116"/>
      <c r="M1167" s="116"/>
      <c r="N1167" s="116"/>
      <c r="O1167" s="116"/>
    </row>
    <row r="1168" spans="1:15" x14ac:dyDescent="0.35">
      <c r="A1168" s="116"/>
      <c r="B1168" s="116"/>
      <c r="C1168" s="116"/>
      <c r="D1168" s="116"/>
      <c r="E1168" s="116"/>
      <c r="F1168" s="116"/>
      <c r="G1168" s="136"/>
      <c r="H1168" s="116"/>
      <c r="I1168" s="116"/>
      <c r="J1168" s="116"/>
      <c r="K1168" s="116"/>
      <c r="L1168" s="116"/>
      <c r="M1168" s="116"/>
      <c r="N1168" s="116"/>
      <c r="O1168" s="116"/>
    </row>
    <row r="1169" spans="1:15" x14ac:dyDescent="0.35">
      <c r="A1169" s="116"/>
      <c r="B1169" s="116"/>
      <c r="C1169" s="116"/>
      <c r="D1169" s="116"/>
      <c r="E1169" s="116"/>
      <c r="F1169" s="116"/>
      <c r="G1169" s="136"/>
      <c r="H1169" s="116"/>
      <c r="I1169" s="116"/>
      <c r="J1169" s="116"/>
      <c r="K1169" s="116"/>
      <c r="L1169" s="116"/>
      <c r="M1169" s="116"/>
      <c r="N1169" s="116"/>
      <c r="O1169" s="116"/>
    </row>
    <row r="1170" spans="1:15" x14ac:dyDescent="0.35">
      <c r="A1170" s="116"/>
      <c r="B1170" s="116"/>
      <c r="C1170" s="116"/>
      <c r="D1170" s="116"/>
      <c r="E1170" s="116"/>
      <c r="F1170" s="116"/>
      <c r="G1170" s="136"/>
      <c r="H1170" s="116"/>
      <c r="I1170" s="116"/>
      <c r="J1170" s="116"/>
      <c r="K1170" s="116"/>
      <c r="L1170" s="116"/>
      <c r="M1170" s="116"/>
      <c r="N1170" s="116"/>
      <c r="O1170" s="116"/>
    </row>
    <row r="1171" spans="1:15" x14ac:dyDescent="0.35">
      <c r="A1171" s="116"/>
      <c r="B1171" s="116"/>
      <c r="C1171" s="116"/>
      <c r="D1171" s="116"/>
      <c r="E1171" s="116"/>
      <c r="F1171" s="116"/>
      <c r="G1171" s="136"/>
      <c r="H1171" s="116"/>
      <c r="I1171" s="116"/>
      <c r="J1171" s="116"/>
      <c r="K1171" s="116"/>
      <c r="L1171" s="116"/>
      <c r="M1171" s="116"/>
      <c r="N1171" s="116"/>
      <c r="O1171" s="116"/>
    </row>
    <row r="1172" spans="1:15" x14ac:dyDescent="0.35">
      <c r="A1172" s="116"/>
      <c r="B1172" s="116"/>
      <c r="C1172" s="116"/>
      <c r="D1172" s="116"/>
      <c r="E1172" s="116"/>
      <c r="F1172" s="116"/>
      <c r="G1172" s="136"/>
      <c r="H1172" s="116"/>
      <c r="I1172" s="116"/>
      <c r="J1172" s="116"/>
      <c r="K1172" s="116"/>
      <c r="L1172" s="116"/>
      <c r="M1172" s="116"/>
      <c r="N1172" s="116"/>
      <c r="O1172" s="116"/>
    </row>
    <row r="1173" spans="1:15" x14ac:dyDescent="0.35">
      <c r="A1173" s="116"/>
      <c r="B1173" s="116"/>
      <c r="C1173" s="116"/>
      <c r="D1173" s="116"/>
      <c r="E1173" s="116"/>
      <c r="F1173" s="116"/>
      <c r="G1173" s="136"/>
      <c r="H1173" s="116"/>
      <c r="I1173" s="116"/>
      <c r="J1173" s="116"/>
      <c r="K1173" s="116"/>
      <c r="L1173" s="116"/>
      <c r="M1173" s="116"/>
      <c r="N1173" s="116"/>
      <c r="O1173" s="116"/>
    </row>
    <row r="1174" spans="1:15" x14ac:dyDescent="0.35">
      <c r="A1174" s="116"/>
      <c r="B1174" s="116"/>
      <c r="C1174" s="116"/>
      <c r="D1174" s="116"/>
      <c r="E1174" s="116"/>
      <c r="F1174" s="116"/>
      <c r="G1174" s="136"/>
      <c r="H1174" s="116"/>
      <c r="I1174" s="116"/>
      <c r="J1174" s="116"/>
      <c r="K1174" s="116"/>
      <c r="L1174" s="116"/>
      <c r="M1174" s="116"/>
      <c r="N1174" s="116"/>
      <c r="O1174" s="116"/>
    </row>
    <row r="1175" spans="1:15" x14ac:dyDescent="0.35">
      <c r="A1175" s="116"/>
      <c r="B1175" s="116"/>
      <c r="C1175" s="116"/>
      <c r="D1175" s="116"/>
      <c r="E1175" s="116"/>
      <c r="F1175" s="116"/>
      <c r="G1175" s="136"/>
      <c r="H1175" s="116"/>
      <c r="I1175" s="116"/>
      <c r="J1175" s="116"/>
      <c r="K1175" s="116"/>
      <c r="L1175" s="116"/>
      <c r="M1175" s="116"/>
      <c r="N1175" s="116"/>
      <c r="O1175" s="116"/>
    </row>
    <row r="1176" spans="1:15" x14ac:dyDescent="0.35">
      <c r="A1176" s="116"/>
      <c r="B1176" s="116"/>
      <c r="C1176" s="116"/>
      <c r="D1176" s="116"/>
      <c r="E1176" s="116"/>
      <c r="F1176" s="116"/>
      <c r="G1176" s="136"/>
      <c r="H1176" s="116"/>
      <c r="I1176" s="116"/>
      <c r="J1176" s="116"/>
      <c r="K1176" s="116"/>
      <c r="L1176" s="116"/>
      <c r="M1176" s="116"/>
      <c r="N1176" s="116"/>
      <c r="O1176" s="116"/>
    </row>
    <row r="1177" spans="1:15" x14ac:dyDescent="0.35">
      <c r="A1177" s="116"/>
      <c r="B1177" s="116"/>
      <c r="C1177" s="116"/>
      <c r="D1177" s="116"/>
      <c r="E1177" s="116"/>
      <c r="F1177" s="116"/>
      <c r="G1177" s="136"/>
      <c r="H1177" s="116"/>
      <c r="I1177" s="116"/>
      <c r="J1177" s="116"/>
      <c r="K1177" s="116"/>
      <c r="L1177" s="116"/>
      <c r="M1177" s="116"/>
      <c r="N1177" s="116"/>
      <c r="O1177" s="116"/>
    </row>
    <row r="1178" spans="1:15" x14ac:dyDescent="0.35">
      <c r="A1178" s="116"/>
      <c r="B1178" s="116"/>
      <c r="C1178" s="116"/>
      <c r="D1178" s="116"/>
      <c r="E1178" s="116"/>
      <c r="F1178" s="116"/>
      <c r="G1178" s="136"/>
      <c r="H1178" s="116"/>
      <c r="I1178" s="116"/>
      <c r="J1178" s="116"/>
      <c r="K1178" s="116"/>
      <c r="L1178" s="116"/>
      <c r="M1178" s="116"/>
      <c r="N1178" s="116"/>
      <c r="O1178" s="116"/>
    </row>
    <row r="1179" spans="1:15" x14ac:dyDescent="0.35">
      <c r="A1179" s="116"/>
      <c r="B1179" s="116"/>
      <c r="C1179" s="116"/>
      <c r="D1179" s="116"/>
      <c r="E1179" s="116"/>
      <c r="F1179" s="116"/>
      <c r="G1179" s="136"/>
      <c r="H1179" s="116"/>
      <c r="I1179" s="116"/>
      <c r="J1179" s="116"/>
      <c r="K1179" s="116"/>
      <c r="L1179" s="116"/>
      <c r="M1179" s="116"/>
      <c r="N1179" s="116"/>
      <c r="O1179" s="116"/>
    </row>
    <row r="1180" spans="1:15" x14ac:dyDescent="0.35">
      <c r="A1180" s="116"/>
      <c r="B1180" s="116"/>
      <c r="C1180" s="116"/>
      <c r="D1180" s="116"/>
      <c r="E1180" s="116"/>
      <c r="F1180" s="116"/>
      <c r="G1180" s="136"/>
      <c r="H1180" s="116"/>
      <c r="I1180" s="116"/>
      <c r="J1180" s="116"/>
      <c r="K1180" s="116"/>
      <c r="L1180" s="116"/>
      <c r="M1180" s="116"/>
      <c r="N1180" s="116"/>
      <c r="O1180" s="116"/>
    </row>
    <row r="1181" spans="1:15" x14ac:dyDescent="0.35">
      <c r="A1181" s="116"/>
      <c r="B1181" s="116"/>
      <c r="C1181" s="116"/>
      <c r="D1181" s="116"/>
      <c r="E1181" s="116"/>
      <c r="F1181" s="116"/>
      <c r="G1181" s="136"/>
      <c r="H1181" s="116"/>
      <c r="I1181" s="116"/>
      <c r="J1181" s="116"/>
      <c r="K1181" s="116"/>
      <c r="L1181" s="116"/>
      <c r="M1181" s="116"/>
      <c r="N1181" s="116"/>
      <c r="O1181" s="116"/>
    </row>
    <row r="1182" spans="1:15" x14ac:dyDescent="0.35">
      <c r="A1182" s="116"/>
      <c r="B1182" s="116"/>
      <c r="C1182" s="116"/>
      <c r="D1182" s="116"/>
      <c r="E1182" s="116"/>
      <c r="F1182" s="116"/>
      <c r="G1182" s="136"/>
      <c r="H1182" s="116"/>
      <c r="I1182" s="116"/>
      <c r="J1182" s="116"/>
      <c r="K1182" s="116"/>
      <c r="L1182" s="116"/>
      <c r="M1182" s="116"/>
    </row>
    <row r="1183" spans="1:15" x14ac:dyDescent="0.35">
      <c r="A1183" s="116"/>
      <c r="B1183" s="116"/>
      <c r="C1183" s="116"/>
      <c r="D1183" s="116"/>
      <c r="E1183" s="116"/>
      <c r="F1183" s="116"/>
      <c r="G1183" s="136"/>
      <c r="H1183" s="116"/>
      <c r="I1183" s="116"/>
      <c r="J1183" s="116"/>
      <c r="K1183" s="116"/>
      <c r="L1183" s="116"/>
      <c r="M1183" s="116"/>
      <c r="N1183" s="31"/>
      <c r="O1183" s="31"/>
    </row>
    <row r="1184" spans="1:15" x14ac:dyDescent="0.35">
      <c r="A1184" s="116"/>
      <c r="B1184" s="116"/>
      <c r="C1184" s="116"/>
      <c r="D1184" s="116"/>
      <c r="E1184" s="116"/>
      <c r="F1184" s="116"/>
      <c r="G1184" s="136"/>
      <c r="H1184" s="116"/>
      <c r="I1184" s="116"/>
      <c r="J1184" s="116"/>
      <c r="K1184" s="116"/>
      <c r="L1184" s="116"/>
      <c r="M1184" s="116"/>
    </row>
    <row r="1185" spans="1:15" x14ac:dyDescent="0.35">
      <c r="A1185" s="116"/>
      <c r="B1185" s="116"/>
      <c r="C1185" s="116"/>
      <c r="D1185" s="116"/>
      <c r="E1185" s="116"/>
      <c r="F1185" s="116"/>
      <c r="G1185" s="136"/>
      <c r="H1185" s="116"/>
      <c r="I1185" s="116"/>
      <c r="J1185" s="116"/>
      <c r="K1185" s="116"/>
      <c r="L1185" s="116"/>
      <c r="M1185" s="116"/>
    </row>
    <row r="1186" spans="1:15" x14ac:dyDescent="0.35">
      <c r="A1186" s="116"/>
      <c r="B1186" s="116"/>
      <c r="C1186" s="116"/>
      <c r="D1186" s="116"/>
      <c r="E1186" s="116"/>
      <c r="F1186" s="116"/>
      <c r="G1186" s="136"/>
      <c r="H1186" s="116"/>
      <c r="I1186" s="116"/>
      <c r="J1186" s="116"/>
      <c r="K1186" s="116"/>
      <c r="L1186" s="116"/>
      <c r="M1186" s="116"/>
      <c r="N1186" s="116"/>
      <c r="O1186" s="116"/>
    </row>
    <row r="1187" spans="1:15" x14ac:dyDescent="0.35">
      <c r="A1187" s="116"/>
      <c r="B1187" s="116"/>
      <c r="C1187" s="116"/>
      <c r="D1187" s="116"/>
      <c r="E1187" s="116"/>
      <c r="F1187" s="116"/>
      <c r="G1187" s="136"/>
      <c r="H1187" s="116"/>
      <c r="I1187" s="116"/>
      <c r="J1187" s="116"/>
      <c r="K1187" s="116"/>
      <c r="L1187" s="116"/>
      <c r="M1187" s="116"/>
      <c r="N1187" s="31"/>
      <c r="O1187" s="31"/>
    </row>
    <row r="1188" spans="1:15" x14ac:dyDescent="0.35">
      <c r="A1188" s="116"/>
      <c r="B1188" s="116"/>
      <c r="C1188" s="116"/>
      <c r="D1188" s="116"/>
      <c r="E1188" s="116"/>
      <c r="F1188" s="116"/>
      <c r="G1188" s="136"/>
      <c r="H1188" s="116"/>
      <c r="I1188" s="116"/>
      <c r="J1188" s="116"/>
      <c r="K1188" s="116"/>
      <c r="L1188" s="116"/>
      <c r="M1188" s="116"/>
      <c r="N1188" s="31"/>
      <c r="O1188" s="31"/>
    </row>
    <row r="1189" spans="1:15" x14ac:dyDescent="0.35">
      <c r="A1189" s="116"/>
      <c r="B1189" s="116"/>
      <c r="C1189" s="116"/>
      <c r="D1189" s="116"/>
      <c r="E1189" s="116"/>
      <c r="F1189" s="116"/>
      <c r="G1189" s="136"/>
      <c r="H1189" s="116"/>
      <c r="I1189" s="116"/>
      <c r="J1189" s="116"/>
      <c r="K1189" s="116"/>
      <c r="L1189" s="116"/>
      <c r="M1189" s="116"/>
      <c r="N1189" s="31"/>
      <c r="O1189" s="31"/>
    </row>
    <row r="1190" spans="1:15" x14ac:dyDescent="0.35">
      <c r="A1190" s="116"/>
      <c r="B1190" s="116"/>
      <c r="C1190" s="116"/>
      <c r="D1190" s="116"/>
      <c r="E1190" s="116"/>
      <c r="F1190" s="116"/>
      <c r="G1190" s="136"/>
      <c r="H1190" s="116"/>
      <c r="I1190" s="116"/>
      <c r="J1190" s="116"/>
      <c r="K1190" s="116"/>
      <c r="L1190" s="116"/>
      <c r="M1190" s="116"/>
      <c r="N1190" s="116"/>
      <c r="O1190" s="116"/>
    </row>
    <row r="1191" spans="1:15" x14ac:dyDescent="0.35">
      <c r="A1191" s="116"/>
      <c r="B1191" s="116"/>
      <c r="C1191" s="116"/>
      <c r="D1191" s="116"/>
      <c r="E1191" s="116"/>
      <c r="F1191" s="116"/>
      <c r="G1191" s="136"/>
      <c r="H1191" s="116"/>
      <c r="I1191" s="116"/>
      <c r="J1191" s="116"/>
      <c r="K1191" s="116"/>
      <c r="L1191" s="116"/>
      <c r="M1191" s="116"/>
    </row>
    <row r="1192" spans="1:15" x14ac:dyDescent="0.35">
      <c r="A1192" s="116"/>
      <c r="B1192" s="116"/>
      <c r="C1192" s="116"/>
      <c r="D1192" s="116"/>
      <c r="E1192" s="116"/>
      <c r="F1192" s="116"/>
      <c r="G1192" s="136"/>
      <c r="H1192" s="116"/>
      <c r="I1192" s="116"/>
      <c r="J1192" s="116"/>
      <c r="K1192" s="116"/>
      <c r="L1192" s="116"/>
      <c r="M1192" s="116"/>
      <c r="N1192" s="116"/>
      <c r="O1192" s="116"/>
    </row>
    <row r="1193" spans="1:15" x14ac:dyDescent="0.35">
      <c r="A1193" s="116"/>
      <c r="B1193" s="116"/>
      <c r="C1193" s="116"/>
      <c r="D1193" s="116"/>
      <c r="E1193" s="116"/>
      <c r="F1193" s="116"/>
      <c r="G1193" s="136"/>
      <c r="H1193" s="116"/>
      <c r="I1193" s="116"/>
      <c r="J1193" s="116"/>
      <c r="K1193" s="116"/>
      <c r="L1193" s="116"/>
      <c r="M1193" s="116"/>
    </row>
    <row r="1194" spans="1:15" x14ac:dyDescent="0.35">
      <c r="A1194" s="116"/>
      <c r="B1194" s="116"/>
      <c r="C1194" s="116"/>
      <c r="D1194" s="116"/>
      <c r="E1194" s="116"/>
      <c r="F1194" s="116"/>
      <c r="G1194" s="136"/>
      <c r="H1194" s="116"/>
      <c r="I1194" s="116"/>
      <c r="J1194" s="116"/>
      <c r="K1194" s="116"/>
      <c r="L1194" s="116"/>
      <c r="M1194" s="116"/>
    </row>
    <row r="1195" spans="1:15" x14ac:dyDescent="0.35">
      <c r="A1195" s="116"/>
      <c r="B1195" s="116"/>
      <c r="C1195" s="116"/>
      <c r="D1195" s="116"/>
      <c r="E1195" s="116"/>
      <c r="F1195" s="116"/>
      <c r="G1195" s="136"/>
      <c r="H1195" s="116"/>
      <c r="I1195" s="116"/>
      <c r="J1195" s="116"/>
      <c r="K1195" s="116"/>
      <c r="L1195" s="116"/>
      <c r="M1195" s="116"/>
      <c r="N1195" s="116"/>
      <c r="O1195" s="116"/>
    </row>
    <row r="1196" spans="1:15" x14ac:dyDescent="0.35">
      <c r="A1196" s="116"/>
      <c r="B1196" s="116"/>
      <c r="C1196" s="116"/>
      <c r="D1196" s="116"/>
      <c r="E1196" s="116"/>
      <c r="F1196" s="116"/>
      <c r="G1196" s="136"/>
      <c r="H1196" s="116"/>
      <c r="I1196" s="116"/>
      <c r="J1196" s="116"/>
      <c r="K1196" s="116"/>
      <c r="L1196" s="116"/>
      <c r="M1196" s="116"/>
    </row>
    <row r="1197" spans="1:15" x14ac:dyDescent="0.35">
      <c r="A1197" s="116"/>
      <c r="B1197" s="116"/>
      <c r="C1197" s="116"/>
      <c r="D1197" s="116"/>
      <c r="E1197" s="116"/>
      <c r="F1197" s="116"/>
      <c r="G1197" s="136"/>
      <c r="H1197" s="116"/>
      <c r="I1197" s="116"/>
      <c r="J1197" s="116"/>
      <c r="K1197" s="116"/>
      <c r="L1197" s="116"/>
      <c r="M1197" s="116"/>
      <c r="N1197" s="31"/>
      <c r="O1197" s="31"/>
    </row>
    <row r="1198" spans="1:15" x14ac:dyDescent="0.35">
      <c r="A1198" s="116"/>
      <c r="B1198" s="116"/>
      <c r="C1198" s="116"/>
      <c r="D1198" s="116"/>
      <c r="E1198" s="116"/>
      <c r="F1198" s="116"/>
      <c r="G1198" s="136"/>
      <c r="H1198" s="116"/>
      <c r="I1198" s="116"/>
      <c r="J1198" s="116"/>
      <c r="K1198" s="116"/>
      <c r="L1198" s="116"/>
      <c r="M1198" s="116"/>
    </row>
    <row r="1199" spans="1:15" x14ac:dyDescent="0.35">
      <c r="A1199" s="116"/>
      <c r="B1199" s="116"/>
      <c r="C1199" s="116"/>
      <c r="D1199" s="116"/>
      <c r="E1199" s="116"/>
      <c r="F1199" s="116"/>
      <c r="G1199" s="136"/>
      <c r="H1199" s="116"/>
      <c r="I1199" s="116"/>
      <c r="J1199" s="116"/>
      <c r="K1199" s="116"/>
      <c r="L1199" s="116"/>
      <c r="M1199" s="116"/>
    </row>
    <row r="1200" spans="1:15" x14ac:dyDescent="0.35">
      <c r="A1200" s="116"/>
      <c r="B1200" s="116"/>
      <c r="C1200" s="116"/>
      <c r="D1200" s="116"/>
      <c r="E1200" s="116"/>
      <c r="F1200" s="116"/>
      <c r="G1200" s="136"/>
      <c r="H1200" s="116"/>
      <c r="I1200" s="116"/>
      <c r="J1200" s="116"/>
      <c r="K1200" s="116"/>
      <c r="L1200" s="116"/>
      <c r="M1200" s="116"/>
    </row>
    <row r="1201" spans="1:15" x14ac:dyDescent="0.35">
      <c r="A1201" s="116"/>
      <c r="B1201" s="116"/>
      <c r="C1201" s="116"/>
      <c r="D1201" s="116"/>
      <c r="E1201" s="116"/>
      <c r="F1201" s="116"/>
      <c r="G1201" s="136"/>
      <c r="H1201" s="116"/>
      <c r="I1201" s="116"/>
      <c r="J1201" s="116"/>
      <c r="K1201" s="116"/>
      <c r="L1201" s="116"/>
      <c r="M1201" s="116"/>
    </row>
    <row r="1202" spans="1:15" x14ac:dyDescent="0.35">
      <c r="A1202" s="116"/>
      <c r="B1202" s="116"/>
      <c r="C1202" s="116"/>
      <c r="D1202" s="116"/>
      <c r="E1202" s="116"/>
      <c r="F1202" s="116"/>
      <c r="G1202" s="136"/>
      <c r="H1202" s="116"/>
      <c r="I1202" s="116"/>
      <c r="J1202" s="116"/>
      <c r="K1202" s="116"/>
      <c r="L1202" s="116"/>
      <c r="M1202" s="116"/>
    </row>
    <row r="1203" spans="1:15" x14ac:dyDescent="0.35">
      <c r="A1203" s="116"/>
      <c r="B1203" s="116"/>
      <c r="C1203" s="116"/>
      <c r="D1203" s="116"/>
      <c r="E1203" s="116"/>
      <c r="F1203" s="116"/>
      <c r="G1203" s="136"/>
      <c r="H1203" s="116"/>
      <c r="I1203" s="116"/>
      <c r="J1203" s="116"/>
      <c r="K1203" s="116"/>
      <c r="L1203" s="116"/>
      <c r="M1203" s="116"/>
    </row>
    <row r="1204" spans="1:15" x14ac:dyDescent="0.35">
      <c r="A1204" s="116"/>
      <c r="B1204" s="116"/>
      <c r="C1204" s="116"/>
      <c r="D1204" s="116"/>
      <c r="E1204" s="116"/>
      <c r="F1204" s="116"/>
      <c r="G1204" s="136"/>
      <c r="H1204" s="116"/>
      <c r="I1204" s="116"/>
      <c r="J1204" s="116"/>
      <c r="K1204" s="116"/>
      <c r="L1204" s="116"/>
      <c r="M1204" s="116"/>
      <c r="N1204" s="31"/>
      <c r="O1204" s="31"/>
    </row>
    <row r="1205" spans="1:15" x14ac:dyDescent="0.35">
      <c r="A1205" s="116"/>
      <c r="B1205" s="116"/>
      <c r="C1205" s="116"/>
      <c r="D1205" s="116"/>
      <c r="E1205" s="116"/>
      <c r="F1205" s="116"/>
      <c r="G1205" s="136"/>
      <c r="H1205" s="116"/>
      <c r="I1205" s="116"/>
      <c r="J1205" s="116"/>
      <c r="K1205" s="116"/>
      <c r="L1205" s="116"/>
      <c r="M1205" s="116"/>
      <c r="N1205" s="31"/>
      <c r="O1205" s="31"/>
    </row>
    <row r="1206" spans="1:15" x14ac:dyDescent="0.35">
      <c r="A1206" s="116"/>
      <c r="B1206" s="116"/>
      <c r="C1206" s="116"/>
      <c r="D1206" s="116"/>
      <c r="E1206" s="116"/>
      <c r="F1206" s="116"/>
      <c r="G1206" s="136"/>
      <c r="H1206" s="116"/>
      <c r="I1206" s="116"/>
      <c r="J1206" s="116"/>
      <c r="K1206" s="116"/>
      <c r="L1206" s="116"/>
      <c r="M1206" s="116"/>
    </row>
    <row r="1207" spans="1:15" x14ac:dyDescent="0.35">
      <c r="A1207" s="116"/>
      <c r="B1207" s="116"/>
      <c r="C1207" s="116"/>
      <c r="D1207" s="116"/>
      <c r="E1207" s="116"/>
      <c r="F1207" s="116"/>
      <c r="G1207" s="136"/>
      <c r="H1207" s="116"/>
      <c r="I1207" s="116"/>
      <c r="J1207" s="116"/>
      <c r="K1207" s="116"/>
      <c r="L1207" s="116"/>
      <c r="M1207" s="116"/>
    </row>
    <row r="1208" spans="1:15" x14ac:dyDescent="0.35">
      <c r="A1208" s="116"/>
      <c r="B1208" s="116"/>
      <c r="C1208" s="116"/>
      <c r="D1208" s="116"/>
      <c r="E1208" s="116"/>
      <c r="F1208" s="116"/>
      <c r="G1208" s="136"/>
      <c r="H1208" s="116"/>
      <c r="I1208" s="116"/>
      <c r="J1208" s="116"/>
      <c r="K1208" s="116"/>
      <c r="L1208" s="116"/>
      <c r="M1208" s="116"/>
    </row>
    <row r="1209" spans="1:15" x14ac:dyDescent="0.35">
      <c r="A1209" s="116"/>
      <c r="B1209" s="116"/>
      <c r="C1209" s="116"/>
      <c r="D1209" s="116"/>
      <c r="E1209" s="116"/>
      <c r="F1209" s="116"/>
      <c r="G1209" s="136"/>
      <c r="H1209" s="116"/>
      <c r="I1209" s="116"/>
      <c r="J1209" s="116"/>
      <c r="K1209" s="116"/>
      <c r="L1209" s="116"/>
      <c r="M1209" s="116"/>
    </row>
    <row r="1210" spans="1:15" x14ac:dyDescent="0.35">
      <c r="A1210" s="116"/>
      <c r="B1210" s="116"/>
      <c r="C1210" s="116"/>
      <c r="D1210" s="116"/>
      <c r="E1210" s="116"/>
      <c r="F1210" s="116"/>
      <c r="G1210" s="136"/>
      <c r="H1210" s="116"/>
      <c r="I1210" s="116"/>
      <c r="J1210" s="116"/>
      <c r="K1210" s="116"/>
      <c r="L1210" s="116"/>
      <c r="M1210" s="116"/>
    </row>
    <row r="1211" spans="1:15" x14ac:dyDescent="0.35">
      <c r="A1211" s="116"/>
      <c r="B1211" s="116"/>
      <c r="C1211" s="116"/>
      <c r="D1211" s="116"/>
      <c r="E1211" s="116"/>
      <c r="F1211" s="116"/>
      <c r="G1211" s="136"/>
      <c r="H1211" s="116"/>
      <c r="I1211" s="116"/>
      <c r="J1211" s="116"/>
      <c r="K1211" s="116"/>
      <c r="L1211" s="116"/>
      <c r="M1211" s="116"/>
      <c r="N1211" s="31"/>
      <c r="O1211" s="31"/>
    </row>
    <row r="1212" spans="1:15" x14ac:dyDescent="0.35">
      <c r="A1212" s="116"/>
      <c r="B1212" s="116"/>
      <c r="C1212" s="116"/>
      <c r="D1212" s="116"/>
      <c r="E1212" s="116"/>
      <c r="F1212" s="116"/>
      <c r="G1212" s="136"/>
      <c r="H1212" s="116"/>
      <c r="I1212" s="116"/>
      <c r="J1212" s="116"/>
      <c r="K1212" s="116"/>
      <c r="L1212" s="116"/>
      <c r="M1212" s="116"/>
      <c r="N1212" s="116"/>
      <c r="O1212" s="116"/>
    </row>
    <row r="1213" spans="1:15" x14ac:dyDescent="0.35">
      <c r="A1213" s="116"/>
      <c r="B1213" s="116"/>
      <c r="C1213" s="116"/>
      <c r="D1213" s="116"/>
      <c r="E1213" s="116"/>
      <c r="F1213" s="116"/>
      <c r="G1213" s="136"/>
      <c r="H1213" s="116"/>
      <c r="I1213" s="116"/>
      <c r="J1213" s="116"/>
      <c r="K1213" s="116"/>
      <c r="L1213" s="116"/>
      <c r="M1213" s="116"/>
    </row>
    <row r="1214" spans="1:15" x14ac:dyDescent="0.35">
      <c r="A1214" s="116"/>
      <c r="B1214" s="116"/>
      <c r="C1214" s="116"/>
      <c r="D1214" s="116"/>
      <c r="E1214" s="116"/>
      <c r="F1214" s="116"/>
      <c r="G1214" s="136"/>
      <c r="H1214" s="116"/>
      <c r="I1214" s="116"/>
      <c r="J1214" s="116"/>
      <c r="K1214" s="116"/>
      <c r="L1214" s="116"/>
      <c r="M1214" s="116"/>
    </row>
    <row r="1215" spans="1:15" x14ac:dyDescent="0.35">
      <c r="A1215" s="116"/>
      <c r="B1215" s="116"/>
      <c r="C1215" s="116"/>
      <c r="D1215" s="116"/>
      <c r="E1215" s="116"/>
      <c r="F1215" s="116"/>
      <c r="G1215" s="136"/>
      <c r="H1215" s="116"/>
      <c r="I1215" s="116"/>
      <c r="J1215" s="116"/>
      <c r="K1215" s="116"/>
      <c r="L1215" s="116"/>
      <c r="M1215" s="116"/>
    </row>
    <row r="1216" spans="1:15" x14ac:dyDescent="0.35">
      <c r="A1216" s="116"/>
      <c r="B1216" s="116"/>
      <c r="C1216" s="116"/>
      <c r="D1216" s="116"/>
      <c r="E1216" s="116"/>
      <c r="F1216" s="116"/>
      <c r="G1216" s="136"/>
      <c r="H1216" s="116"/>
      <c r="I1216" s="116"/>
      <c r="J1216" s="116"/>
      <c r="K1216" s="116"/>
      <c r="L1216" s="116"/>
      <c r="M1216" s="116"/>
      <c r="N1216" s="31"/>
      <c r="O1216" s="31"/>
    </row>
    <row r="1217" spans="1:15" x14ac:dyDescent="0.35">
      <c r="A1217" s="116"/>
      <c r="B1217" s="116"/>
      <c r="C1217" s="116"/>
      <c r="D1217" s="116"/>
      <c r="E1217" s="116"/>
      <c r="F1217" s="116"/>
      <c r="G1217" s="136"/>
      <c r="H1217" s="116"/>
      <c r="I1217" s="116"/>
      <c r="J1217" s="116"/>
      <c r="K1217" s="116"/>
      <c r="L1217" s="116"/>
      <c r="M1217" s="116"/>
    </row>
    <row r="1218" spans="1:15" x14ac:dyDescent="0.35">
      <c r="A1218" s="116"/>
      <c r="B1218" s="116"/>
      <c r="C1218" s="116"/>
      <c r="D1218" s="116"/>
      <c r="E1218" s="116"/>
      <c r="F1218" s="116"/>
      <c r="G1218" s="136"/>
      <c r="H1218" s="116"/>
      <c r="I1218" s="116"/>
      <c r="J1218" s="116"/>
      <c r="K1218" s="116"/>
      <c r="L1218" s="116"/>
      <c r="M1218" s="116"/>
    </row>
    <row r="1219" spans="1:15" x14ac:dyDescent="0.35">
      <c r="A1219" s="116"/>
      <c r="B1219" s="116"/>
      <c r="C1219" s="116"/>
      <c r="D1219" s="116"/>
      <c r="E1219" s="116"/>
      <c r="F1219" s="116"/>
      <c r="G1219" s="136"/>
      <c r="H1219" s="116"/>
      <c r="I1219" s="116"/>
      <c r="J1219" s="116"/>
      <c r="K1219" s="116"/>
      <c r="L1219" s="116"/>
      <c r="M1219" s="116"/>
    </row>
    <row r="1220" spans="1:15" x14ac:dyDescent="0.35">
      <c r="A1220" s="116"/>
      <c r="B1220" s="116"/>
      <c r="C1220" s="116"/>
      <c r="D1220" s="116"/>
      <c r="E1220" s="116"/>
      <c r="F1220" s="116"/>
      <c r="G1220" s="136"/>
      <c r="H1220" s="116"/>
      <c r="I1220" s="116"/>
      <c r="J1220" s="116"/>
      <c r="K1220" s="116"/>
      <c r="L1220" s="116"/>
      <c r="M1220" s="116"/>
    </row>
    <row r="1221" spans="1:15" x14ac:dyDescent="0.35">
      <c r="A1221" s="116"/>
      <c r="B1221" s="116"/>
      <c r="C1221" s="116"/>
      <c r="D1221" s="116"/>
      <c r="E1221" s="116"/>
      <c r="F1221" s="116"/>
      <c r="G1221" s="136"/>
      <c r="H1221" s="116"/>
      <c r="I1221" s="116"/>
      <c r="J1221" s="116"/>
      <c r="K1221" s="116"/>
      <c r="L1221" s="116"/>
      <c r="M1221" s="116"/>
      <c r="N1221" s="116"/>
      <c r="O1221" s="116"/>
    </row>
    <row r="1222" spans="1:15" x14ac:dyDescent="0.35">
      <c r="A1222" s="116"/>
      <c r="B1222" s="116"/>
      <c r="C1222" s="116"/>
      <c r="D1222" s="116"/>
      <c r="E1222" s="116"/>
      <c r="F1222" s="116"/>
      <c r="G1222" s="136"/>
      <c r="H1222" s="116"/>
      <c r="I1222" s="116"/>
      <c r="J1222" s="116"/>
      <c r="K1222" s="116"/>
      <c r="L1222" s="116"/>
      <c r="M1222" s="116"/>
      <c r="N1222" s="116"/>
      <c r="O1222" s="116"/>
    </row>
    <row r="1223" spans="1:15" x14ac:dyDescent="0.35">
      <c r="A1223" s="116"/>
      <c r="B1223" s="116"/>
      <c r="C1223" s="116"/>
      <c r="D1223" s="116"/>
      <c r="E1223" s="116"/>
      <c r="F1223" s="116"/>
      <c r="G1223" s="136"/>
      <c r="H1223" s="116"/>
      <c r="I1223" s="116"/>
      <c r="J1223" s="116"/>
      <c r="K1223" s="116"/>
      <c r="L1223" s="116"/>
      <c r="M1223" s="116"/>
      <c r="N1223" s="31"/>
      <c r="O1223" s="31"/>
    </row>
    <row r="1224" spans="1:15" x14ac:dyDescent="0.35">
      <c r="A1224" s="116"/>
      <c r="B1224" s="116"/>
      <c r="C1224" s="116"/>
      <c r="D1224" s="116"/>
      <c r="E1224" s="116"/>
      <c r="F1224" s="116"/>
      <c r="G1224" s="136"/>
      <c r="H1224" s="116"/>
      <c r="I1224" s="116"/>
      <c r="J1224" s="116"/>
      <c r="K1224" s="116"/>
      <c r="L1224" s="116"/>
      <c r="M1224" s="116"/>
      <c r="N1224" s="116"/>
      <c r="O1224" s="116"/>
    </row>
    <row r="1225" spans="1:15" x14ac:dyDescent="0.35">
      <c r="A1225" s="116"/>
      <c r="B1225" s="116"/>
      <c r="C1225" s="116"/>
      <c r="D1225" s="116"/>
      <c r="E1225" s="116"/>
      <c r="F1225" s="116"/>
      <c r="G1225" s="136"/>
      <c r="H1225" s="116"/>
      <c r="I1225" s="116"/>
      <c r="J1225" s="116"/>
      <c r="K1225" s="116"/>
      <c r="L1225" s="116"/>
      <c r="M1225" s="116"/>
      <c r="N1225" s="116"/>
      <c r="O1225" s="116"/>
    </row>
    <row r="1226" spans="1:15" x14ac:dyDescent="0.35">
      <c r="A1226" s="116"/>
      <c r="B1226" s="116"/>
      <c r="C1226" s="116"/>
      <c r="D1226" s="116"/>
      <c r="E1226" s="116"/>
      <c r="F1226" s="116"/>
      <c r="G1226" s="136"/>
      <c r="H1226" s="116"/>
      <c r="I1226" s="116"/>
      <c r="J1226" s="116"/>
      <c r="K1226" s="116"/>
      <c r="L1226" s="116"/>
      <c r="M1226" s="116"/>
      <c r="N1226" s="116"/>
      <c r="O1226" s="116"/>
    </row>
    <row r="1227" spans="1:15" x14ac:dyDescent="0.35">
      <c r="A1227" s="116"/>
      <c r="B1227" s="116"/>
      <c r="C1227" s="116"/>
      <c r="D1227" s="116"/>
      <c r="E1227" s="116"/>
      <c r="F1227" s="116"/>
      <c r="G1227" s="136"/>
      <c r="H1227" s="116"/>
      <c r="I1227" s="116"/>
      <c r="J1227" s="116"/>
      <c r="K1227" s="116"/>
      <c r="L1227" s="116"/>
      <c r="M1227" s="116"/>
      <c r="N1227" s="116"/>
      <c r="O1227" s="116"/>
    </row>
    <row r="1228" spans="1:15" x14ac:dyDescent="0.35">
      <c r="A1228" s="116"/>
      <c r="B1228" s="116"/>
      <c r="C1228" s="116"/>
      <c r="D1228" s="116"/>
      <c r="E1228" s="116"/>
      <c r="F1228" s="116"/>
      <c r="G1228" s="136"/>
      <c r="H1228" s="116"/>
      <c r="I1228" s="116"/>
      <c r="J1228" s="116"/>
      <c r="K1228" s="116"/>
      <c r="L1228" s="116"/>
      <c r="M1228" s="116"/>
      <c r="N1228" s="116"/>
      <c r="O1228" s="116"/>
    </row>
    <row r="1229" spans="1:15" x14ac:dyDescent="0.35">
      <c r="A1229" s="116"/>
      <c r="B1229" s="116"/>
      <c r="C1229" s="116"/>
      <c r="D1229" s="116"/>
      <c r="E1229" s="116"/>
      <c r="F1229" s="116"/>
      <c r="G1229" s="136"/>
      <c r="H1229" s="116"/>
      <c r="I1229" s="116"/>
      <c r="J1229" s="116"/>
      <c r="K1229" s="116"/>
      <c r="L1229" s="116"/>
      <c r="M1229" s="116"/>
      <c r="N1229" s="116"/>
      <c r="O1229" s="116"/>
    </row>
    <row r="1230" spans="1:15" x14ac:dyDescent="0.35">
      <c r="A1230" s="116"/>
      <c r="B1230" s="116"/>
      <c r="C1230" s="116"/>
      <c r="D1230" s="116"/>
      <c r="E1230" s="116"/>
      <c r="F1230" s="116"/>
      <c r="G1230" s="136"/>
      <c r="H1230" s="116"/>
      <c r="I1230" s="116"/>
      <c r="J1230" s="116"/>
      <c r="K1230" s="116"/>
      <c r="L1230" s="116"/>
      <c r="M1230" s="116"/>
      <c r="N1230" s="116"/>
      <c r="O1230" s="116"/>
    </row>
    <row r="1231" spans="1:15" x14ac:dyDescent="0.35">
      <c r="A1231" s="116"/>
      <c r="B1231" s="116"/>
      <c r="C1231" s="116"/>
      <c r="D1231" s="116"/>
      <c r="E1231" s="116"/>
      <c r="F1231" s="116"/>
      <c r="G1231" s="136"/>
      <c r="H1231" s="116"/>
      <c r="I1231" s="116"/>
      <c r="J1231" s="116"/>
      <c r="K1231" s="116"/>
      <c r="L1231" s="116"/>
      <c r="M1231" s="116"/>
    </row>
    <row r="1232" spans="1:15" x14ac:dyDescent="0.35">
      <c r="A1232" s="116"/>
      <c r="B1232" s="116"/>
      <c r="C1232" s="116"/>
      <c r="D1232" s="116"/>
      <c r="E1232" s="116"/>
      <c r="F1232" s="116"/>
      <c r="G1232" s="136"/>
      <c r="H1232" s="116"/>
      <c r="I1232" s="116"/>
      <c r="J1232" s="116"/>
      <c r="K1232" s="116"/>
      <c r="L1232" s="116"/>
      <c r="M1232" s="116"/>
      <c r="N1232" s="116"/>
      <c r="O1232" s="116"/>
    </row>
    <row r="1233" spans="1:15" x14ac:dyDescent="0.35">
      <c r="A1233" s="116"/>
      <c r="B1233" s="116"/>
      <c r="C1233" s="116"/>
      <c r="D1233" s="116"/>
      <c r="E1233" s="116"/>
      <c r="F1233" s="116"/>
      <c r="G1233" s="136"/>
      <c r="H1233" s="116"/>
      <c r="I1233" s="116"/>
      <c r="J1233" s="116"/>
      <c r="K1233" s="116"/>
      <c r="L1233" s="116"/>
      <c r="M1233" s="116"/>
      <c r="N1233" s="116"/>
      <c r="O1233" s="116"/>
    </row>
    <row r="1234" spans="1:15" x14ac:dyDescent="0.35">
      <c r="A1234" s="116"/>
      <c r="B1234" s="116"/>
      <c r="C1234" s="116"/>
      <c r="D1234" s="116"/>
      <c r="E1234" s="116"/>
      <c r="F1234" s="116"/>
      <c r="G1234" s="136"/>
      <c r="H1234" s="116"/>
      <c r="I1234" s="116"/>
      <c r="J1234" s="116"/>
      <c r="K1234" s="116"/>
      <c r="L1234" s="116"/>
      <c r="M1234" s="116"/>
      <c r="N1234" s="116"/>
      <c r="O1234" s="116"/>
    </row>
    <row r="1235" spans="1:15" x14ac:dyDescent="0.35">
      <c r="A1235" s="116"/>
      <c r="B1235" s="116"/>
      <c r="C1235" s="116"/>
      <c r="D1235" s="116"/>
      <c r="E1235" s="116"/>
      <c r="F1235" s="116"/>
      <c r="G1235" s="136"/>
      <c r="H1235" s="116"/>
      <c r="I1235" s="116"/>
      <c r="J1235" s="116"/>
      <c r="K1235" s="116"/>
      <c r="L1235" s="116"/>
      <c r="M1235" s="116"/>
      <c r="N1235" s="116"/>
      <c r="O1235" s="116"/>
    </row>
    <row r="1236" spans="1:15" x14ac:dyDescent="0.35">
      <c r="A1236" s="116"/>
      <c r="B1236" s="116"/>
      <c r="C1236" s="116"/>
      <c r="D1236" s="116"/>
      <c r="E1236" s="116"/>
      <c r="F1236" s="116"/>
      <c r="G1236" s="136"/>
      <c r="H1236" s="116"/>
      <c r="I1236" s="116"/>
      <c r="J1236" s="116"/>
      <c r="K1236" s="116"/>
      <c r="L1236" s="116"/>
      <c r="M1236" s="116"/>
      <c r="N1236" s="31"/>
      <c r="O1236" s="31"/>
    </row>
    <row r="1237" spans="1:15" x14ac:dyDescent="0.35">
      <c r="A1237" s="116"/>
      <c r="B1237" s="116"/>
      <c r="C1237" s="116"/>
      <c r="D1237" s="116"/>
      <c r="E1237" s="116"/>
      <c r="F1237" s="116"/>
      <c r="G1237" s="136"/>
      <c r="H1237" s="116"/>
      <c r="I1237" s="116"/>
      <c r="J1237" s="116"/>
      <c r="K1237" s="116"/>
      <c r="L1237" s="116"/>
      <c r="M1237" s="116"/>
      <c r="N1237" s="31"/>
      <c r="O1237" s="31"/>
    </row>
    <row r="1238" spans="1:15" x14ac:dyDescent="0.35">
      <c r="A1238" s="116"/>
      <c r="B1238" s="116"/>
      <c r="C1238" s="116"/>
      <c r="D1238" s="116"/>
      <c r="E1238" s="116"/>
      <c r="F1238" s="116"/>
      <c r="G1238" s="136"/>
      <c r="H1238" s="116"/>
      <c r="I1238" s="116"/>
      <c r="J1238" s="116"/>
      <c r="K1238" s="116"/>
      <c r="L1238" s="116"/>
      <c r="M1238" s="116"/>
    </row>
    <row r="1239" spans="1:15" x14ac:dyDescent="0.35">
      <c r="A1239" s="116"/>
      <c r="B1239" s="116"/>
      <c r="C1239" s="116"/>
      <c r="D1239" s="116"/>
      <c r="E1239" s="116"/>
      <c r="F1239" s="116"/>
      <c r="G1239" s="136"/>
      <c r="H1239" s="116"/>
      <c r="I1239" s="116"/>
      <c r="J1239" s="116"/>
      <c r="K1239" s="116"/>
      <c r="L1239" s="116"/>
      <c r="M1239" s="116"/>
    </row>
    <row r="1240" spans="1:15" x14ac:dyDescent="0.35">
      <c r="A1240" s="116"/>
      <c r="B1240" s="116"/>
      <c r="C1240" s="116"/>
      <c r="D1240" s="116"/>
      <c r="E1240" s="116"/>
      <c r="F1240" s="116"/>
      <c r="G1240" s="136"/>
      <c r="H1240" s="116"/>
      <c r="I1240" s="116"/>
      <c r="J1240" s="116"/>
      <c r="K1240" s="116"/>
      <c r="L1240" s="116"/>
      <c r="M1240" s="116"/>
    </row>
    <row r="1241" spans="1:15" x14ac:dyDescent="0.35">
      <c r="A1241" s="116"/>
      <c r="B1241" s="116"/>
      <c r="C1241" s="116"/>
      <c r="D1241" s="116"/>
      <c r="E1241" s="116"/>
      <c r="F1241" s="116"/>
      <c r="G1241" s="136"/>
      <c r="H1241" s="116"/>
      <c r="I1241" s="116"/>
      <c r="J1241" s="116"/>
      <c r="K1241" s="116"/>
      <c r="L1241" s="116"/>
      <c r="M1241" s="116"/>
      <c r="N1241" s="116"/>
      <c r="O1241" s="116"/>
    </row>
    <row r="1242" spans="1:15" x14ac:dyDescent="0.35">
      <c r="A1242" s="116"/>
      <c r="B1242" s="116"/>
      <c r="C1242" s="116"/>
      <c r="D1242" s="116"/>
      <c r="E1242" s="116"/>
      <c r="F1242" s="116"/>
      <c r="G1242" s="136"/>
      <c r="H1242" s="116"/>
      <c r="I1242" s="116"/>
      <c r="J1242" s="116"/>
      <c r="K1242" s="116"/>
      <c r="L1242" s="116"/>
      <c r="M1242" s="116"/>
    </row>
    <row r="1243" spans="1:15" x14ac:dyDescent="0.35">
      <c r="A1243" s="116"/>
      <c r="B1243" s="116"/>
      <c r="C1243" s="116"/>
      <c r="D1243" s="116"/>
      <c r="E1243" s="116"/>
      <c r="F1243" s="116"/>
      <c r="G1243" s="136"/>
      <c r="H1243" s="116"/>
      <c r="I1243" s="116"/>
      <c r="J1243" s="116"/>
      <c r="K1243" s="116"/>
      <c r="L1243" s="116"/>
      <c r="M1243" s="116"/>
    </row>
    <row r="1244" spans="1:15" x14ac:dyDescent="0.35">
      <c r="A1244" s="116"/>
      <c r="B1244" s="116"/>
      <c r="C1244" s="116"/>
      <c r="D1244" s="116"/>
      <c r="E1244" s="116"/>
      <c r="F1244" s="116"/>
      <c r="G1244" s="136"/>
      <c r="H1244" s="116"/>
      <c r="I1244" s="116"/>
      <c r="J1244" s="116"/>
      <c r="K1244" s="116"/>
      <c r="L1244" s="116"/>
      <c r="M1244" s="116"/>
    </row>
    <row r="1245" spans="1:15" x14ac:dyDescent="0.35">
      <c r="A1245" s="116"/>
      <c r="B1245" s="116"/>
      <c r="C1245" s="116"/>
      <c r="D1245" s="116"/>
      <c r="E1245" s="116"/>
      <c r="F1245" s="116"/>
      <c r="G1245" s="136"/>
      <c r="H1245" s="116"/>
      <c r="I1245" s="116"/>
      <c r="J1245" s="116"/>
      <c r="K1245" s="116"/>
      <c r="L1245" s="116"/>
      <c r="M1245" s="116"/>
      <c r="N1245" s="116"/>
      <c r="O1245" s="116"/>
    </row>
    <row r="1246" spans="1:15" x14ac:dyDescent="0.35">
      <c r="A1246" s="116"/>
      <c r="B1246" s="116"/>
      <c r="C1246" s="116"/>
      <c r="D1246" s="116"/>
      <c r="E1246" s="116"/>
      <c r="F1246" s="116"/>
      <c r="G1246" s="136"/>
      <c r="H1246" s="116"/>
      <c r="I1246" s="116"/>
      <c r="J1246" s="116"/>
      <c r="K1246" s="116"/>
      <c r="L1246" s="116"/>
      <c r="M1246" s="116"/>
      <c r="N1246" s="116"/>
      <c r="O1246" s="116"/>
    </row>
    <row r="1247" spans="1:15" x14ac:dyDescent="0.35">
      <c r="A1247" s="116"/>
      <c r="B1247" s="116"/>
      <c r="C1247" s="116"/>
      <c r="D1247" s="116"/>
      <c r="E1247" s="116"/>
      <c r="F1247" s="116"/>
      <c r="G1247" s="136"/>
      <c r="H1247" s="116"/>
      <c r="I1247" s="116"/>
      <c r="J1247" s="116"/>
      <c r="K1247" s="116"/>
      <c r="L1247" s="116"/>
      <c r="M1247" s="116"/>
      <c r="N1247" s="116"/>
      <c r="O1247" s="116"/>
    </row>
    <row r="1248" spans="1:15" x14ac:dyDescent="0.35">
      <c r="A1248" s="116"/>
      <c r="B1248" s="116"/>
      <c r="C1248" s="116"/>
      <c r="D1248" s="116"/>
      <c r="E1248" s="116"/>
      <c r="F1248" s="116"/>
      <c r="G1248" s="136"/>
      <c r="H1248" s="116"/>
      <c r="I1248" s="116"/>
      <c r="J1248" s="116"/>
      <c r="K1248" s="116"/>
      <c r="L1248" s="116"/>
      <c r="M1248" s="116"/>
      <c r="N1248" s="116"/>
      <c r="O1248" s="116"/>
    </row>
    <row r="1249" spans="1:15" x14ac:dyDescent="0.35">
      <c r="A1249" s="116"/>
      <c r="B1249" s="116"/>
      <c r="C1249" s="116"/>
      <c r="D1249" s="116"/>
      <c r="E1249" s="116"/>
      <c r="F1249" s="116"/>
      <c r="G1249" s="136"/>
      <c r="H1249" s="116"/>
      <c r="I1249" s="116"/>
      <c r="J1249" s="116"/>
      <c r="K1249" s="116"/>
      <c r="L1249" s="116"/>
      <c r="M1249" s="116"/>
      <c r="N1249" s="116"/>
      <c r="O1249" s="116"/>
    </row>
    <row r="1250" spans="1:15" x14ac:dyDescent="0.35">
      <c r="A1250" s="116"/>
      <c r="B1250" s="116"/>
      <c r="C1250" s="116"/>
      <c r="D1250" s="116"/>
      <c r="E1250" s="116"/>
      <c r="F1250" s="116"/>
      <c r="G1250" s="136"/>
      <c r="H1250" s="116"/>
      <c r="I1250" s="116"/>
      <c r="J1250" s="116"/>
      <c r="K1250" s="116"/>
      <c r="L1250" s="116"/>
      <c r="M1250" s="116"/>
      <c r="N1250" s="116"/>
      <c r="O1250" s="116"/>
    </row>
    <row r="1251" spans="1:15" x14ac:dyDescent="0.35">
      <c r="A1251" s="116"/>
      <c r="B1251" s="116"/>
      <c r="C1251" s="116"/>
      <c r="D1251" s="116"/>
      <c r="E1251" s="116"/>
      <c r="F1251" s="116"/>
      <c r="G1251" s="136"/>
      <c r="H1251" s="116"/>
      <c r="I1251" s="116"/>
      <c r="J1251" s="116"/>
      <c r="K1251" s="116"/>
      <c r="L1251" s="116"/>
      <c r="M1251" s="116"/>
      <c r="N1251" s="116"/>
      <c r="O1251" s="116"/>
    </row>
    <row r="1252" spans="1:15" x14ac:dyDescent="0.35">
      <c r="A1252" s="116"/>
      <c r="B1252" s="116"/>
      <c r="C1252" s="116"/>
      <c r="D1252" s="116"/>
      <c r="E1252" s="116"/>
      <c r="F1252" s="116"/>
      <c r="G1252" s="136"/>
      <c r="H1252" s="116"/>
      <c r="I1252" s="116"/>
      <c r="J1252" s="116"/>
      <c r="K1252" s="116"/>
      <c r="L1252" s="116"/>
      <c r="M1252" s="116"/>
      <c r="N1252" s="116"/>
      <c r="O1252" s="116"/>
    </row>
    <row r="1253" spans="1:15" x14ac:dyDescent="0.35">
      <c r="A1253" s="116"/>
      <c r="B1253" s="116"/>
      <c r="C1253" s="116"/>
      <c r="D1253" s="116"/>
      <c r="E1253" s="116"/>
      <c r="F1253" s="116"/>
      <c r="G1253" s="136"/>
      <c r="H1253" s="116"/>
      <c r="I1253" s="116"/>
      <c r="J1253" s="116"/>
      <c r="K1253" s="116"/>
      <c r="L1253" s="116"/>
      <c r="M1253" s="116"/>
      <c r="N1253" s="116"/>
      <c r="O1253" s="116"/>
    </row>
    <row r="1254" spans="1:15" x14ac:dyDescent="0.35">
      <c r="A1254" s="116"/>
      <c r="B1254" s="116"/>
      <c r="C1254" s="116"/>
      <c r="D1254" s="116"/>
      <c r="E1254" s="116"/>
      <c r="F1254" s="116"/>
      <c r="G1254" s="136"/>
      <c r="H1254" s="116"/>
      <c r="I1254" s="116"/>
      <c r="J1254" s="116"/>
      <c r="K1254" s="116"/>
      <c r="L1254" s="116"/>
      <c r="M1254" s="116"/>
      <c r="N1254" s="116"/>
      <c r="O1254" s="116"/>
    </row>
    <row r="1255" spans="1:15" x14ac:dyDescent="0.35">
      <c r="A1255" s="116"/>
      <c r="B1255" s="116"/>
      <c r="C1255" s="116"/>
      <c r="D1255" s="116"/>
      <c r="E1255" s="116"/>
      <c r="F1255" s="116"/>
      <c r="G1255" s="136"/>
      <c r="H1255" s="116"/>
      <c r="I1255" s="116"/>
      <c r="J1255" s="116"/>
      <c r="K1255" s="116"/>
      <c r="L1255" s="116"/>
      <c r="M1255" s="116"/>
      <c r="N1255" s="116"/>
      <c r="O1255" s="116"/>
    </row>
    <row r="1256" spans="1:15" x14ac:dyDescent="0.35">
      <c r="A1256" s="116"/>
      <c r="B1256" s="116"/>
      <c r="C1256" s="116"/>
      <c r="D1256" s="116"/>
      <c r="E1256" s="116"/>
      <c r="F1256" s="116"/>
      <c r="G1256" s="136"/>
      <c r="H1256" s="116"/>
      <c r="I1256" s="116"/>
      <c r="J1256" s="116"/>
      <c r="K1256" s="116"/>
      <c r="L1256" s="116"/>
      <c r="M1256" s="116"/>
      <c r="N1256" s="116"/>
      <c r="O1256" s="116"/>
    </row>
    <row r="1257" spans="1:15" x14ac:dyDescent="0.35">
      <c r="A1257" s="116"/>
      <c r="B1257" s="116"/>
      <c r="C1257" s="116"/>
      <c r="D1257" s="116"/>
      <c r="E1257" s="116"/>
      <c r="F1257" s="116"/>
      <c r="G1257" s="136"/>
      <c r="H1257" s="116"/>
      <c r="I1257" s="116"/>
      <c r="J1257" s="116"/>
      <c r="K1257" s="116"/>
      <c r="L1257" s="116"/>
      <c r="M1257" s="116"/>
      <c r="N1257" s="31"/>
      <c r="O1257" s="31"/>
    </row>
    <row r="1258" spans="1:15" x14ac:dyDescent="0.35">
      <c r="A1258" s="116"/>
      <c r="B1258" s="116"/>
      <c r="C1258" s="116"/>
      <c r="D1258" s="116"/>
      <c r="E1258" s="116"/>
      <c r="F1258" s="116"/>
      <c r="G1258" s="136"/>
      <c r="H1258" s="116"/>
      <c r="I1258" s="116"/>
      <c r="J1258" s="116"/>
      <c r="K1258" s="116"/>
      <c r="L1258" s="116"/>
      <c r="M1258" s="116"/>
    </row>
    <row r="1259" spans="1:15" x14ac:dyDescent="0.35">
      <c r="A1259" s="116"/>
      <c r="B1259" s="116"/>
      <c r="C1259" s="116"/>
      <c r="D1259" s="116"/>
      <c r="E1259" s="116"/>
      <c r="F1259" s="116"/>
      <c r="G1259" s="136"/>
      <c r="H1259" s="116"/>
      <c r="I1259" s="116"/>
      <c r="J1259" s="116"/>
      <c r="K1259" s="116"/>
      <c r="L1259" s="116"/>
      <c r="M1259" s="116"/>
    </row>
    <row r="1260" spans="1:15" x14ac:dyDescent="0.35">
      <c r="A1260" s="116"/>
      <c r="B1260" s="116"/>
      <c r="C1260" s="116"/>
      <c r="D1260" s="116"/>
      <c r="E1260" s="116"/>
      <c r="F1260" s="116"/>
      <c r="G1260" s="136"/>
      <c r="H1260" s="116"/>
      <c r="I1260" s="116"/>
      <c r="J1260" s="116"/>
      <c r="K1260" s="116"/>
      <c r="L1260" s="116"/>
      <c r="M1260" s="116"/>
    </row>
    <row r="1261" spans="1:15" x14ac:dyDescent="0.35">
      <c r="A1261" s="116"/>
      <c r="B1261" s="116"/>
      <c r="C1261" s="116"/>
      <c r="D1261" s="116"/>
      <c r="E1261" s="116"/>
      <c r="F1261" s="116"/>
      <c r="G1261" s="136"/>
      <c r="H1261" s="116"/>
      <c r="I1261" s="116"/>
      <c r="J1261" s="116"/>
      <c r="K1261" s="116"/>
      <c r="L1261" s="116"/>
      <c r="M1261" s="116"/>
      <c r="N1261" s="116"/>
      <c r="O1261" s="116"/>
    </row>
    <row r="1262" spans="1:15" x14ac:dyDescent="0.35">
      <c r="A1262" s="116"/>
      <c r="B1262" s="116"/>
      <c r="C1262" s="116"/>
      <c r="D1262" s="116"/>
      <c r="E1262" s="116"/>
      <c r="F1262" s="116"/>
      <c r="G1262" s="136"/>
      <c r="H1262" s="116"/>
      <c r="I1262" s="116"/>
      <c r="J1262" s="116"/>
      <c r="K1262" s="116"/>
      <c r="L1262" s="116"/>
      <c r="M1262" s="116"/>
    </row>
    <row r="1263" spans="1:15" x14ac:dyDescent="0.35">
      <c r="A1263" s="116"/>
      <c r="B1263" s="116"/>
      <c r="C1263" s="116"/>
      <c r="D1263" s="116"/>
      <c r="E1263" s="116"/>
      <c r="F1263" s="116"/>
      <c r="G1263" s="136"/>
      <c r="H1263" s="116"/>
      <c r="I1263" s="116"/>
      <c r="J1263" s="116"/>
      <c r="K1263" s="116"/>
      <c r="L1263" s="116"/>
      <c r="M1263" s="116"/>
    </row>
    <row r="1264" spans="1:15" x14ac:dyDescent="0.35">
      <c r="A1264" s="116"/>
      <c r="B1264" s="116"/>
      <c r="C1264" s="116"/>
      <c r="D1264" s="116"/>
      <c r="E1264" s="116"/>
      <c r="F1264" s="116"/>
      <c r="G1264" s="136"/>
      <c r="H1264" s="116"/>
      <c r="I1264" s="116"/>
      <c r="J1264" s="116"/>
      <c r="K1264" s="116"/>
      <c r="L1264" s="116"/>
      <c r="M1264" s="116"/>
    </row>
    <row r="1265" spans="1:15" x14ac:dyDescent="0.35">
      <c r="A1265" s="116"/>
      <c r="B1265" s="116"/>
      <c r="C1265" s="116"/>
      <c r="D1265" s="116"/>
      <c r="E1265" s="116"/>
      <c r="F1265" s="116"/>
      <c r="G1265" s="136"/>
      <c r="H1265" s="116"/>
      <c r="I1265" s="116"/>
      <c r="J1265" s="116"/>
      <c r="K1265" s="116"/>
      <c r="L1265" s="116"/>
      <c r="M1265" s="116"/>
      <c r="N1265" s="31"/>
      <c r="O1265" s="31"/>
    </row>
    <row r="1266" spans="1:15" x14ac:dyDescent="0.35">
      <c r="A1266" s="116"/>
      <c r="B1266" s="116"/>
      <c r="C1266" s="116"/>
      <c r="D1266" s="116"/>
      <c r="E1266" s="116"/>
      <c r="F1266" s="116"/>
      <c r="G1266" s="136"/>
      <c r="H1266" s="116"/>
      <c r="I1266" s="116"/>
      <c r="J1266" s="116"/>
      <c r="K1266" s="116"/>
      <c r="L1266" s="116"/>
      <c r="M1266" s="116"/>
      <c r="N1266" s="116"/>
      <c r="O1266" s="116"/>
    </row>
    <row r="1267" spans="1:15" x14ac:dyDescent="0.35">
      <c r="A1267" s="116"/>
      <c r="B1267" s="116"/>
      <c r="C1267" s="116"/>
      <c r="D1267" s="116"/>
      <c r="E1267" s="116"/>
      <c r="F1267" s="116"/>
      <c r="G1267" s="136"/>
      <c r="H1267" s="116"/>
      <c r="I1267" s="116"/>
      <c r="J1267" s="116"/>
      <c r="K1267" s="116"/>
      <c r="L1267" s="116"/>
      <c r="M1267" s="116"/>
      <c r="N1267" s="116"/>
      <c r="O1267" s="116"/>
    </row>
    <row r="1268" spans="1:15" x14ac:dyDescent="0.35">
      <c r="A1268" s="116"/>
      <c r="B1268" s="116"/>
      <c r="C1268" s="116"/>
      <c r="D1268" s="116"/>
      <c r="E1268" s="116"/>
      <c r="F1268" s="116"/>
      <c r="G1268" s="136"/>
      <c r="H1268" s="116"/>
      <c r="I1268" s="116"/>
      <c r="J1268" s="116"/>
      <c r="K1268" s="116"/>
      <c r="L1268" s="116"/>
      <c r="M1268" s="116"/>
      <c r="N1268" s="116"/>
      <c r="O1268" s="116"/>
    </row>
    <row r="1269" spans="1:15" x14ac:dyDescent="0.35">
      <c r="A1269" s="116"/>
      <c r="B1269" s="116"/>
      <c r="C1269" s="116"/>
      <c r="D1269" s="116"/>
      <c r="E1269" s="116"/>
      <c r="F1269" s="116"/>
      <c r="G1269" s="136"/>
      <c r="H1269" s="116"/>
      <c r="I1269" s="116"/>
      <c r="J1269" s="116"/>
      <c r="K1269" s="116"/>
      <c r="L1269" s="116"/>
      <c r="M1269" s="116"/>
      <c r="N1269" s="116"/>
      <c r="O1269" s="116"/>
    </row>
    <row r="1270" spans="1:15" x14ac:dyDescent="0.35">
      <c r="A1270" s="116"/>
      <c r="B1270" s="116"/>
      <c r="C1270" s="116"/>
      <c r="D1270" s="116"/>
      <c r="E1270" s="116"/>
      <c r="F1270" s="116"/>
      <c r="G1270" s="136"/>
      <c r="H1270" s="116"/>
      <c r="I1270" s="116"/>
      <c r="J1270" s="116"/>
      <c r="K1270" s="116"/>
      <c r="L1270" s="116"/>
      <c r="M1270" s="116"/>
    </row>
    <row r="1271" spans="1:15" x14ac:dyDescent="0.35">
      <c r="A1271" s="116"/>
      <c r="B1271" s="116"/>
      <c r="C1271" s="116"/>
      <c r="D1271" s="116"/>
      <c r="E1271" s="116"/>
      <c r="F1271" s="116"/>
      <c r="G1271" s="136"/>
      <c r="H1271" s="116"/>
      <c r="I1271" s="116"/>
      <c r="J1271" s="116"/>
      <c r="K1271" s="116"/>
      <c r="L1271" s="116"/>
      <c r="M1271" s="116"/>
      <c r="N1271" s="116"/>
      <c r="O1271" s="116"/>
    </row>
    <row r="1272" spans="1:15" x14ac:dyDescent="0.35">
      <c r="A1272" s="116"/>
      <c r="B1272" s="116"/>
      <c r="C1272" s="116"/>
      <c r="D1272" s="116"/>
      <c r="E1272" s="116"/>
      <c r="F1272" s="116"/>
      <c r="G1272" s="136"/>
      <c r="H1272" s="116"/>
      <c r="I1272" s="116"/>
      <c r="J1272" s="116"/>
      <c r="K1272" s="116"/>
      <c r="L1272" s="116"/>
      <c r="M1272" s="116"/>
    </row>
    <row r="1273" spans="1:15" x14ac:dyDescent="0.35">
      <c r="A1273" s="116"/>
      <c r="B1273" s="116"/>
      <c r="C1273" s="116"/>
      <c r="D1273" s="116"/>
      <c r="E1273" s="116"/>
      <c r="F1273" s="116"/>
      <c r="G1273" s="136"/>
      <c r="H1273" s="116"/>
      <c r="I1273" s="116"/>
      <c r="J1273" s="116"/>
      <c r="K1273" s="116"/>
      <c r="L1273" s="116"/>
      <c r="M1273" s="116"/>
    </row>
    <row r="1274" spans="1:15" x14ac:dyDescent="0.35">
      <c r="A1274" s="116"/>
      <c r="B1274" s="116"/>
      <c r="C1274" s="116"/>
      <c r="D1274" s="116"/>
      <c r="E1274" s="116"/>
      <c r="F1274" s="116"/>
      <c r="G1274" s="136"/>
      <c r="H1274" s="116"/>
      <c r="I1274" s="116"/>
      <c r="J1274" s="116"/>
      <c r="K1274" s="116"/>
      <c r="L1274" s="116"/>
      <c r="M1274" s="116"/>
    </row>
    <row r="1275" spans="1:15" x14ac:dyDescent="0.35">
      <c r="A1275" s="116"/>
      <c r="B1275" s="116"/>
      <c r="C1275" s="116"/>
      <c r="D1275" s="116"/>
      <c r="E1275" s="116"/>
      <c r="F1275" s="116"/>
      <c r="G1275" s="136"/>
      <c r="H1275" s="116"/>
      <c r="I1275" s="116"/>
      <c r="J1275" s="116"/>
      <c r="K1275" s="116"/>
      <c r="L1275" s="116"/>
      <c r="M1275" s="116"/>
    </row>
    <row r="1276" spans="1:15" x14ac:dyDescent="0.35">
      <c r="A1276" s="116"/>
      <c r="B1276" s="116"/>
      <c r="C1276" s="116"/>
      <c r="D1276" s="116"/>
      <c r="E1276" s="116"/>
      <c r="F1276" s="116"/>
      <c r="G1276" s="136"/>
      <c r="H1276" s="116"/>
      <c r="I1276" s="116"/>
      <c r="J1276" s="116"/>
      <c r="K1276" s="116"/>
      <c r="L1276" s="116"/>
      <c r="M1276" s="116"/>
    </row>
    <row r="1277" spans="1:15" x14ac:dyDescent="0.35">
      <c r="A1277" s="116"/>
      <c r="B1277" s="116"/>
      <c r="C1277" s="116"/>
      <c r="D1277" s="116"/>
      <c r="E1277" s="116"/>
      <c r="F1277" s="116"/>
      <c r="G1277" s="136"/>
      <c r="H1277" s="116"/>
      <c r="I1277" s="116"/>
      <c r="J1277" s="116"/>
      <c r="K1277" s="116"/>
      <c r="L1277" s="116"/>
      <c r="M1277" s="116"/>
    </row>
    <row r="1278" spans="1:15" x14ac:dyDescent="0.35">
      <c r="A1278" s="116"/>
      <c r="B1278" s="116"/>
      <c r="C1278" s="116"/>
      <c r="D1278" s="116"/>
      <c r="E1278" s="116"/>
      <c r="F1278" s="116"/>
      <c r="G1278" s="136"/>
      <c r="H1278" s="116"/>
      <c r="I1278" s="116"/>
      <c r="J1278" s="116"/>
      <c r="K1278" s="116"/>
      <c r="L1278" s="116"/>
      <c r="M1278" s="116"/>
    </row>
    <row r="1279" spans="1:15" x14ac:dyDescent="0.35">
      <c r="A1279" s="116"/>
      <c r="B1279" s="116"/>
      <c r="C1279" s="116"/>
      <c r="D1279" s="116"/>
      <c r="E1279" s="116"/>
      <c r="F1279" s="116"/>
      <c r="G1279" s="136"/>
      <c r="H1279" s="116"/>
      <c r="I1279" s="116"/>
      <c r="J1279" s="116"/>
      <c r="K1279" s="116"/>
      <c r="L1279" s="116"/>
      <c r="M1279" s="116"/>
    </row>
    <row r="1280" spans="1:15" x14ac:dyDescent="0.35">
      <c r="A1280" s="116"/>
      <c r="B1280" s="116"/>
      <c r="C1280" s="116"/>
      <c r="D1280" s="116"/>
      <c r="E1280" s="116"/>
      <c r="F1280" s="116"/>
      <c r="G1280" s="136"/>
      <c r="H1280" s="116"/>
      <c r="I1280" s="116"/>
      <c r="J1280" s="116"/>
      <c r="K1280" s="116"/>
      <c r="L1280" s="116"/>
      <c r="M1280" s="116"/>
    </row>
    <row r="1281" spans="1:15" x14ac:dyDescent="0.35">
      <c r="A1281" s="116"/>
      <c r="B1281" s="116"/>
      <c r="C1281" s="116"/>
      <c r="D1281" s="116"/>
      <c r="E1281" s="116"/>
      <c r="F1281" s="116"/>
      <c r="G1281" s="136"/>
      <c r="H1281" s="116"/>
      <c r="I1281" s="116"/>
      <c r="J1281" s="116"/>
      <c r="K1281" s="116"/>
      <c r="L1281" s="116"/>
      <c r="M1281" s="116"/>
      <c r="N1281" s="116"/>
      <c r="O1281" s="116"/>
    </row>
    <row r="1282" spans="1:15" x14ac:dyDescent="0.35">
      <c r="A1282" s="116"/>
      <c r="B1282" s="116"/>
      <c r="C1282" s="116"/>
      <c r="D1282" s="116"/>
      <c r="E1282" s="116"/>
      <c r="F1282" s="116"/>
      <c r="G1282" s="136"/>
      <c r="H1282" s="116"/>
      <c r="I1282" s="116"/>
      <c r="J1282" s="116"/>
      <c r="K1282" s="116"/>
      <c r="L1282" s="116"/>
      <c r="M1282" s="116"/>
    </row>
    <row r="1283" spans="1:15" x14ac:dyDescent="0.35">
      <c r="A1283" s="116"/>
      <c r="B1283" s="116"/>
      <c r="C1283" s="116"/>
      <c r="D1283" s="116"/>
      <c r="E1283" s="116"/>
      <c r="F1283" s="116"/>
      <c r="G1283" s="136"/>
      <c r="H1283" s="116"/>
      <c r="I1283" s="116"/>
      <c r="J1283" s="116"/>
      <c r="K1283" s="116"/>
      <c r="L1283" s="116"/>
      <c r="M1283" s="116"/>
    </row>
    <row r="1284" spans="1:15" x14ac:dyDescent="0.35">
      <c r="A1284" s="116"/>
      <c r="B1284" s="116"/>
      <c r="C1284" s="116"/>
      <c r="D1284" s="116"/>
      <c r="E1284" s="116"/>
      <c r="F1284" s="116"/>
      <c r="G1284" s="136"/>
      <c r="H1284" s="116"/>
      <c r="I1284" s="116"/>
      <c r="J1284" s="116"/>
      <c r="K1284" s="116"/>
      <c r="L1284" s="116"/>
      <c r="M1284" s="116"/>
      <c r="N1284" s="116"/>
      <c r="O1284" s="116"/>
    </row>
    <row r="1285" spans="1:15" x14ac:dyDescent="0.35">
      <c r="A1285" s="116"/>
      <c r="B1285" s="116"/>
      <c r="C1285" s="116"/>
      <c r="D1285" s="116"/>
      <c r="E1285" s="116"/>
      <c r="F1285" s="116"/>
      <c r="G1285" s="136"/>
      <c r="H1285" s="116"/>
      <c r="I1285" s="116"/>
      <c r="J1285" s="116"/>
      <c r="K1285" s="116"/>
      <c r="L1285" s="116"/>
      <c r="M1285" s="116"/>
    </row>
    <row r="1286" spans="1:15" x14ac:dyDescent="0.35">
      <c r="A1286" s="116"/>
      <c r="B1286" s="116"/>
      <c r="C1286" s="116"/>
      <c r="D1286" s="116"/>
      <c r="E1286" s="116"/>
      <c r="F1286" s="116"/>
      <c r="G1286" s="136"/>
      <c r="H1286" s="116"/>
      <c r="I1286" s="116"/>
      <c r="J1286" s="116"/>
      <c r="K1286" s="116"/>
      <c r="L1286" s="116"/>
      <c r="M1286" s="116"/>
      <c r="N1286" s="116"/>
      <c r="O1286" s="116"/>
    </row>
    <row r="1287" spans="1:15" x14ac:dyDescent="0.35">
      <c r="A1287" s="116"/>
      <c r="B1287" s="116"/>
      <c r="C1287" s="116"/>
      <c r="D1287" s="116"/>
      <c r="E1287" s="116"/>
      <c r="F1287" s="116"/>
      <c r="G1287" s="136"/>
      <c r="H1287" s="116"/>
      <c r="I1287" s="116"/>
      <c r="J1287" s="116"/>
      <c r="K1287" s="116"/>
      <c r="L1287" s="116"/>
      <c r="M1287" s="116"/>
    </row>
    <row r="1288" spans="1:15" x14ac:dyDescent="0.35">
      <c r="A1288" s="116"/>
      <c r="B1288" s="116"/>
      <c r="C1288" s="116"/>
      <c r="D1288" s="116"/>
      <c r="E1288" s="116"/>
      <c r="F1288" s="116"/>
      <c r="G1288" s="136"/>
      <c r="H1288" s="116"/>
      <c r="I1288" s="116"/>
      <c r="J1288" s="116"/>
      <c r="K1288" s="116"/>
      <c r="L1288" s="116"/>
      <c r="M1288" s="116"/>
    </row>
    <row r="1289" spans="1:15" x14ac:dyDescent="0.35">
      <c r="A1289" s="116"/>
      <c r="B1289" s="116"/>
      <c r="C1289" s="116"/>
      <c r="D1289" s="116"/>
      <c r="E1289" s="116"/>
      <c r="F1289" s="116"/>
      <c r="G1289" s="136"/>
      <c r="H1289" s="116"/>
      <c r="I1289" s="116"/>
      <c r="J1289" s="116"/>
      <c r="K1289" s="116"/>
      <c r="L1289" s="116"/>
      <c r="M1289" s="116"/>
    </row>
    <row r="1290" spans="1:15" x14ac:dyDescent="0.35">
      <c r="A1290" s="116"/>
      <c r="B1290" s="116"/>
      <c r="C1290" s="116"/>
      <c r="D1290" s="116"/>
      <c r="E1290" s="116"/>
      <c r="F1290" s="116"/>
      <c r="G1290" s="136"/>
      <c r="H1290" s="116"/>
      <c r="I1290" s="116"/>
      <c r="J1290" s="116"/>
      <c r="K1290" s="116"/>
      <c r="L1290" s="116"/>
      <c r="M1290" s="116"/>
    </row>
    <row r="1291" spans="1:15" x14ac:dyDescent="0.35">
      <c r="A1291" s="116"/>
      <c r="B1291" s="116"/>
      <c r="C1291" s="116"/>
      <c r="D1291" s="116"/>
      <c r="E1291" s="116"/>
      <c r="F1291" s="116"/>
      <c r="G1291" s="136"/>
      <c r="H1291" s="116"/>
      <c r="I1291" s="116"/>
      <c r="J1291" s="116"/>
      <c r="K1291" s="116"/>
      <c r="L1291" s="116"/>
      <c r="M1291" s="116"/>
    </row>
    <row r="1292" spans="1:15" x14ac:dyDescent="0.35">
      <c r="A1292" s="116"/>
      <c r="B1292" s="116"/>
      <c r="C1292" s="116"/>
      <c r="D1292" s="116"/>
      <c r="E1292" s="116"/>
      <c r="F1292" s="116"/>
      <c r="G1292" s="136"/>
      <c r="H1292" s="116"/>
      <c r="I1292" s="116"/>
      <c r="J1292" s="116"/>
      <c r="K1292" s="116"/>
      <c r="L1292" s="116"/>
      <c r="M1292" s="116"/>
      <c r="N1292" s="116"/>
      <c r="O1292" s="116"/>
    </row>
    <row r="1293" spans="1:15" x14ac:dyDescent="0.35">
      <c r="A1293" s="116"/>
      <c r="B1293" s="116"/>
      <c r="C1293" s="116"/>
      <c r="D1293" s="116"/>
      <c r="E1293" s="116"/>
      <c r="F1293" s="116"/>
      <c r="G1293" s="136"/>
      <c r="H1293" s="116"/>
      <c r="I1293" s="116"/>
      <c r="J1293" s="116"/>
      <c r="K1293" s="116"/>
      <c r="L1293" s="116"/>
      <c r="M1293" s="116"/>
    </row>
    <row r="1294" spans="1:15" x14ac:dyDescent="0.35">
      <c r="A1294" s="116"/>
      <c r="B1294" s="116"/>
      <c r="C1294" s="116"/>
      <c r="D1294" s="116"/>
      <c r="E1294" s="116"/>
      <c r="F1294" s="116"/>
      <c r="G1294" s="136"/>
      <c r="H1294" s="116"/>
      <c r="I1294" s="116"/>
      <c r="J1294" s="116"/>
      <c r="K1294" s="116"/>
      <c r="L1294" s="116"/>
      <c r="M1294" s="116"/>
    </row>
    <row r="1295" spans="1:15" x14ac:dyDescent="0.35">
      <c r="A1295" s="116"/>
      <c r="B1295" s="116"/>
      <c r="C1295" s="116"/>
      <c r="D1295" s="116"/>
      <c r="E1295" s="116"/>
      <c r="F1295" s="116"/>
      <c r="G1295" s="136"/>
      <c r="H1295" s="116"/>
      <c r="I1295" s="116"/>
      <c r="J1295" s="116"/>
      <c r="K1295" s="116"/>
      <c r="L1295" s="116"/>
      <c r="M1295" s="116"/>
    </row>
    <row r="1296" spans="1:15" x14ac:dyDescent="0.35">
      <c r="A1296" s="116"/>
      <c r="B1296" s="116"/>
      <c r="C1296" s="116"/>
      <c r="D1296" s="116"/>
      <c r="E1296" s="116"/>
      <c r="F1296" s="116"/>
      <c r="G1296" s="136"/>
      <c r="H1296" s="116"/>
      <c r="I1296" s="116"/>
      <c r="J1296" s="116"/>
      <c r="K1296" s="116"/>
      <c r="L1296" s="116"/>
      <c r="M1296" s="116"/>
    </row>
    <row r="1297" spans="1:15" x14ac:dyDescent="0.35">
      <c r="A1297" s="116"/>
      <c r="B1297" s="116"/>
      <c r="C1297" s="116"/>
      <c r="D1297" s="116"/>
      <c r="E1297" s="116"/>
      <c r="F1297" s="116"/>
      <c r="G1297" s="136"/>
      <c r="H1297" s="116"/>
      <c r="I1297" s="116"/>
      <c r="J1297" s="116"/>
      <c r="K1297" s="116"/>
      <c r="L1297" s="116"/>
      <c r="M1297" s="116"/>
    </row>
    <row r="1298" spans="1:15" x14ac:dyDescent="0.35">
      <c r="A1298" s="116"/>
      <c r="B1298" s="116"/>
      <c r="C1298" s="116"/>
      <c r="D1298" s="116"/>
      <c r="E1298" s="116"/>
      <c r="F1298" s="116"/>
      <c r="G1298" s="136"/>
      <c r="H1298" s="116"/>
      <c r="I1298" s="116"/>
      <c r="J1298" s="116"/>
      <c r="K1298" s="116"/>
      <c r="L1298" s="116"/>
      <c r="M1298" s="116"/>
    </row>
    <row r="1299" spans="1:15" x14ac:dyDescent="0.35">
      <c r="A1299" s="116"/>
      <c r="B1299" s="116"/>
      <c r="C1299" s="116"/>
      <c r="D1299" s="116"/>
      <c r="E1299" s="116"/>
      <c r="F1299" s="116"/>
      <c r="G1299" s="136"/>
      <c r="H1299" s="116"/>
      <c r="I1299" s="116"/>
      <c r="J1299" s="116"/>
      <c r="K1299" s="116"/>
      <c r="L1299" s="116"/>
      <c r="M1299" s="116"/>
    </row>
    <row r="1300" spans="1:15" x14ac:dyDescent="0.35">
      <c r="A1300" s="116"/>
      <c r="B1300" s="116"/>
      <c r="C1300" s="116"/>
      <c r="D1300" s="116"/>
      <c r="E1300" s="116"/>
      <c r="F1300" s="116"/>
      <c r="G1300" s="136"/>
      <c r="H1300" s="116"/>
      <c r="I1300" s="116"/>
      <c r="J1300" s="116"/>
      <c r="K1300" s="116"/>
      <c r="L1300" s="116"/>
      <c r="M1300" s="116"/>
    </row>
    <row r="1301" spans="1:15" x14ac:dyDescent="0.35">
      <c r="A1301" s="116"/>
      <c r="B1301" s="116"/>
      <c r="C1301" s="116"/>
      <c r="D1301" s="116"/>
      <c r="E1301" s="116"/>
      <c r="F1301" s="116"/>
      <c r="G1301" s="136"/>
      <c r="H1301" s="116"/>
      <c r="I1301" s="116"/>
      <c r="J1301" s="116"/>
      <c r="K1301" s="116"/>
      <c r="L1301" s="116"/>
      <c r="M1301" s="116"/>
    </row>
    <row r="1302" spans="1:15" x14ac:dyDescent="0.35">
      <c r="A1302" s="116"/>
      <c r="B1302" s="116"/>
      <c r="C1302" s="116"/>
      <c r="D1302" s="116"/>
      <c r="E1302" s="116"/>
      <c r="F1302" s="116"/>
      <c r="G1302" s="136"/>
      <c r="H1302" s="116"/>
      <c r="I1302" s="116"/>
      <c r="J1302" s="116"/>
      <c r="K1302" s="116"/>
      <c r="L1302" s="116"/>
      <c r="M1302" s="116"/>
    </row>
    <row r="1303" spans="1:15" x14ac:dyDescent="0.35">
      <c r="A1303" s="116"/>
      <c r="B1303" s="116"/>
      <c r="C1303" s="116"/>
      <c r="D1303" s="116"/>
      <c r="E1303" s="116"/>
      <c r="F1303" s="116"/>
      <c r="G1303" s="136"/>
      <c r="H1303" s="116"/>
      <c r="I1303" s="116"/>
      <c r="J1303" s="116"/>
      <c r="K1303" s="116"/>
      <c r="L1303" s="116"/>
      <c r="M1303" s="116"/>
    </row>
    <row r="1304" spans="1:15" x14ac:dyDescent="0.35">
      <c r="A1304" s="116"/>
      <c r="B1304" s="116"/>
      <c r="C1304" s="116"/>
      <c r="D1304" s="116"/>
      <c r="E1304" s="116"/>
      <c r="F1304" s="116"/>
      <c r="G1304" s="136"/>
      <c r="H1304" s="116"/>
      <c r="I1304" s="116"/>
      <c r="J1304" s="116"/>
      <c r="K1304" s="116"/>
      <c r="L1304" s="116"/>
      <c r="M1304" s="116"/>
    </row>
    <row r="1305" spans="1:15" x14ac:dyDescent="0.35">
      <c r="A1305" s="116"/>
      <c r="B1305" s="116"/>
      <c r="C1305" s="116"/>
      <c r="D1305" s="116"/>
      <c r="E1305" s="116"/>
      <c r="F1305" s="116"/>
      <c r="G1305" s="136"/>
      <c r="H1305" s="116"/>
      <c r="I1305" s="116"/>
      <c r="J1305" s="116"/>
      <c r="K1305" s="116"/>
      <c r="L1305" s="116"/>
      <c r="M1305" s="116"/>
      <c r="N1305" s="116"/>
      <c r="O1305" s="116"/>
    </row>
    <row r="1306" spans="1:15" x14ac:dyDescent="0.35">
      <c r="A1306" s="116"/>
      <c r="B1306" s="116"/>
      <c r="C1306" s="116"/>
      <c r="D1306" s="116"/>
      <c r="E1306" s="116"/>
      <c r="F1306" s="116"/>
      <c r="G1306" s="136"/>
      <c r="H1306" s="116"/>
      <c r="I1306" s="116"/>
      <c r="J1306" s="116"/>
      <c r="K1306" s="116"/>
      <c r="L1306" s="116"/>
      <c r="M1306" s="116"/>
    </row>
    <row r="1307" spans="1:15" x14ac:dyDescent="0.35">
      <c r="A1307" s="116"/>
      <c r="B1307" s="116"/>
      <c r="C1307" s="116"/>
      <c r="D1307" s="116"/>
      <c r="E1307" s="116"/>
      <c r="F1307" s="116"/>
      <c r="G1307" s="136"/>
      <c r="H1307" s="116"/>
      <c r="I1307" s="116"/>
      <c r="J1307" s="116"/>
      <c r="K1307" s="116"/>
      <c r="L1307" s="116"/>
      <c r="M1307" s="116"/>
    </row>
    <row r="1308" spans="1:15" x14ac:dyDescent="0.35">
      <c r="A1308" s="116"/>
      <c r="B1308" s="116"/>
      <c r="C1308" s="116"/>
      <c r="D1308" s="116"/>
      <c r="E1308" s="116"/>
      <c r="F1308" s="116"/>
      <c r="G1308" s="136"/>
      <c r="H1308" s="116"/>
      <c r="I1308" s="116"/>
      <c r="J1308" s="116"/>
      <c r="K1308" s="116"/>
      <c r="L1308" s="116"/>
      <c r="M1308" s="116"/>
      <c r="N1308" s="116"/>
      <c r="O1308" s="116"/>
    </row>
    <row r="1309" spans="1:15" x14ac:dyDescent="0.35">
      <c r="A1309" s="116"/>
      <c r="B1309" s="116"/>
      <c r="C1309" s="116"/>
      <c r="D1309" s="116"/>
      <c r="E1309" s="116"/>
      <c r="F1309" s="116"/>
      <c r="G1309" s="136"/>
      <c r="H1309" s="116"/>
      <c r="I1309" s="116"/>
      <c r="J1309" s="116"/>
      <c r="K1309" s="116"/>
      <c r="L1309" s="116"/>
      <c r="M1309" s="116"/>
    </row>
    <row r="1310" spans="1:15" x14ac:dyDescent="0.35">
      <c r="A1310" s="116"/>
      <c r="B1310" s="116"/>
      <c r="C1310" s="116"/>
      <c r="D1310" s="116"/>
      <c r="E1310" s="116"/>
      <c r="F1310" s="116"/>
      <c r="G1310" s="136"/>
      <c r="H1310" s="116"/>
      <c r="I1310" s="116"/>
      <c r="J1310" s="116"/>
      <c r="K1310" s="116"/>
      <c r="L1310" s="116"/>
      <c r="M1310" s="116"/>
    </row>
    <row r="1311" spans="1:15" x14ac:dyDescent="0.35">
      <c r="A1311" s="116"/>
      <c r="B1311" s="116"/>
      <c r="C1311" s="116"/>
      <c r="D1311" s="116"/>
      <c r="E1311" s="116"/>
      <c r="F1311" s="116"/>
      <c r="G1311" s="136"/>
      <c r="H1311" s="116"/>
      <c r="I1311" s="116"/>
      <c r="J1311" s="116"/>
      <c r="K1311" s="116"/>
      <c r="L1311" s="116"/>
      <c r="M1311" s="116"/>
      <c r="N1311" s="116"/>
      <c r="O1311" s="116"/>
    </row>
    <row r="1312" spans="1:15" x14ac:dyDescent="0.35">
      <c r="A1312" s="116"/>
      <c r="B1312" s="116"/>
      <c r="C1312" s="116"/>
      <c r="D1312" s="116"/>
      <c r="E1312" s="116"/>
      <c r="F1312" s="116"/>
      <c r="G1312" s="136"/>
      <c r="H1312" s="116"/>
      <c r="I1312" s="116"/>
      <c r="J1312" s="116"/>
      <c r="K1312" s="116"/>
      <c r="L1312" s="116"/>
      <c r="M1312" s="116"/>
      <c r="N1312" s="116"/>
      <c r="O1312" s="116"/>
    </row>
    <row r="1313" spans="1:15" x14ac:dyDescent="0.35">
      <c r="A1313" s="116"/>
      <c r="B1313" s="116"/>
      <c r="C1313" s="116"/>
      <c r="D1313" s="116"/>
      <c r="E1313" s="116"/>
      <c r="F1313" s="116"/>
      <c r="G1313" s="136"/>
      <c r="H1313" s="116"/>
      <c r="I1313" s="116"/>
      <c r="J1313" s="116"/>
      <c r="K1313" s="116"/>
      <c r="L1313" s="116"/>
      <c r="M1313" s="116"/>
    </row>
    <row r="1314" spans="1:15" x14ac:dyDescent="0.35">
      <c r="A1314" s="116"/>
      <c r="B1314" s="116"/>
      <c r="C1314" s="116"/>
      <c r="D1314" s="116"/>
      <c r="E1314" s="116"/>
      <c r="F1314" s="116"/>
      <c r="G1314" s="136"/>
      <c r="H1314" s="116"/>
      <c r="I1314" s="116"/>
      <c r="J1314" s="116"/>
      <c r="K1314" s="116"/>
      <c r="L1314" s="116"/>
      <c r="M1314" s="116"/>
    </row>
    <row r="1315" spans="1:15" x14ac:dyDescent="0.35">
      <c r="A1315" s="116"/>
      <c r="B1315" s="116"/>
      <c r="C1315" s="116"/>
      <c r="D1315" s="116"/>
      <c r="E1315" s="116"/>
      <c r="F1315" s="116"/>
      <c r="G1315" s="136"/>
      <c r="H1315" s="116"/>
      <c r="I1315" s="116"/>
      <c r="J1315" s="116"/>
      <c r="K1315" s="116"/>
      <c r="L1315" s="116"/>
      <c r="M1315" s="116"/>
      <c r="N1315" s="116"/>
      <c r="O1315" s="116"/>
    </row>
    <row r="1316" spans="1:15" x14ac:dyDescent="0.35">
      <c r="A1316" s="116"/>
      <c r="B1316" s="116"/>
      <c r="C1316" s="116"/>
      <c r="D1316" s="116"/>
      <c r="E1316" s="116"/>
      <c r="F1316" s="116"/>
      <c r="G1316" s="136"/>
      <c r="H1316" s="116"/>
      <c r="I1316" s="116"/>
      <c r="J1316" s="116"/>
      <c r="K1316" s="116"/>
      <c r="L1316" s="116"/>
      <c r="M1316" s="116"/>
      <c r="N1316" s="116"/>
      <c r="O1316" s="116"/>
    </row>
    <row r="1317" spans="1:15" x14ac:dyDescent="0.35">
      <c r="A1317" s="116"/>
      <c r="B1317" s="116"/>
      <c r="C1317" s="116"/>
      <c r="D1317" s="116"/>
      <c r="E1317" s="116"/>
      <c r="F1317" s="116"/>
      <c r="G1317" s="136"/>
      <c r="H1317" s="116"/>
      <c r="I1317" s="116"/>
      <c r="J1317" s="116"/>
      <c r="K1317" s="116"/>
      <c r="L1317" s="116"/>
      <c r="M1317" s="116"/>
      <c r="N1317" s="116"/>
      <c r="O1317" s="116"/>
    </row>
    <row r="1318" spans="1:15" x14ac:dyDescent="0.35">
      <c r="A1318" s="116"/>
      <c r="B1318" s="116"/>
      <c r="C1318" s="116"/>
      <c r="D1318" s="116"/>
      <c r="E1318" s="116"/>
      <c r="F1318" s="116"/>
      <c r="G1318" s="136"/>
      <c r="H1318" s="116"/>
      <c r="I1318" s="116"/>
      <c r="J1318" s="116"/>
      <c r="K1318" s="116"/>
      <c r="L1318" s="116"/>
      <c r="M1318" s="116"/>
      <c r="N1318" s="116"/>
      <c r="O1318" s="116"/>
    </row>
    <row r="1319" spans="1:15" x14ac:dyDescent="0.35">
      <c r="A1319" s="116"/>
      <c r="B1319" s="116"/>
      <c r="C1319" s="116"/>
      <c r="D1319" s="116"/>
      <c r="E1319" s="116"/>
      <c r="F1319" s="116"/>
      <c r="G1319" s="136"/>
      <c r="H1319" s="116"/>
      <c r="I1319" s="116"/>
      <c r="J1319" s="116"/>
      <c r="K1319" s="116"/>
      <c r="L1319" s="116"/>
      <c r="M1319" s="116"/>
      <c r="N1319" s="116"/>
      <c r="O1319" s="116"/>
    </row>
    <row r="1320" spans="1:15" x14ac:dyDescent="0.35">
      <c r="A1320" s="116"/>
      <c r="B1320" s="116"/>
      <c r="C1320" s="116"/>
      <c r="D1320" s="116"/>
      <c r="E1320" s="116"/>
      <c r="F1320" s="116"/>
      <c r="G1320" s="136"/>
      <c r="H1320" s="116"/>
      <c r="I1320" s="116"/>
      <c r="J1320" s="116"/>
      <c r="K1320" s="116"/>
      <c r="L1320" s="116"/>
      <c r="M1320" s="116"/>
      <c r="N1320" s="116"/>
      <c r="O1320" s="116"/>
    </row>
    <row r="1321" spans="1:15" x14ac:dyDescent="0.35">
      <c r="A1321" s="116"/>
      <c r="B1321" s="116"/>
      <c r="C1321" s="116"/>
      <c r="D1321" s="116"/>
      <c r="E1321" s="116"/>
      <c r="F1321" s="116"/>
      <c r="G1321" s="136"/>
      <c r="H1321" s="116"/>
      <c r="I1321" s="116"/>
      <c r="J1321" s="116"/>
      <c r="K1321" s="116"/>
      <c r="L1321" s="116"/>
      <c r="M1321" s="116"/>
      <c r="N1321" s="116"/>
      <c r="O1321" s="116"/>
    </row>
    <row r="1322" spans="1:15" x14ac:dyDescent="0.35">
      <c r="A1322" s="116"/>
      <c r="B1322" s="116"/>
      <c r="C1322" s="116"/>
      <c r="D1322" s="116"/>
      <c r="E1322" s="116"/>
      <c r="F1322" s="116"/>
      <c r="G1322" s="136"/>
      <c r="H1322" s="116"/>
      <c r="I1322" s="116"/>
      <c r="J1322" s="116"/>
      <c r="K1322" s="116"/>
      <c r="L1322" s="116"/>
      <c r="M1322" s="116"/>
      <c r="N1322" s="116"/>
      <c r="O1322" s="116"/>
    </row>
    <row r="1323" spans="1:15" x14ac:dyDescent="0.35">
      <c r="A1323" s="116"/>
      <c r="B1323" s="116"/>
      <c r="C1323" s="116"/>
      <c r="D1323" s="116"/>
      <c r="E1323" s="116"/>
      <c r="F1323" s="116"/>
      <c r="G1323" s="136"/>
      <c r="H1323" s="116"/>
      <c r="I1323" s="116"/>
      <c r="J1323" s="116"/>
      <c r="K1323" s="116"/>
      <c r="L1323" s="116"/>
      <c r="M1323" s="116"/>
      <c r="N1323" s="116"/>
      <c r="O1323" s="116"/>
    </row>
    <row r="1324" spans="1:15" x14ac:dyDescent="0.35">
      <c r="A1324" s="116"/>
      <c r="B1324" s="116"/>
      <c r="C1324" s="116"/>
      <c r="D1324" s="116"/>
      <c r="E1324" s="116"/>
      <c r="F1324" s="116"/>
      <c r="G1324" s="136"/>
      <c r="H1324" s="116"/>
      <c r="I1324" s="116"/>
      <c r="J1324" s="116"/>
      <c r="K1324" s="116"/>
      <c r="L1324" s="116"/>
      <c r="M1324" s="116"/>
      <c r="N1324" s="31"/>
      <c r="O1324" s="31"/>
    </row>
    <row r="1325" spans="1:15" x14ac:dyDescent="0.35">
      <c r="A1325" s="116"/>
      <c r="B1325" s="116"/>
      <c r="C1325" s="116"/>
      <c r="D1325" s="116"/>
      <c r="E1325" s="116"/>
      <c r="F1325" s="116"/>
      <c r="G1325" s="136"/>
      <c r="H1325" s="116"/>
      <c r="I1325" s="116"/>
      <c r="J1325" s="116"/>
      <c r="K1325" s="116"/>
      <c r="L1325" s="116"/>
      <c r="M1325" s="116"/>
      <c r="N1325" s="116"/>
      <c r="O1325" s="116"/>
    </row>
    <row r="1326" spans="1:15" x14ac:dyDescent="0.35">
      <c r="A1326" s="116"/>
      <c r="B1326" s="116"/>
      <c r="C1326" s="116"/>
      <c r="D1326" s="116"/>
      <c r="E1326" s="116"/>
      <c r="F1326" s="116"/>
      <c r="G1326" s="136"/>
      <c r="H1326" s="116"/>
      <c r="I1326" s="116"/>
      <c r="J1326" s="116"/>
      <c r="K1326" s="116"/>
      <c r="L1326" s="116"/>
      <c r="M1326" s="116"/>
      <c r="N1326" s="116"/>
      <c r="O1326" s="116"/>
    </row>
    <row r="1327" spans="1:15" x14ac:dyDescent="0.35">
      <c r="A1327" s="116"/>
      <c r="B1327" s="116"/>
      <c r="C1327" s="116"/>
      <c r="D1327" s="116"/>
      <c r="E1327" s="116"/>
      <c r="F1327" s="116"/>
      <c r="G1327" s="136"/>
      <c r="H1327" s="116"/>
      <c r="I1327" s="116"/>
      <c r="J1327" s="116"/>
      <c r="K1327" s="116"/>
      <c r="L1327" s="116"/>
      <c r="M1327" s="116"/>
    </row>
    <row r="1328" spans="1:15" x14ac:dyDescent="0.35">
      <c r="A1328" s="116"/>
      <c r="B1328" s="116"/>
      <c r="C1328" s="116"/>
      <c r="D1328" s="116"/>
      <c r="E1328" s="116"/>
      <c r="F1328" s="116"/>
      <c r="G1328" s="136"/>
      <c r="H1328" s="116"/>
      <c r="I1328" s="116"/>
      <c r="J1328" s="116"/>
      <c r="K1328" s="116"/>
      <c r="L1328" s="116"/>
      <c r="M1328" s="116"/>
      <c r="N1328" s="116"/>
      <c r="O1328" s="116"/>
    </row>
    <row r="1329" spans="1:15" x14ac:dyDescent="0.35">
      <c r="A1329" s="116"/>
      <c r="B1329" s="116"/>
      <c r="C1329" s="116"/>
      <c r="D1329" s="116"/>
      <c r="E1329" s="116"/>
      <c r="F1329" s="116"/>
      <c r="G1329" s="136"/>
      <c r="H1329" s="116"/>
      <c r="I1329" s="116"/>
      <c r="J1329" s="116"/>
      <c r="K1329" s="116"/>
      <c r="L1329" s="116"/>
      <c r="M1329" s="116"/>
      <c r="N1329" s="116"/>
      <c r="O1329" s="116"/>
    </row>
    <row r="1330" spans="1:15" x14ac:dyDescent="0.35">
      <c r="A1330" s="116"/>
      <c r="B1330" s="116"/>
      <c r="C1330" s="116"/>
      <c r="D1330" s="116"/>
      <c r="E1330" s="116"/>
      <c r="F1330" s="116"/>
      <c r="G1330" s="136"/>
      <c r="H1330" s="116"/>
      <c r="I1330" s="116"/>
      <c r="J1330" s="116"/>
      <c r="K1330" s="116"/>
      <c r="L1330" s="116"/>
      <c r="M1330" s="116"/>
      <c r="N1330" s="116"/>
      <c r="O1330" s="116"/>
    </row>
    <row r="1331" spans="1:15" x14ac:dyDescent="0.35">
      <c r="A1331" s="116"/>
      <c r="B1331" s="116"/>
      <c r="C1331" s="116"/>
      <c r="D1331" s="116"/>
      <c r="E1331" s="116"/>
      <c r="F1331" s="116"/>
      <c r="G1331" s="136"/>
      <c r="H1331" s="116"/>
      <c r="I1331" s="116"/>
      <c r="J1331" s="116"/>
      <c r="K1331" s="116"/>
      <c r="L1331" s="116"/>
      <c r="M1331" s="116"/>
      <c r="N1331" s="116"/>
      <c r="O1331" s="116"/>
    </row>
    <row r="1332" spans="1:15" x14ac:dyDescent="0.35">
      <c r="A1332" s="116"/>
      <c r="B1332" s="116"/>
      <c r="C1332" s="116"/>
      <c r="D1332" s="116"/>
      <c r="E1332" s="116"/>
      <c r="F1332" s="116"/>
      <c r="G1332" s="136"/>
      <c r="H1332" s="116"/>
      <c r="I1332" s="116"/>
      <c r="J1332" s="116"/>
      <c r="K1332" s="116"/>
      <c r="L1332" s="116"/>
      <c r="M1332" s="116"/>
      <c r="N1332" s="116"/>
      <c r="O1332" s="116"/>
    </row>
    <row r="1333" spans="1:15" x14ac:dyDescent="0.35">
      <c r="A1333" s="116"/>
      <c r="B1333" s="116"/>
      <c r="C1333" s="116"/>
      <c r="D1333" s="116"/>
      <c r="E1333" s="116"/>
      <c r="F1333" s="116"/>
      <c r="G1333" s="136"/>
      <c r="H1333" s="116"/>
      <c r="I1333" s="116"/>
      <c r="J1333" s="116"/>
      <c r="K1333" s="116"/>
      <c r="L1333" s="116"/>
      <c r="M1333" s="116"/>
      <c r="N1333" s="116"/>
      <c r="O1333" s="116"/>
    </row>
    <row r="1334" spans="1:15" x14ac:dyDescent="0.35">
      <c r="A1334" s="116"/>
      <c r="B1334" s="116"/>
      <c r="C1334" s="116"/>
      <c r="D1334" s="116"/>
      <c r="E1334" s="116"/>
      <c r="F1334" s="116"/>
      <c r="G1334" s="136"/>
      <c r="H1334" s="116"/>
      <c r="I1334" s="116"/>
      <c r="J1334" s="116"/>
      <c r="K1334" s="116"/>
      <c r="L1334" s="116"/>
      <c r="M1334" s="116"/>
      <c r="N1334" s="116"/>
      <c r="O1334" s="116"/>
    </row>
    <row r="1335" spans="1:15" x14ac:dyDescent="0.35">
      <c r="A1335" s="116"/>
      <c r="B1335" s="116"/>
      <c r="C1335" s="116"/>
      <c r="D1335" s="116"/>
      <c r="E1335" s="116"/>
      <c r="F1335" s="116"/>
      <c r="G1335" s="136"/>
      <c r="H1335" s="116"/>
      <c r="I1335" s="116"/>
      <c r="J1335" s="116"/>
      <c r="K1335" s="116"/>
      <c r="L1335" s="116"/>
      <c r="M1335" s="116"/>
      <c r="N1335" s="116"/>
      <c r="O1335" s="116"/>
    </row>
    <row r="1336" spans="1:15" x14ac:dyDescent="0.35">
      <c r="A1336" s="116"/>
      <c r="B1336" s="116"/>
      <c r="C1336" s="116"/>
      <c r="D1336" s="116"/>
      <c r="E1336" s="116"/>
      <c r="F1336" s="116"/>
      <c r="G1336" s="136"/>
      <c r="H1336" s="116"/>
      <c r="I1336" s="116"/>
      <c r="J1336" s="116"/>
      <c r="K1336" s="116"/>
      <c r="L1336" s="116"/>
      <c r="M1336" s="116"/>
      <c r="N1336" s="116"/>
      <c r="O1336" s="116"/>
    </row>
    <row r="1337" spans="1:15" x14ac:dyDescent="0.35">
      <c r="A1337" s="116"/>
      <c r="B1337" s="116"/>
      <c r="C1337" s="116"/>
      <c r="D1337" s="116"/>
      <c r="E1337" s="116"/>
      <c r="F1337" s="116"/>
      <c r="G1337" s="136"/>
      <c r="H1337" s="116"/>
      <c r="I1337" s="116"/>
      <c r="J1337" s="116"/>
      <c r="K1337" s="116"/>
      <c r="L1337" s="116"/>
      <c r="M1337" s="116"/>
    </row>
    <row r="1338" spans="1:15" x14ac:dyDescent="0.35">
      <c r="A1338" s="116"/>
      <c r="B1338" s="116"/>
      <c r="C1338" s="116"/>
      <c r="D1338" s="116"/>
      <c r="E1338" s="116"/>
      <c r="F1338" s="116"/>
      <c r="G1338" s="136"/>
      <c r="H1338" s="116"/>
      <c r="I1338" s="116"/>
      <c r="J1338" s="116"/>
      <c r="K1338" s="116"/>
      <c r="L1338" s="116"/>
      <c r="M1338" s="116"/>
      <c r="N1338" s="116"/>
      <c r="O1338" s="116"/>
    </row>
    <row r="1339" spans="1:15" x14ac:dyDescent="0.35">
      <c r="A1339" s="116"/>
      <c r="B1339" s="116"/>
      <c r="C1339" s="116"/>
      <c r="D1339" s="116"/>
      <c r="E1339" s="116"/>
      <c r="F1339" s="116"/>
      <c r="G1339" s="136"/>
      <c r="H1339" s="116"/>
      <c r="I1339" s="116"/>
      <c r="J1339" s="116"/>
      <c r="K1339" s="116"/>
      <c r="L1339" s="116"/>
      <c r="M1339" s="116"/>
      <c r="N1339" s="116"/>
      <c r="O1339" s="116"/>
    </row>
    <row r="1340" spans="1:15" x14ac:dyDescent="0.35">
      <c r="A1340" s="116"/>
      <c r="B1340" s="116"/>
      <c r="C1340" s="116"/>
      <c r="D1340" s="116"/>
      <c r="E1340" s="116"/>
      <c r="F1340" s="116"/>
      <c r="G1340" s="136"/>
      <c r="H1340" s="116"/>
      <c r="I1340" s="116"/>
      <c r="J1340" s="116"/>
      <c r="K1340" s="116"/>
      <c r="L1340" s="116"/>
      <c r="M1340" s="116"/>
      <c r="N1340" s="116"/>
      <c r="O1340" s="116"/>
    </row>
    <row r="1341" spans="1:15" x14ac:dyDescent="0.35">
      <c r="A1341" s="116"/>
      <c r="B1341" s="116"/>
      <c r="C1341" s="116"/>
      <c r="D1341" s="116"/>
      <c r="E1341" s="116"/>
      <c r="F1341" s="116"/>
      <c r="G1341" s="136"/>
      <c r="H1341" s="116"/>
      <c r="I1341" s="116"/>
      <c r="J1341" s="116"/>
      <c r="K1341" s="116"/>
      <c r="L1341" s="116"/>
      <c r="M1341" s="116"/>
      <c r="N1341" s="116"/>
      <c r="O1341" s="116"/>
    </row>
    <row r="1342" spans="1:15" x14ac:dyDescent="0.35">
      <c r="A1342" s="116"/>
      <c r="B1342" s="116"/>
      <c r="C1342" s="116"/>
      <c r="D1342" s="116"/>
      <c r="E1342" s="116"/>
      <c r="F1342" s="116"/>
      <c r="G1342" s="136"/>
      <c r="H1342" s="116"/>
      <c r="I1342" s="116"/>
      <c r="J1342" s="116"/>
      <c r="K1342" s="116"/>
      <c r="L1342" s="116"/>
      <c r="M1342" s="116"/>
      <c r="N1342" s="116"/>
      <c r="O1342" s="116"/>
    </row>
    <row r="1343" spans="1:15" x14ac:dyDescent="0.35">
      <c r="A1343" s="116"/>
      <c r="B1343" s="116"/>
      <c r="C1343" s="116"/>
      <c r="D1343" s="116"/>
      <c r="E1343" s="116"/>
      <c r="F1343" s="116"/>
      <c r="G1343" s="136"/>
      <c r="H1343" s="116"/>
      <c r="I1343" s="116"/>
      <c r="J1343" s="116"/>
      <c r="K1343" s="116"/>
      <c r="L1343" s="116"/>
      <c r="M1343" s="116"/>
      <c r="N1343" s="116"/>
      <c r="O1343" s="116"/>
    </row>
    <row r="1344" spans="1:15" x14ac:dyDescent="0.35">
      <c r="A1344" s="116"/>
      <c r="B1344" s="116"/>
      <c r="C1344" s="116"/>
      <c r="D1344" s="116"/>
      <c r="E1344" s="116"/>
      <c r="F1344" s="116"/>
      <c r="G1344" s="136"/>
      <c r="H1344" s="116"/>
      <c r="I1344" s="116"/>
      <c r="J1344" s="116"/>
      <c r="K1344" s="116"/>
      <c r="L1344" s="116"/>
      <c r="M1344" s="116"/>
      <c r="N1344" s="116"/>
      <c r="O1344" s="116"/>
    </row>
    <row r="1345" spans="1:15" x14ac:dyDescent="0.35">
      <c r="A1345" s="116"/>
      <c r="B1345" s="116"/>
      <c r="C1345" s="116"/>
      <c r="D1345" s="116"/>
      <c r="E1345" s="116"/>
      <c r="F1345" s="116"/>
      <c r="G1345" s="136"/>
      <c r="H1345" s="116"/>
      <c r="I1345" s="116"/>
      <c r="J1345" s="116"/>
      <c r="K1345" s="116"/>
      <c r="L1345" s="116"/>
      <c r="M1345" s="116"/>
      <c r="N1345" s="116"/>
      <c r="O1345" s="116"/>
    </row>
    <row r="1346" spans="1:15" x14ac:dyDescent="0.35">
      <c r="A1346" s="116"/>
      <c r="B1346" s="116"/>
      <c r="C1346" s="116"/>
      <c r="D1346" s="116"/>
      <c r="E1346" s="116"/>
      <c r="F1346" s="116"/>
      <c r="G1346" s="136"/>
      <c r="H1346" s="116"/>
      <c r="I1346" s="116"/>
      <c r="J1346" s="116"/>
      <c r="K1346" s="116"/>
      <c r="L1346" s="116"/>
      <c r="M1346" s="116"/>
      <c r="N1346" s="116"/>
      <c r="O1346" s="116"/>
    </row>
    <row r="1347" spans="1:15" x14ac:dyDescent="0.35">
      <c r="A1347" s="116"/>
      <c r="B1347" s="116"/>
      <c r="C1347" s="116"/>
      <c r="D1347" s="116"/>
      <c r="E1347" s="116"/>
      <c r="F1347" s="116"/>
      <c r="G1347" s="136"/>
      <c r="H1347" s="116"/>
      <c r="I1347" s="116"/>
      <c r="J1347" s="116"/>
      <c r="K1347" s="116"/>
      <c r="L1347" s="116"/>
      <c r="M1347" s="116"/>
      <c r="N1347" s="116"/>
      <c r="O1347" s="116"/>
    </row>
    <row r="1348" spans="1:15" x14ac:dyDescent="0.35">
      <c r="A1348" s="116"/>
      <c r="B1348" s="116"/>
      <c r="C1348" s="116"/>
      <c r="D1348" s="116"/>
      <c r="E1348" s="116"/>
      <c r="F1348" s="116"/>
      <c r="G1348" s="136"/>
      <c r="H1348" s="116"/>
      <c r="I1348" s="116"/>
      <c r="J1348" s="116"/>
      <c r="K1348" s="116"/>
      <c r="L1348" s="116"/>
      <c r="M1348" s="116"/>
      <c r="N1348" s="116"/>
      <c r="O1348" s="116"/>
    </row>
    <row r="1349" spans="1:15" x14ac:dyDescent="0.35">
      <c r="A1349" s="116"/>
      <c r="B1349" s="116"/>
      <c r="C1349" s="116"/>
      <c r="D1349" s="116"/>
      <c r="E1349" s="116"/>
      <c r="F1349" s="116"/>
      <c r="G1349" s="136"/>
      <c r="H1349" s="116"/>
      <c r="I1349" s="116"/>
      <c r="J1349" s="116"/>
      <c r="K1349" s="116"/>
      <c r="L1349" s="116"/>
      <c r="M1349" s="116"/>
      <c r="N1349" s="116"/>
      <c r="O1349" s="116"/>
    </row>
    <row r="1350" spans="1:15" x14ac:dyDescent="0.35">
      <c r="A1350" s="116"/>
      <c r="B1350" s="116"/>
      <c r="C1350" s="116"/>
      <c r="D1350" s="116"/>
      <c r="E1350" s="116"/>
      <c r="F1350" s="116"/>
      <c r="G1350" s="136"/>
      <c r="H1350" s="116"/>
      <c r="I1350" s="116"/>
      <c r="J1350" s="116"/>
      <c r="K1350" s="116"/>
      <c r="L1350" s="116"/>
      <c r="M1350" s="116"/>
      <c r="N1350" s="116"/>
      <c r="O1350" s="116"/>
    </row>
    <row r="1351" spans="1:15" x14ac:dyDescent="0.35">
      <c r="A1351" s="116"/>
      <c r="B1351" s="116"/>
      <c r="C1351" s="116"/>
      <c r="D1351" s="116"/>
      <c r="E1351" s="116"/>
      <c r="F1351" s="116"/>
      <c r="G1351" s="136"/>
      <c r="H1351" s="116"/>
      <c r="I1351" s="116"/>
      <c r="J1351" s="116"/>
      <c r="K1351" s="116"/>
      <c r="L1351" s="116"/>
      <c r="M1351" s="116"/>
      <c r="N1351" s="116"/>
      <c r="O1351" s="116"/>
    </row>
    <row r="1352" spans="1:15" x14ac:dyDescent="0.35">
      <c r="A1352" s="116"/>
      <c r="B1352" s="116"/>
      <c r="C1352" s="116"/>
      <c r="D1352" s="116"/>
      <c r="E1352" s="116"/>
      <c r="F1352" s="116"/>
      <c r="G1352" s="136"/>
      <c r="H1352" s="116"/>
      <c r="I1352" s="116"/>
      <c r="J1352" s="116"/>
      <c r="K1352" s="116"/>
      <c r="L1352" s="116"/>
      <c r="M1352" s="116"/>
      <c r="N1352" s="116"/>
      <c r="O1352" s="116"/>
    </row>
    <row r="1353" spans="1:15" x14ac:dyDescent="0.35">
      <c r="A1353" s="116"/>
      <c r="B1353" s="116"/>
      <c r="C1353" s="116"/>
      <c r="D1353" s="116"/>
      <c r="E1353" s="116"/>
      <c r="F1353" s="116"/>
      <c r="G1353" s="136"/>
      <c r="H1353" s="116"/>
      <c r="I1353" s="116"/>
      <c r="J1353" s="116"/>
      <c r="K1353" s="116"/>
      <c r="L1353" s="116"/>
      <c r="M1353" s="116"/>
      <c r="N1353" s="116"/>
      <c r="O1353" s="116"/>
    </row>
    <row r="1354" spans="1:15" x14ac:dyDescent="0.35">
      <c r="A1354" s="116"/>
      <c r="B1354" s="116"/>
      <c r="C1354" s="116"/>
      <c r="D1354" s="116"/>
      <c r="E1354" s="116"/>
      <c r="F1354" s="116"/>
      <c r="G1354" s="136"/>
      <c r="H1354" s="116"/>
      <c r="I1354" s="116"/>
      <c r="J1354" s="116"/>
      <c r="K1354" s="116"/>
      <c r="L1354" s="116"/>
      <c r="M1354" s="116"/>
      <c r="N1354" s="116"/>
      <c r="O1354" s="116"/>
    </row>
    <row r="1355" spans="1:15" x14ac:dyDescent="0.35">
      <c r="A1355" s="116"/>
      <c r="B1355" s="116"/>
      <c r="C1355" s="116"/>
      <c r="D1355" s="116"/>
      <c r="E1355" s="116"/>
      <c r="F1355" s="116"/>
      <c r="G1355" s="136"/>
      <c r="H1355" s="116"/>
      <c r="I1355" s="116"/>
      <c r="J1355" s="116"/>
      <c r="K1355" s="116"/>
      <c r="L1355" s="116"/>
      <c r="M1355" s="116"/>
      <c r="N1355" s="116"/>
      <c r="O1355" s="116"/>
    </row>
    <row r="1356" spans="1:15" x14ac:dyDescent="0.35">
      <c r="A1356" s="116"/>
      <c r="B1356" s="116"/>
      <c r="C1356" s="116"/>
      <c r="D1356" s="116"/>
      <c r="E1356" s="116"/>
      <c r="F1356" s="116"/>
      <c r="G1356" s="136"/>
      <c r="H1356" s="116"/>
      <c r="I1356" s="116"/>
      <c r="J1356" s="116"/>
      <c r="K1356" s="116"/>
      <c r="L1356" s="116"/>
      <c r="M1356" s="116"/>
      <c r="N1356" s="116"/>
      <c r="O1356" s="116"/>
    </row>
    <row r="1357" spans="1:15" x14ac:dyDescent="0.35">
      <c r="A1357" s="116"/>
      <c r="B1357" s="116"/>
      <c r="C1357" s="116"/>
      <c r="D1357" s="116"/>
      <c r="E1357" s="116"/>
      <c r="F1357" s="116"/>
      <c r="G1357" s="136"/>
      <c r="H1357" s="116"/>
      <c r="I1357" s="116"/>
      <c r="J1357" s="116"/>
      <c r="K1357" s="116"/>
      <c r="L1357" s="116"/>
      <c r="M1357" s="116"/>
      <c r="N1357" s="116"/>
      <c r="O1357" s="116"/>
    </row>
    <row r="1358" spans="1:15" x14ac:dyDescent="0.35">
      <c r="A1358" s="116"/>
      <c r="B1358" s="116"/>
      <c r="C1358" s="116"/>
      <c r="D1358" s="116"/>
      <c r="E1358" s="116"/>
      <c r="F1358" s="116"/>
      <c r="G1358" s="136"/>
      <c r="H1358" s="116"/>
      <c r="I1358" s="116"/>
      <c r="J1358" s="116"/>
      <c r="K1358" s="116"/>
      <c r="L1358" s="116"/>
      <c r="M1358" s="116"/>
      <c r="N1358" s="116"/>
      <c r="O1358" s="116"/>
    </row>
    <row r="1359" spans="1:15" x14ac:dyDescent="0.35">
      <c r="A1359" s="116"/>
      <c r="B1359" s="116"/>
      <c r="C1359" s="116"/>
      <c r="D1359" s="116"/>
      <c r="E1359" s="116"/>
      <c r="F1359" s="116"/>
      <c r="G1359" s="136"/>
      <c r="H1359" s="116"/>
      <c r="I1359" s="116"/>
      <c r="J1359" s="116"/>
      <c r="K1359" s="116"/>
      <c r="L1359" s="116"/>
      <c r="M1359" s="116"/>
      <c r="N1359" s="116"/>
      <c r="O1359" s="116"/>
    </row>
    <row r="1360" spans="1:15" x14ac:dyDescent="0.35">
      <c r="A1360" s="116"/>
      <c r="B1360" s="116"/>
      <c r="C1360" s="116"/>
      <c r="D1360" s="116"/>
      <c r="E1360" s="116"/>
      <c r="F1360" s="116"/>
      <c r="G1360" s="136"/>
      <c r="H1360" s="116"/>
      <c r="I1360" s="116"/>
      <c r="J1360" s="116"/>
      <c r="K1360" s="116"/>
      <c r="L1360" s="116"/>
      <c r="M1360" s="116"/>
      <c r="N1360" s="116"/>
      <c r="O1360" s="116"/>
    </row>
    <row r="1361" spans="1:15" x14ac:dyDescent="0.35">
      <c r="A1361" s="116"/>
      <c r="B1361" s="116"/>
      <c r="C1361" s="116"/>
      <c r="D1361" s="116"/>
      <c r="E1361" s="116"/>
      <c r="F1361" s="116"/>
      <c r="G1361" s="136"/>
      <c r="H1361" s="116"/>
      <c r="I1361" s="116"/>
      <c r="J1361" s="116"/>
      <c r="K1361" s="116"/>
      <c r="L1361" s="116"/>
      <c r="M1361" s="116"/>
      <c r="N1361" s="116"/>
      <c r="O1361" s="116"/>
    </row>
    <row r="1362" spans="1:15" x14ac:dyDescent="0.35">
      <c r="A1362" s="116"/>
      <c r="B1362" s="116"/>
      <c r="C1362" s="116"/>
      <c r="D1362" s="116"/>
      <c r="E1362" s="116"/>
      <c r="F1362" s="116"/>
      <c r="G1362" s="136"/>
      <c r="H1362" s="116"/>
      <c r="I1362" s="116"/>
      <c r="J1362" s="116"/>
      <c r="K1362" s="116"/>
      <c r="L1362" s="116"/>
      <c r="M1362" s="116"/>
      <c r="N1362" s="116"/>
      <c r="O1362" s="116"/>
    </row>
    <row r="1363" spans="1:15" x14ac:dyDescent="0.35">
      <c r="A1363" s="116"/>
      <c r="B1363" s="116"/>
      <c r="C1363" s="116"/>
      <c r="D1363" s="116"/>
      <c r="E1363" s="116"/>
      <c r="F1363" s="116"/>
      <c r="G1363" s="136"/>
      <c r="H1363" s="116"/>
      <c r="I1363" s="116"/>
      <c r="J1363" s="116"/>
      <c r="K1363" s="116"/>
      <c r="L1363" s="116"/>
      <c r="M1363" s="116"/>
    </row>
    <row r="1364" spans="1:15" x14ac:dyDescent="0.35">
      <c r="A1364" s="116"/>
      <c r="B1364" s="116"/>
      <c r="C1364" s="116"/>
      <c r="D1364" s="116"/>
      <c r="E1364" s="116"/>
      <c r="F1364" s="116"/>
      <c r="G1364" s="136"/>
      <c r="H1364" s="116"/>
      <c r="I1364" s="116"/>
      <c r="J1364" s="116"/>
      <c r="K1364" s="116"/>
      <c r="L1364" s="116"/>
      <c r="M1364" s="116"/>
      <c r="N1364" s="31"/>
      <c r="O1364" s="31"/>
    </row>
    <row r="1365" spans="1:15" x14ac:dyDescent="0.35">
      <c r="A1365" s="116"/>
      <c r="B1365" s="116"/>
      <c r="C1365" s="116"/>
      <c r="D1365" s="116"/>
      <c r="E1365" s="116"/>
      <c r="F1365" s="116"/>
      <c r="G1365" s="136"/>
      <c r="H1365" s="116"/>
      <c r="I1365" s="116"/>
      <c r="J1365" s="116"/>
      <c r="K1365" s="116"/>
      <c r="L1365" s="116"/>
      <c r="M1365" s="116"/>
      <c r="N1365" s="116"/>
      <c r="O1365" s="116"/>
    </row>
    <row r="1366" spans="1:15" x14ac:dyDescent="0.35">
      <c r="A1366" s="116"/>
      <c r="B1366" s="116"/>
      <c r="C1366" s="116"/>
      <c r="D1366" s="116"/>
      <c r="E1366" s="116"/>
      <c r="F1366" s="116"/>
      <c r="G1366" s="136"/>
      <c r="H1366" s="116"/>
      <c r="I1366" s="116"/>
      <c r="J1366" s="116"/>
      <c r="K1366" s="116"/>
      <c r="L1366" s="116"/>
      <c r="M1366" s="116"/>
      <c r="N1366" s="116"/>
      <c r="O1366" s="116"/>
    </row>
    <row r="1367" spans="1:15" x14ac:dyDescent="0.35">
      <c r="A1367" s="116"/>
      <c r="B1367" s="116"/>
      <c r="C1367" s="116"/>
      <c r="D1367" s="116"/>
      <c r="E1367" s="116"/>
      <c r="F1367" s="116"/>
      <c r="G1367" s="136"/>
      <c r="H1367" s="116"/>
      <c r="I1367" s="116"/>
      <c r="J1367" s="116"/>
      <c r="K1367" s="116"/>
      <c r="L1367" s="116"/>
      <c r="M1367" s="116"/>
      <c r="N1367" s="116"/>
      <c r="O1367" s="116"/>
    </row>
    <row r="1368" spans="1:15" x14ac:dyDescent="0.35">
      <c r="A1368" s="116"/>
      <c r="B1368" s="116"/>
      <c r="C1368" s="116"/>
      <c r="D1368" s="116"/>
      <c r="E1368" s="116"/>
      <c r="F1368" s="116"/>
      <c r="G1368" s="136"/>
      <c r="H1368" s="116"/>
      <c r="I1368" s="116"/>
      <c r="J1368" s="116"/>
      <c r="K1368" s="116"/>
      <c r="L1368" s="116"/>
      <c r="M1368" s="116"/>
      <c r="N1368" s="116"/>
      <c r="O1368" s="116"/>
    </row>
    <row r="1369" spans="1:15" x14ac:dyDescent="0.35">
      <c r="A1369" s="116"/>
      <c r="B1369" s="116"/>
      <c r="C1369" s="116"/>
      <c r="D1369" s="116"/>
      <c r="E1369" s="116"/>
      <c r="F1369" s="116"/>
      <c r="G1369" s="136"/>
      <c r="H1369" s="116"/>
      <c r="I1369" s="116"/>
      <c r="J1369" s="116"/>
      <c r="K1369" s="116"/>
      <c r="L1369" s="116"/>
      <c r="M1369" s="116"/>
      <c r="N1369" s="116"/>
      <c r="O1369" s="116"/>
    </row>
    <row r="1370" spans="1:15" x14ac:dyDescent="0.35">
      <c r="A1370" s="116"/>
      <c r="B1370" s="116"/>
      <c r="C1370" s="116"/>
      <c r="D1370" s="116"/>
      <c r="E1370" s="116"/>
      <c r="F1370" s="116"/>
      <c r="G1370" s="136"/>
      <c r="H1370" s="116"/>
      <c r="I1370" s="116"/>
      <c r="J1370" s="116"/>
      <c r="K1370" s="116"/>
      <c r="L1370" s="116"/>
      <c r="M1370" s="116"/>
    </row>
    <row r="1371" spans="1:15" x14ac:dyDescent="0.35">
      <c r="A1371" s="116"/>
      <c r="B1371" s="116"/>
      <c r="C1371" s="116"/>
      <c r="D1371" s="116"/>
      <c r="E1371" s="116"/>
      <c r="F1371" s="116"/>
      <c r="G1371" s="136"/>
      <c r="H1371" s="116"/>
      <c r="I1371" s="116"/>
      <c r="J1371" s="116"/>
      <c r="K1371" s="116"/>
      <c r="L1371" s="116"/>
      <c r="M1371" s="116"/>
    </row>
    <row r="1372" spans="1:15" x14ac:dyDescent="0.35">
      <c r="A1372" s="116"/>
      <c r="B1372" s="116"/>
      <c r="C1372" s="116"/>
      <c r="D1372" s="116"/>
      <c r="E1372" s="116"/>
      <c r="F1372" s="116"/>
      <c r="G1372" s="136"/>
      <c r="H1372" s="116"/>
      <c r="I1372" s="116"/>
      <c r="J1372" s="116"/>
      <c r="K1372" s="116"/>
      <c r="L1372" s="116"/>
      <c r="M1372" s="116"/>
      <c r="N1372" s="116"/>
      <c r="O1372" s="116"/>
    </row>
    <row r="1373" spans="1:15" x14ac:dyDescent="0.35">
      <c r="A1373" s="116"/>
      <c r="B1373" s="116"/>
      <c r="C1373" s="116"/>
      <c r="D1373" s="116"/>
      <c r="E1373" s="116"/>
      <c r="F1373" s="116"/>
      <c r="G1373" s="136"/>
      <c r="H1373" s="116"/>
      <c r="I1373" s="116"/>
      <c r="J1373" s="116"/>
      <c r="K1373" s="116"/>
      <c r="L1373" s="116"/>
      <c r="M1373" s="116"/>
      <c r="N1373" s="116"/>
      <c r="O1373" s="116"/>
    </row>
    <row r="1374" spans="1:15" x14ac:dyDescent="0.35">
      <c r="A1374" s="116"/>
      <c r="B1374" s="116"/>
      <c r="C1374" s="116"/>
      <c r="D1374" s="116"/>
      <c r="E1374" s="116"/>
      <c r="F1374" s="116"/>
      <c r="G1374" s="136"/>
      <c r="H1374" s="116"/>
      <c r="I1374" s="116"/>
      <c r="J1374" s="116"/>
      <c r="K1374" s="116"/>
      <c r="L1374" s="116"/>
      <c r="M1374" s="116"/>
      <c r="N1374" s="116"/>
      <c r="O1374" s="116"/>
    </row>
    <row r="1375" spans="1:15" x14ac:dyDescent="0.35">
      <c r="A1375" s="116"/>
      <c r="B1375" s="116"/>
      <c r="C1375" s="116"/>
      <c r="D1375" s="116"/>
      <c r="E1375" s="116"/>
      <c r="F1375" s="116"/>
      <c r="G1375" s="136"/>
      <c r="H1375" s="116"/>
      <c r="I1375" s="116"/>
      <c r="J1375" s="116"/>
      <c r="K1375" s="116"/>
      <c r="L1375" s="116"/>
      <c r="M1375" s="116"/>
      <c r="N1375" s="116"/>
      <c r="O1375" s="116"/>
    </row>
    <row r="1376" spans="1:15" x14ac:dyDescent="0.35">
      <c r="A1376" s="116"/>
      <c r="B1376" s="116"/>
      <c r="C1376" s="116"/>
      <c r="D1376" s="116"/>
      <c r="E1376" s="116"/>
      <c r="F1376" s="116"/>
      <c r="G1376" s="136"/>
      <c r="H1376" s="116"/>
      <c r="I1376" s="116"/>
      <c r="J1376" s="116"/>
      <c r="K1376" s="116"/>
      <c r="L1376" s="116"/>
      <c r="M1376" s="116"/>
      <c r="N1376" s="116"/>
      <c r="O1376" s="116"/>
    </row>
    <row r="1377" spans="1:15" x14ac:dyDescent="0.35">
      <c r="A1377" s="116"/>
      <c r="B1377" s="116"/>
      <c r="C1377" s="116"/>
      <c r="D1377" s="116"/>
      <c r="E1377" s="116"/>
      <c r="F1377" s="116"/>
      <c r="G1377" s="136"/>
      <c r="H1377" s="116"/>
      <c r="I1377" s="116"/>
      <c r="J1377" s="116"/>
      <c r="K1377" s="116"/>
      <c r="L1377" s="116"/>
      <c r="M1377" s="116"/>
      <c r="N1377" s="116"/>
      <c r="O1377" s="116"/>
    </row>
    <row r="1378" spans="1:15" x14ac:dyDescent="0.35">
      <c r="A1378" s="116"/>
      <c r="B1378" s="116"/>
      <c r="C1378" s="116"/>
      <c r="D1378" s="116"/>
      <c r="E1378" s="116"/>
      <c r="F1378" s="116"/>
      <c r="G1378" s="136"/>
      <c r="H1378" s="116"/>
      <c r="I1378" s="116"/>
      <c r="J1378" s="116"/>
      <c r="K1378" s="116"/>
      <c r="L1378" s="116"/>
      <c r="M1378" s="116"/>
      <c r="N1378" s="116"/>
      <c r="O1378" s="116"/>
    </row>
    <row r="1379" spans="1:15" x14ac:dyDescent="0.35">
      <c r="A1379" s="116"/>
      <c r="B1379" s="116"/>
      <c r="C1379" s="116"/>
      <c r="D1379" s="116"/>
      <c r="E1379" s="116"/>
      <c r="F1379" s="116"/>
      <c r="G1379" s="136"/>
      <c r="H1379" s="116"/>
      <c r="I1379" s="116"/>
      <c r="J1379" s="116"/>
      <c r="K1379" s="116"/>
      <c r="L1379" s="116"/>
      <c r="M1379" s="116"/>
      <c r="N1379" s="116"/>
      <c r="O1379" s="116"/>
    </row>
    <row r="1380" spans="1:15" x14ac:dyDescent="0.35">
      <c r="A1380" s="116"/>
      <c r="B1380" s="116"/>
      <c r="C1380" s="116"/>
      <c r="D1380" s="116"/>
      <c r="E1380" s="116"/>
      <c r="F1380" s="116"/>
      <c r="G1380" s="136"/>
      <c r="H1380" s="116"/>
      <c r="I1380" s="116"/>
      <c r="J1380" s="116"/>
      <c r="K1380" s="116"/>
      <c r="L1380" s="116"/>
      <c r="M1380" s="116"/>
      <c r="N1380" s="116"/>
      <c r="O1380" s="116"/>
    </row>
    <row r="1381" spans="1:15" x14ac:dyDescent="0.35">
      <c r="A1381" s="116"/>
      <c r="B1381" s="116"/>
      <c r="C1381" s="116"/>
      <c r="D1381" s="116"/>
      <c r="E1381" s="116"/>
      <c r="F1381" s="116"/>
      <c r="G1381" s="136"/>
      <c r="H1381" s="116"/>
      <c r="I1381" s="116"/>
      <c r="J1381" s="116"/>
      <c r="K1381" s="116"/>
      <c r="L1381" s="116"/>
      <c r="M1381" s="116"/>
      <c r="N1381" s="116"/>
      <c r="O1381" s="116"/>
    </row>
    <row r="1382" spans="1:15" x14ac:dyDescent="0.35">
      <c r="A1382" s="116"/>
      <c r="B1382" s="116"/>
      <c r="C1382" s="116"/>
      <c r="D1382" s="116"/>
      <c r="E1382" s="116"/>
      <c r="F1382" s="116"/>
      <c r="G1382" s="136"/>
      <c r="H1382" s="116"/>
      <c r="I1382" s="116"/>
      <c r="J1382" s="116"/>
      <c r="K1382" s="116"/>
      <c r="L1382" s="116"/>
      <c r="M1382" s="116"/>
      <c r="N1382" s="116"/>
      <c r="O1382" s="116"/>
    </row>
    <row r="1383" spans="1:15" x14ac:dyDescent="0.35">
      <c r="A1383" s="116"/>
      <c r="B1383" s="116"/>
      <c r="C1383" s="116"/>
      <c r="D1383" s="116"/>
      <c r="E1383" s="116"/>
      <c r="F1383" s="116"/>
      <c r="G1383" s="136"/>
      <c r="H1383" s="116"/>
      <c r="I1383" s="116"/>
      <c r="J1383" s="116"/>
      <c r="K1383" s="116"/>
      <c r="L1383" s="116"/>
      <c r="M1383" s="116"/>
      <c r="N1383" s="116"/>
      <c r="O1383" s="116"/>
    </row>
    <row r="1384" spans="1:15" x14ac:dyDescent="0.35">
      <c r="A1384" s="116"/>
      <c r="B1384" s="116"/>
      <c r="C1384" s="116"/>
      <c r="D1384" s="116"/>
      <c r="E1384" s="116"/>
      <c r="F1384" s="116"/>
      <c r="G1384" s="136"/>
      <c r="H1384" s="116"/>
      <c r="I1384" s="116"/>
      <c r="J1384" s="116"/>
      <c r="K1384" s="116"/>
      <c r="L1384" s="116"/>
      <c r="M1384" s="116"/>
      <c r="N1384" s="116"/>
      <c r="O1384" s="116"/>
    </row>
    <row r="1385" spans="1:15" x14ac:dyDescent="0.35">
      <c r="A1385" s="116"/>
      <c r="B1385" s="116"/>
      <c r="C1385" s="116"/>
      <c r="D1385" s="116"/>
      <c r="E1385" s="116"/>
      <c r="F1385" s="116"/>
      <c r="G1385" s="136"/>
      <c r="H1385" s="116"/>
      <c r="I1385" s="116"/>
      <c r="J1385" s="116"/>
      <c r="K1385" s="116"/>
      <c r="L1385" s="116"/>
      <c r="M1385" s="116"/>
      <c r="N1385" s="116"/>
      <c r="O1385" s="116"/>
    </row>
    <row r="1386" spans="1:15" x14ac:dyDescent="0.35">
      <c r="A1386" s="116"/>
      <c r="B1386" s="116"/>
      <c r="C1386" s="116"/>
      <c r="D1386" s="116"/>
      <c r="E1386" s="116"/>
      <c r="F1386" s="116"/>
      <c r="G1386" s="136"/>
      <c r="H1386" s="116"/>
      <c r="I1386" s="116"/>
      <c r="J1386" s="116"/>
      <c r="K1386" s="116"/>
      <c r="L1386" s="116"/>
      <c r="M1386" s="116"/>
      <c r="N1386" s="116"/>
      <c r="O1386" s="116"/>
    </row>
    <row r="1387" spans="1:15" x14ac:dyDescent="0.35">
      <c r="A1387" s="116"/>
      <c r="B1387" s="116"/>
      <c r="C1387" s="116"/>
      <c r="D1387" s="116"/>
      <c r="E1387" s="116"/>
      <c r="F1387" s="116"/>
      <c r="G1387" s="136"/>
      <c r="H1387" s="116"/>
      <c r="I1387" s="116"/>
      <c r="J1387" s="116"/>
      <c r="K1387" s="116"/>
      <c r="L1387" s="116"/>
      <c r="M1387" s="116"/>
      <c r="N1387" s="116"/>
      <c r="O1387" s="116"/>
    </row>
    <row r="1388" spans="1:15" x14ac:dyDescent="0.35">
      <c r="A1388" s="116"/>
      <c r="B1388" s="116"/>
      <c r="C1388" s="116"/>
      <c r="D1388" s="116"/>
      <c r="E1388" s="116"/>
      <c r="F1388" s="116"/>
      <c r="G1388" s="136"/>
      <c r="H1388" s="116"/>
      <c r="I1388" s="116"/>
      <c r="J1388" s="116"/>
      <c r="K1388" s="116"/>
      <c r="L1388" s="116"/>
      <c r="M1388" s="116"/>
      <c r="N1388" s="116"/>
      <c r="O1388" s="116"/>
    </row>
    <row r="1389" spans="1:15" x14ac:dyDescent="0.35">
      <c r="A1389" s="116"/>
      <c r="B1389" s="116"/>
      <c r="C1389" s="116"/>
      <c r="D1389" s="116"/>
      <c r="E1389" s="116"/>
      <c r="F1389" s="116"/>
      <c r="G1389" s="136"/>
      <c r="H1389" s="116"/>
      <c r="I1389" s="116"/>
      <c r="J1389" s="116"/>
      <c r="K1389" s="116"/>
      <c r="L1389" s="116"/>
      <c r="M1389" s="116"/>
      <c r="N1389" s="116"/>
      <c r="O1389" s="116"/>
    </row>
    <row r="1390" spans="1:15" x14ac:dyDescent="0.35">
      <c r="A1390" s="116"/>
      <c r="B1390" s="116"/>
      <c r="C1390" s="116"/>
      <c r="D1390" s="116"/>
      <c r="E1390" s="116"/>
      <c r="F1390" s="116"/>
      <c r="G1390" s="136"/>
      <c r="H1390" s="116"/>
      <c r="I1390" s="116"/>
      <c r="J1390" s="116"/>
      <c r="K1390" s="116"/>
      <c r="L1390" s="116"/>
      <c r="M1390" s="116"/>
      <c r="N1390" s="116"/>
      <c r="O1390" s="116"/>
    </row>
    <row r="1391" spans="1:15" x14ac:dyDescent="0.35">
      <c r="A1391" s="116"/>
      <c r="B1391" s="116"/>
      <c r="C1391" s="116"/>
      <c r="D1391" s="116"/>
      <c r="E1391" s="116"/>
      <c r="F1391" s="116"/>
      <c r="G1391" s="136"/>
      <c r="H1391" s="116"/>
      <c r="I1391" s="116"/>
      <c r="J1391" s="116"/>
      <c r="K1391" s="116"/>
      <c r="L1391" s="116"/>
      <c r="M1391" s="116"/>
      <c r="N1391" s="116"/>
      <c r="O1391" s="116"/>
    </row>
    <row r="1392" spans="1:15" x14ac:dyDescent="0.35">
      <c r="A1392" s="116"/>
      <c r="B1392" s="116"/>
      <c r="C1392" s="116"/>
      <c r="D1392" s="116"/>
      <c r="E1392" s="116"/>
      <c r="F1392" s="116"/>
      <c r="G1392" s="136"/>
      <c r="H1392" s="116"/>
      <c r="I1392" s="116"/>
      <c r="J1392" s="116"/>
      <c r="K1392" s="116"/>
      <c r="L1392" s="116"/>
      <c r="M1392" s="116"/>
      <c r="N1392" s="116"/>
      <c r="O1392" s="116"/>
    </row>
    <row r="1393" spans="1:15" x14ac:dyDescent="0.35">
      <c r="A1393" s="116"/>
      <c r="B1393" s="116"/>
      <c r="C1393" s="116"/>
      <c r="D1393" s="116"/>
      <c r="E1393" s="116"/>
      <c r="F1393" s="116"/>
      <c r="G1393" s="136"/>
      <c r="H1393" s="116"/>
      <c r="I1393" s="116"/>
      <c r="J1393" s="116"/>
      <c r="K1393" s="116"/>
      <c r="L1393" s="116"/>
      <c r="M1393" s="116"/>
      <c r="N1393" s="116"/>
      <c r="O1393" s="116"/>
    </row>
    <row r="1394" spans="1:15" x14ac:dyDescent="0.35">
      <c r="A1394" s="116"/>
      <c r="B1394" s="116"/>
      <c r="C1394" s="116"/>
      <c r="D1394" s="116"/>
      <c r="E1394" s="116"/>
      <c r="F1394" s="116"/>
      <c r="G1394" s="136"/>
      <c r="H1394" s="116"/>
      <c r="I1394" s="116"/>
      <c r="J1394" s="116"/>
      <c r="K1394" s="116"/>
      <c r="L1394" s="116"/>
      <c r="M1394" s="116"/>
      <c r="N1394" s="116"/>
      <c r="O1394" s="116"/>
    </row>
    <row r="1395" spans="1:15" x14ac:dyDescent="0.35">
      <c r="A1395" s="116"/>
      <c r="B1395" s="116"/>
      <c r="C1395" s="116"/>
      <c r="D1395" s="116"/>
      <c r="E1395" s="116"/>
      <c r="F1395" s="116"/>
      <c r="G1395" s="136"/>
      <c r="H1395" s="116"/>
      <c r="I1395" s="116"/>
      <c r="J1395" s="116"/>
      <c r="K1395" s="116"/>
      <c r="L1395" s="116"/>
      <c r="M1395" s="116"/>
      <c r="N1395" s="116"/>
      <c r="O1395" s="116"/>
    </row>
    <row r="1396" spans="1:15" x14ac:dyDescent="0.35">
      <c r="A1396" s="116"/>
      <c r="B1396" s="116"/>
      <c r="C1396" s="116"/>
      <c r="D1396" s="116"/>
      <c r="E1396" s="116"/>
      <c r="F1396" s="116"/>
      <c r="G1396" s="136"/>
      <c r="H1396" s="116"/>
      <c r="I1396" s="116"/>
      <c r="J1396" s="116"/>
      <c r="K1396" s="116"/>
      <c r="L1396" s="116"/>
      <c r="M1396" s="116"/>
      <c r="N1396" s="116"/>
      <c r="O1396" s="116"/>
    </row>
    <row r="1397" spans="1:15" x14ac:dyDescent="0.35">
      <c r="A1397" s="116"/>
      <c r="B1397" s="116"/>
      <c r="C1397" s="116"/>
      <c r="D1397" s="116"/>
      <c r="E1397" s="116"/>
      <c r="F1397" s="116"/>
      <c r="G1397" s="136"/>
      <c r="H1397" s="116"/>
      <c r="I1397" s="116"/>
      <c r="J1397" s="116"/>
      <c r="K1397" s="116"/>
      <c r="L1397" s="116"/>
      <c r="M1397" s="116"/>
      <c r="N1397" s="116"/>
      <c r="O1397" s="116"/>
    </row>
    <row r="1398" spans="1:15" x14ac:dyDescent="0.35">
      <c r="A1398" s="116"/>
      <c r="B1398" s="116"/>
      <c r="C1398" s="116"/>
      <c r="D1398" s="116"/>
      <c r="E1398" s="116"/>
      <c r="F1398" s="116"/>
      <c r="G1398" s="136"/>
      <c r="H1398" s="116"/>
      <c r="I1398" s="116"/>
      <c r="J1398" s="116"/>
      <c r="K1398" s="116"/>
      <c r="L1398" s="116"/>
      <c r="M1398" s="116"/>
      <c r="N1398" s="116"/>
      <c r="O1398" s="116"/>
    </row>
    <row r="1399" spans="1:15" x14ac:dyDescent="0.35">
      <c r="A1399" s="116"/>
      <c r="B1399" s="116"/>
      <c r="C1399" s="116"/>
      <c r="D1399" s="116"/>
      <c r="E1399" s="116"/>
      <c r="F1399" s="116"/>
      <c r="G1399" s="136"/>
      <c r="H1399" s="116"/>
      <c r="I1399" s="116"/>
      <c r="J1399" s="116"/>
      <c r="K1399" s="116"/>
      <c r="L1399" s="116"/>
      <c r="M1399" s="116"/>
      <c r="N1399" s="116"/>
      <c r="O1399" s="116"/>
    </row>
    <row r="1400" spans="1:15" x14ac:dyDescent="0.35">
      <c r="A1400" s="116"/>
      <c r="B1400" s="116"/>
      <c r="C1400" s="116"/>
      <c r="D1400" s="116"/>
      <c r="E1400" s="116"/>
      <c r="F1400" s="116"/>
      <c r="G1400" s="136"/>
      <c r="H1400" s="116"/>
      <c r="I1400" s="116"/>
      <c r="J1400" s="116"/>
      <c r="K1400" s="116"/>
      <c r="L1400" s="116"/>
      <c r="M1400" s="116"/>
      <c r="N1400" s="116"/>
      <c r="O1400" s="116"/>
    </row>
    <row r="1401" spans="1:15" x14ac:dyDescent="0.35">
      <c r="A1401" s="116"/>
      <c r="B1401" s="116"/>
      <c r="C1401" s="116"/>
      <c r="D1401" s="116"/>
      <c r="E1401" s="116"/>
      <c r="F1401" s="116"/>
      <c r="G1401" s="136"/>
      <c r="H1401" s="116"/>
      <c r="I1401" s="116"/>
      <c r="J1401" s="116"/>
      <c r="K1401" s="116"/>
      <c r="L1401" s="116"/>
      <c r="M1401" s="116"/>
      <c r="N1401" s="116"/>
      <c r="O1401" s="116"/>
    </row>
    <row r="1402" spans="1:15" x14ac:dyDescent="0.35">
      <c r="A1402" s="116"/>
      <c r="B1402" s="116"/>
      <c r="C1402" s="116"/>
      <c r="D1402" s="116"/>
      <c r="E1402" s="116"/>
      <c r="F1402" s="116"/>
      <c r="G1402" s="136"/>
      <c r="H1402" s="116"/>
      <c r="I1402" s="116"/>
      <c r="J1402" s="116"/>
      <c r="K1402" s="116"/>
      <c r="L1402" s="116"/>
      <c r="M1402" s="116"/>
      <c r="N1402" s="116"/>
      <c r="O1402" s="116"/>
    </row>
    <row r="1403" spans="1:15" x14ac:dyDescent="0.35">
      <c r="A1403" s="116"/>
      <c r="B1403" s="116"/>
      <c r="C1403" s="116"/>
      <c r="D1403" s="116"/>
      <c r="E1403" s="116"/>
      <c r="F1403" s="116"/>
      <c r="G1403" s="136"/>
      <c r="H1403" s="116"/>
      <c r="I1403" s="116"/>
      <c r="J1403" s="116"/>
      <c r="K1403" s="116"/>
      <c r="L1403" s="116"/>
      <c r="M1403" s="116"/>
      <c r="N1403" s="116"/>
      <c r="O1403" s="116"/>
    </row>
    <row r="1404" spans="1:15" x14ac:dyDescent="0.35">
      <c r="A1404" s="116"/>
      <c r="B1404" s="116"/>
      <c r="C1404" s="116"/>
      <c r="D1404" s="116"/>
      <c r="E1404" s="116"/>
      <c r="F1404" s="116"/>
      <c r="G1404" s="136"/>
      <c r="H1404" s="116"/>
      <c r="I1404" s="116"/>
      <c r="J1404" s="116"/>
      <c r="K1404" s="116"/>
      <c r="L1404" s="116"/>
      <c r="M1404" s="116"/>
    </row>
    <row r="1405" spans="1:15" x14ac:dyDescent="0.35">
      <c r="A1405" s="116"/>
      <c r="B1405" s="116"/>
      <c r="C1405" s="116"/>
      <c r="D1405" s="116"/>
      <c r="E1405" s="116"/>
      <c r="F1405" s="116"/>
      <c r="G1405" s="136"/>
      <c r="H1405" s="116"/>
      <c r="I1405" s="116"/>
      <c r="J1405" s="116"/>
      <c r="K1405" s="116"/>
      <c r="L1405" s="116"/>
      <c r="M1405" s="116"/>
    </row>
    <row r="1406" spans="1:15" x14ac:dyDescent="0.35">
      <c r="A1406" s="116"/>
      <c r="B1406" s="116"/>
      <c r="C1406" s="116"/>
      <c r="D1406" s="116"/>
      <c r="E1406" s="116"/>
      <c r="F1406" s="116"/>
      <c r="G1406" s="136"/>
      <c r="H1406" s="116"/>
      <c r="I1406" s="116"/>
      <c r="J1406" s="116"/>
      <c r="K1406" s="116"/>
      <c r="L1406" s="116"/>
      <c r="M1406" s="116"/>
      <c r="N1406" s="116"/>
      <c r="O1406" s="116"/>
    </row>
    <row r="1407" spans="1:15" x14ac:dyDescent="0.35">
      <c r="A1407" s="116"/>
      <c r="B1407" s="116"/>
      <c r="C1407" s="116"/>
      <c r="D1407" s="116"/>
      <c r="E1407" s="116"/>
      <c r="F1407" s="116"/>
      <c r="G1407" s="136"/>
      <c r="H1407" s="116"/>
      <c r="I1407" s="116"/>
      <c r="J1407" s="116"/>
      <c r="K1407" s="116"/>
      <c r="L1407" s="116"/>
      <c r="M1407" s="116"/>
      <c r="N1407" s="116"/>
      <c r="O1407" s="116"/>
    </row>
    <row r="1408" spans="1:15" x14ac:dyDescent="0.35">
      <c r="A1408" s="116"/>
      <c r="B1408" s="116"/>
      <c r="C1408" s="116"/>
      <c r="D1408" s="116"/>
      <c r="E1408" s="116"/>
      <c r="F1408" s="116"/>
      <c r="G1408" s="136"/>
      <c r="H1408" s="116"/>
      <c r="I1408" s="116"/>
      <c r="J1408" s="116"/>
      <c r="K1408" s="116"/>
      <c r="L1408" s="116"/>
      <c r="M1408" s="116"/>
      <c r="N1408" s="116"/>
      <c r="O1408" s="116"/>
    </row>
    <row r="1409" spans="1:15" x14ac:dyDescent="0.35">
      <c r="A1409" s="116"/>
      <c r="B1409" s="116"/>
      <c r="C1409" s="116"/>
      <c r="D1409" s="116"/>
      <c r="E1409" s="116"/>
      <c r="F1409" s="116"/>
      <c r="G1409" s="136"/>
      <c r="H1409" s="116"/>
      <c r="I1409" s="116"/>
      <c r="J1409" s="116"/>
      <c r="K1409" s="116"/>
      <c r="L1409" s="116"/>
      <c r="M1409" s="116"/>
      <c r="N1409" s="116"/>
      <c r="O1409" s="116"/>
    </row>
    <row r="1410" spans="1:15" x14ac:dyDescent="0.35">
      <c r="A1410" s="116"/>
      <c r="B1410" s="116"/>
      <c r="C1410" s="116"/>
      <c r="D1410" s="116"/>
      <c r="E1410" s="116"/>
      <c r="F1410" s="116"/>
      <c r="G1410" s="136"/>
      <c r="H1410" s="116"/>
      <c r="I1410" s="116"/>
      <c r="J1410" s="116"/>
      <c r="K1410" s="116"/>
      <c r="L1410" s="116"/>
      <c r="M1410" s="116"/>
      <c r="N1410" s="116"/>
      <c r="O1410" s="116"/>
    </row>
    <row r="1411" spans="1:15" x14ac:dyDescent="0.35">
      <c r="A1411" s="116"/>
      <c r="B1411" s="116"/>
      <c r="C1411" s="116"/>
      <c r="D1411" s="116"/>
      <c r="E1411" s="116"/>
      <c r="F1411" s="116"/>
      <c r="G1411" s="136"/>
      <c r="H1411" s="116"/>
      <c r="I1411" s="116"/>
      <c r="J1411" s="116"/>
      <c r="K1411" s="116"/>
      <c r="L1411" s="116"/>
      <c r="M1411" s="116"/>
      <c r="N1411" s="116"/>
      <c r="O1411" s="116"/>
    </row>
    <row r="1412" spans="1:15" x14ac:dyDescent="0.35">
      <c r="A1412" s="116"/>
      <c r="B1412" s="116"/>
      <c r="C1412" s="116"/>
      <c r="D1412" s="116"/>
      <c r="E1412" s="116"/>
      <c r="F1412" s="116"/>
      <c r="G1412" s="136"/>
      <c r="H1412" s="116"/>
      <c r="I1412" s="116"/>
      <c r="J1412" s="116"/>
      <c r="K1412" s="116"/>
      <c r="L1412" s="116"/>
      <c r="M1412" s="116"/>
      <c r="N1412" s="116"/>
      <c r="O1412" s="116"/>
    </row>
    <row r="1413" spans="1:15" x14ac:dyDescent="0.35">
      <c r="A1413" s="116"/>
      <c r="B1413" s="116"/>
      <c r="C1413" s="116"/>
      <c r="D1413" s="116"/>
      <c r="E1413" s="116"/>
      <c r="F1413" s="116"/>
      <c r="G1413" s="136"/>
      <c r="H1413" s="116"/>
      <c r="I1413" s="116"/>
      <c r="J1413" s="116"/>
      <c r="K1413" s="116"/>
      <c r="L1413" s="116"/>
      <c r="M1413" s="116"/>
      <c r="N1413" s="116"/>
      <c r="O1413" s="116"/>
    </row>
    <row r="1414" spans="1:15" x14ac:dyDescent="0.35">
      <c r="A1414" s="116"/>
      <c r="B1414" s="116"/>
      <c r="C1414" s="116"/>
      <c r="D1414" s="116"/>
      <c r="E1414" s="116"/>
      <c r="F1414" s="116"/>
      <c r="G1414" s="136"/>
      <c r="H1414" s="116"/>
      <c r="I1414" s="116"/>
      <c r="J1414" s="116"/>
      <c r="K1414" s="116"/>
      <c r="L1414" s="116"/>
      <c r="M1414" s="116"/>
      <c r="N1414" s="31"/>
      <c r="O1414" s="31"/>
    </row>
    <row r="1415" spans="1:15" x14ac:dyDescent="0.35">
      <c r="A1415" s="116"/>
      <c r="B1415" s="116"/>
      <c r="C1415" s="116"/>
      <c r="D1415" s="116"/>
      <c r="E1415" s="116"/>
      <c r="F1415" s="116"/>
      <c r="G1415" s="136"/>
      <c r="H1415" s="116"/>
      <c r="I1415" s="116"/>
      <c r="J1415" s="116"/>
      <c r="K1415" s="116"/>
      <c r="L1415" s="116"/>
      <c r="M1415" s="116"/>
    </row>
    <row r="1416" spans="1:15" x14ac:dyDescent="0.35">
      <c r="A1416" s="116"/>
      <c r="B1416" s="116"/>
      <c r="C1416" s="116"/>
      <c r="D1416" s="116"/>
      <c r="E1416" s="116"/>
      <c r="F1416" s="116"/>
      <c r="G1416" s="136"/>
      <c r="H1416" s="116"/>
      <c r="I1416" s="116"/>
      <c r="J1416" s="116"/>
      <c r="K1416" s="116"/>
      <c r="L1416" s="116"/>
      <c r="M1416" s="116"/>
    </row>
    <row r="1417" spans="1:15" x14ac:dyDescent="0.35">
      <c r="A1417" s="116"/>
      <c r="B1417" s="116"/>
      <c r="C1417" s="116"/>
      <c r="D1417" s="116"/>
      <c r="E1417" s="116"/>
      <c r="F1417" s="116"/>
      <c r="G1417" s="136"/>
      <c r="H1417" s="116"/>
      <c r="I1417" s="116"/>
      <c r="J1417" s="116"/>
      <c r="K1417" s="116"/>
      <c r="L1417" s="116"/>
      <c r="M1417" s="116"/>
    </row>
    <row r="1418" spans="1:15" x14ac:dyDescent="0.35">
      <c r="A1418" s="116"/>
      <c r="B1418" s="116"/>
      <c r="C1418" s="116"/>
      <c r="D1418" s="116"/>
      <c r="E1418" s="116"/>
      <c r="F1418" s="116"/>
      <c r="G1418" s="136"/>
      <c r="H1418" s="116"/>
      <c r="I1418" s="116"/>
      <c r="J1418" s="116"/>
      <c r="K1418" s="116"/>
      <c r="L1418" s="116"/>
      <c r="M1418" s="116"/>
    </row>
    <row r="1419" spans="1:15" x14ac:dyDescent="0.35">
      <c r="A1419" s="116"/>
      <c r="B1419" s="116"/>
      <c r="C1419" s="116"/>
      <c r="D1419" s="116"/>
      <c r="E1419" s="116"/>
      <c r="F1419" s="116"/>
      <c r="G1419" s="136"/>
      <c r="H1419" s="116"/>
      <c r="I1419" s="116"/>
      <c r="J1419" s="116"/>
      <c r="K1419" s="116"/>
      <c r="L1419" s="116"/>
      <c r="M1419" s="116"/>
    </row>
    <row r="1420" spans="1:15" x14ac:dyDescent="0.35">
      <c r="A1420" s="116"/>
      <c r="B1420" s="116"/>
      <c r="C1420" s="116"/>
      <c r="D1420" s="116"/>
      <c r="E1420" s="116"/>
      <c r="F1420" s="116"/>
      <c r="G1420" s="136"/>
      <c r="H1420" s="116"/>
      <c r="I1420" s="116"/>
      <c r="J1420" s="116"/>
      <c r="K1420" s="116"/>
      <c r="L1420" s="116"/>
      <c r="M1420" s="116"/>
      <c r="N1420" s="116"/>
      <c r="O1420" s="116"/>
    </row>
    <row r="1421" spans="1:15" x14ac:dyDescent="0.35">
      <c r="A1421" s="116"/>
      <c r="B1421" s="116"/>
      <c r="C1421" s="116"/>
      <c r="D1421" s="116"/>
      <c r="E1421" s="116"/>
      <c r="F1421" s="116"/>
      <c r="G1421" s="136"/>
      <c r="H1421" s="116"/>
      <c r="I1421" s="116"/>
      <c r="J1421" s="116"/>
      <c r="K1421" s="116"/>
      <c r="L1421" s="116"/>
      <c r="M1421" s="116"/>
    </row>
    <row r="1422" spans="1:15" x14ac:dyDescent="0.35">
      <c r="A1422" s="116"/>
      <c r="B1422" s="116"/>
      <c r="C1422" s="116"/>
      <c r="D1422" s="116"/>
      <c r="E1422" s="116"/>
      <c r="F1422" s="116"/>
      <c r="G1422" s="136"/>
      <c r="H1422" s="116"/>
      <c r="I1422" s="116"/>
      <c r="J1422" s="116"/>
      <c r="K1422" s="116"/>
      <c r="L1422" s="116"/>
      <c r="M1422" s="116"/>
      <c r="N1422" s="31"/>
      <c r="O1422" s="31"/>
    </row>
    <row r="1423" spans="1:15" x14ac:dyDescent="0.35">
      <c r="A1423" s="116"/>
      <c r="B1423" s="116"/>
      <c r="C1423" s="116"/>
      <c r="D1423" s="116"/>
      <c r="E1423" s="116"/>
      <c r="F1423" s="116"/>
      <c r="G1423" s="136"/>
      <c r="H1423" s="116"/>
      <c r="I1423" s="116"/>
      <c r="J1423" s="116"/>
      <c r="K1423" s="116"/>
      <c r="L1423" s="116"/>
      <c r="M1423" s="116"/>
      <c r="N1423" s="116"/>
      <c r="O1423" s="116"/>
    </row>
    <row r="1424" spans="1:15" x14ac:dyDescent="0.35">
      <c r="A1424" s="116"/>
      <c r="B1424" s="116"/>
      <c r="C1424" s="116"/>
      <c r="D1424" s="116"/>
      <c r="E1424" s="116"/>
      <c r="F1424" s="116"/>
      <c r="G1424" s="136"/>
      <c r="H1424" s="116"/>
      <c r="I1424" s="116"/>
      <c r="J1424" s="116"/>
      <c r="K1424" s="116"/>
      <c r="L1424" s="116"/>
      <c r="M1424" s="116"/>
      <c r="N1424" s="116"/>
      <c r="O1424" s="116"/>
    </row>
    <row r="1425" spans="1:15" x14ac:dyDescent="0.35">
      <c r="A1425" s="116"/>
      <c r="B1425" s="116"/>
      <c r="C1425" s="116"/>
      <c r="D1425" s="116"/>
      <c r="E1425" s="116"/>
      <c r="F1425" s="116"/>
      <c r="G1425" s="136"/>
      <c r="H1425" s="116"/>
      <c r="I1425" s="116"/>
      <c r="J1425" s="116"/>
      <c r="K1425" s="116"/>
      <c r="L1425" s="116"/>
      <c r="M1425" s="116"/>
      <c r="N1425" s="116"/>
      <c r="O1425" s="116"/>
    </row>
    <row r="1426" spans="1:15" x14ac:dyDescent="0.35">
      <c r="A1426" s="116"/>
      <c r="B1426" s="116"/>
      <c r="C1426" s="116"/>
      <c r="D1426" s="116"/>
      <c r="E1426" s="116"/>
      <c r="F1426" s="116"/>
      <c r="G1426" s="136"/>
      <c r="H1426" s="116"/>
      <c r="I1426" s="116"/>
      <c r="J1426" s="116"/>
      <c r="K1426" s="116"/>
      <c r="L1426" s="116"/>
      <c r="M1426" s="116"/>
      <c r="N1426" s="116"/>
      <c r="O1426" s="116"/>
    </row>
    <row r="1427" spans="1:15" x14ac:dyDescent="0.35">
      <c r="A1427" s="116"/>
      <c r="B1427" s="116"/>
      <c r="C1427" s="116"/>
      <c r="D1427" s="116"/>
      <c r="E1427" s="116"/>
      <c r="F1427" s="116"/>
      <c r="G1427" s="136"/>
      <c r="H1427" s="116"/>
      <c r="I1427" s="116"/>
      <c r="J1427" s="116"/>
      <c r="K1427" s="116"/>
      <c r="L1427" s="116"/>
      <c r="M1427" s="116"/>
      <c r="N1427" s="116"/>
      <c r="O1427" s="116"/>
    </row>
    <row r="1428" spans="1:15" x14ac:dyDescent="0.35">
      <c r="A1428" s="116"/>
      <c r="B1428" s="116"/>
      <c r="C1428" s="116"/>
      <c r="D1428" s="116"/>
      <c r="E1428" s="116"/>
      <c r="F1428" s="116"/>
      <c r="G1428" s="136"/>
      <c r="H1428" s="116"/>
      <c r="I1428" s="116"/>
      <c r="J1428" s="116"/>
      <c r="K1428" s="116"/>
      <c r="L1428" s="116"/>
      <c r="M1428" s="116"/>
      <c r="N1428" s="116"/>
      <c r="O1428" s="116"/>
    </row>
    <row r="1429" spans="1:15" x14ac:dyDescent="0.35">
      <c r="A1429" s="116"/>
      <c r="B1429" s="116"/>
      <c r="C1429" s="116"/>
      <c r="D1429" s="116"/>
      <c r="E1429" s="116"/>
      <c r="F1429" s="116"/>
      <c r="G1429" s="136"/>
      <c r="H1429" s="116"/>
      <c r="I1429" s="116"/>
      <c r="J1429" s="116"/>
      <c r="K1429" s="116"/>
      <c r="L1429" s="116"/>
      <c r="M1429" s="116"/>
      <c r="N1429" s="116"/>
      <c r="O1429" s="116"/>
    </row>
    <row r="1430" spans="1:15" x14ac:dyDescent="0.35">
      <c r="A1430" s="116"/>
      <c r="B1430" s="116"/>
      <c r="C1430" s="116"/>
      <c r="D1430" s="116"/>
      <c r="E1430" s="116"/>
      <c r="F1430" s="116"/>
      <c r="G1430" s="136"/>
      <c r="H1430" s="116"/>
      <c r="I1430" s="116"/>
      <c r="J1430" s="116"/>
      <c r="K1430" s="116"/>
      <c r="L1430" s="116"/>
      <c r="M1430" s="116"/>
      <c r="N1430" s="116"/>
      <c r="O1430" s="116"/>
    </row>
    <row r="1431" spans="1:15" x14ac:dyDescent="0.35">
      <c r="A1431" s="116"/>
      <c r="B1431" s="116"/>
      <c r="C1431" s="116"/>
      <c r="D1431" s="116"/>
      <c r="E1431" s="116"/>
      <c r="F1431" s="116"/>
      <c r="G1431" s="136"/>
      <c r="H1431" s="116"/>
      <c r="I1431" s="116"/>
      <c r="J1431" s="116"/>
      <c r="K1431" s="116"/>
      <c r="L1431" s="116"/>
      <c r="M1431" s="116"/>
      <c r="N1431" s="116"/>
      <c r="O1431" s="116"/>
    </row>
    <row r="1432" spans="1:15" x14ac:dyDescent="0.35">
      <c r="A1432" s="116"/>
      <c r="B1432" s="116"/>
      <c r="C1432" s="116"/>
      <c r="D1432" s="116"/>
      <c r="E1432" s="116"/>
      <c r="F1432" s="116"/>
      <c r="G1432" s="136"/>
      <c r="H1432" s="116"/>
      <c r="I1432" s="116"/>
      <c r="J1432" s="116"/>
      <c r="K1432" s="116"/>
      <c r="L1432" s="116"/>
      <c r="M1432" s="116"/>
    </row>
    <row r="1433" spans="1:15" x14ac:dyDescent="0.35">
      <c r="A1433" s="116"/>
      <c r="B1433" s="116"/>
      <c r="C1433" s="116"/>
      <c r="D1433" s="116"/>
      <c r="E1433" s="116"/>
      <c r="F1433" s="116"/>
      <c r="G1433" s="136"/>
      <c r="H1433" s="116"/>
      <c r="I1433" s="116"/>
      <c r="J1433" s="116"/>
      <c r="K1433" s="116"/>
      <c r="L1433" s="116"/>
      <c r="M1433" s="116"/>
      <c r="N1433" s="116"/>
      <c r="O1433" s="116"/>
    </row>
    <row r="1434" spans="1:15" x14ac:dyDescent="0.35">
      <c r="A1434" s="116"/>
      <c r="B1434" s="116"/>
      <c r="C1434" s="116"/>
      <c r="D1434" s="116"/>
      <c r="E1434" s="116"/>
      <c r="F1434" s="116"/>
      <c r="G1434" s="136"/>
      <c r="H1434" s="116"/>
      <c r="I1434" s="116"/>
      <c r="J1434" s="116"/>
      <c r="K1434" s="116"/>
      <c r="L1434" s="116"/>
      <c r="M1434" s="116"/>
      <c r="N1434" s="116"/>
      <c r="O1434" s="116"/>
    </row>
    <row r="1435" spans="1:15" x14ac:dyDescent="0.35">
      <c r="A1435" s="116"/>
      <c r="B1435" s="116"/>
      <c r="C1435" s="116"/>
      <c r="D1435" s="116"/>
      <c r="E1435" s="116"/>
      <c r="F1435" s="116"/>
      <c r="G1435" s="136"/>
      <c r="H1435" s="116"/>
      <c r="I1435" s="116"/>
      <c r="J1435" s="116"/>
      <c r="K1435" s="116"/>
      <c r="L1435" s="116"/>
      <c r="M1435" s="116"/>
      <c r="N1435" s="116"/>
      <c r="O1435" s="116"/>
    </row>
    <row r="1436" spans="1:15" x14ac:dyDescent="0.35">
      <c r="A1436" s="116"/>
      <c r="B1436" s="116"/>
      <c r="C1436" s="116"/>
      <c r="D1436" s="116"/>
      <c r="E1436" s="116"/>
      <c r="F1436" s="116"/>
      <c r="G1436" s="136"/>
      <c r="H1436" s="116"/>
      <c r="I1436" s="116"/>
      <c r="J1436" s="116"/>
      <c r="K1436" s="116"/>
      <c r="L1436" s="116"/>
      <c r="M1436" s="116"/>
      <c r="N1436" s="116"/>
      <c r="O1436" s="116"/>
    </row>
    <row r="1437" spans="1:15" x14ac:dyDescent="0.35">
      <c r="A1437" s="116"/>
      <c r="B1437" s="116"/>
      <c r="C1437" s="116"/>
      <c r="D1437" s="116"/>
      <c r="E1437" s="116"/>
      <c r="F1437" s="116"/>
      <c r="G1437" s="136"/>
      <c r="H1437" s="116"/>
      <c r="I1437" s="116"/>
      <c r="J1437" s="116"/>
      <c r="K1437" s="116"/>
      <c r="L1437" s="116"/>
      <c r="M1437" s="116"/>
      <c r="N1437" s="116"/>
      <c r="O1437" s="116"/>
    </row>
    <row r="1438" spans="1:15" x14ac:dyDescent="0.35">
      <c r="A1438" s="116"/>
      <c r="B1438" s="116"/>
      <c r="C1438" s="116"/>
      <c r="D1438" s="116"/>
      <c r="E1438" s="116"/>
      <c r="F1438" s="116"/>
      <c r="G1438" s="136"/>
      <c r="H1438" s="116"/>
      <c r="I1438" s="116"/>
      <c r="J1438" s="116"/>
      <c r="K1438" s="116"/>
      <c r="L1438" s="116"/>
      <c r="M1438" s="116"/>
      <c r="N1438" s="116"/>
      <c r="O1438" s="116"/>
    </row>
    <row r="1439" spans="1:15" x14ac:dyDescent="0.35">
      <c r="A1439" s="116"/>
      <c r="B1439" s="116"/>
      <c r="C1439" s="116"/>
      <c r="D1439" s="116"/>
      <c r="E1439" s="116"/>
      <c r="F1439" s="116"/>
      <c r="G1439" s="136"/>
      <c r="H1439" s="116"/>
      <c r="I1439" s="116"/>
      <c r="J1439" s="116"/>
      <c r="K1439" s="116"/>
      <c r="L1439" s="116"/>
      <c r="M1439" s="116"/>
      <c r="N1439" s="116"/>
      <c r="O1439" s="116"/>
    </row>
    <row r="1440" spans="1:15" x14ac:dyDescent="0.35">
      <c r="A1440" s="116"/>
      <c r="B1440" s="116"/>
      <c r="C1440" s="116"/>
      <c r="D1440" s="116"/>
      <c r="E1440" s="116"/>
      <c r="F1440" s="116"/>
      <c r="G1440" s="136"/>
      <c r="H1440" s="116"/>
      <c r="I1440" s="116"/>
      <c r="J1440" s="116"/>
      <c r="K1440" s="116"/>
      <c r="L1440" s="116"/>
      <c r="M1440" s="116"/>
      <c r="N1440" s="116"/>
      <c r="O1440" s="116"/>
    </row>
    <row r="1441" spans="1:15" x14ac:dyDescent="0.35">
      <c r="A1441" s="116"/>
      <c r="B1441" s="116"/>
      <c r="C1441" s="116"/>
      <c r="D1441" s="116"/>
      <c r="E1441" s="116"/>
      <c r="F1441" s="116"/>
      <c r="G1441" s="136"/>
      <c r="H1441" s="116"/>
      <c r="I1441" s="116"/>
      <c r="J1441" s="116"/>
      <c r="K1441" s="116"/>
      <c r="L1441" s="116"/>
      <c r="M1441" s="116"/>
      <c r="N1441" s="116"/>
      <c r="O1441" s="116"/>
    </row>
    <row r="1442" spans="1:15" x14ac:dyDescent="0.35">
      <c r="A1442" s="116"/>
      <c r="B1442" s="116"/>
      <c r="C1442" s="116"/>
      <c r="D1442" s="116"/>
      <c r="E1442" s="116"/>
      <c r="F1442" s="116"/>
      <c r="G1442" s="136"/>
      <c r="H1442" s="116"/>
      <c r="I1442" s="116"/>
      <c r="J1442" s="116"/>
      <c r="K1442" s="116"/>
      <c r="L1442" s="116"/>
      <c r="M1442" s="116"/>
      <c r="N1442" s="116"/>
      <c r="O1442" s="116"/>
    </row>
    <row r="1443" spans="1:15" x14ac:dyDescent="0.35">
      <c r="A1443" s="116"/>
      <c r="B1443" s="116"/>
      <c r="C1443" s="116"/>
      <c r="D1443" s="116"/>
      <c r="E1443" s="116"/>
      <c r="F1443" s="116"/>
      <c r="G1443" s="136"/>
      <c r="H1443" s="116"/>
      <c r="I1443" s="116"/>
      <c r="J1443" s="116"/>
      <c r="K1443" s="116"/>
      <c r="L1443" s="116"/>
      <c r="M1443" s="116"/>
      <c r="N1443" s="116"/>
      <c r="O1443" s="116"/>
    </row>
    <row r="1444" spans="1:15" x14ac:dyDescent="0.35">
      <c r="A1444" s="116"/>
      <c r="B1444" s="116"/>
      <c r="C1444" s="116"/>
      <c r="D1444" s="116"/>
      <c r="E1444" s="116"/>
      <c r="F1444" s="116"/>
      <c r="G1444" s="136"/>
      <c r="H1444" s="116"/>
      <c r="I1444" s="116"/>
      <c r="J1444" s="116"/>
      <c r="K1444" s="116"/>
      <c r="L1444" s="116"/>
      <c r="M1444" s="116"/>
      <c r="N1444" s="116"/>
      <c r="O1444" s="116"/>
    </row>
    <row r="1445" spans="1:15" x14ac:dyDescent="0.35">
      <c r="A1445" s="116"/>
      <c r="B1445" s="116"/>
      <c r="C1445" s="116"/>
      <c r="D1445" s="116"/>
      <c r="E1445" s="116"/>
      <c r="F1445" s="116"/>
      <c r="G1445" s="136"/>
      <c r="H1445" s="116"/>
      <c r="I1445" s="116"/>
      <c r="J1445" s="116"/>
      <c r="K1445" s="116"/>
      <c r="L1445" s="116"/>
      <c r="M1445" s="116"/>
      <c r="N1445" s="116"/>
      <c r="O1445" s="116"/>
    </row>
    <row r="1446" spans="1:15" x14ac:dyDescent="0.35">
      <c r="A1446" s="116"/>
      <c r="B1446" s="116"/>
      <c r="C1446" s="116"/>
      <c r="D1446" s="116"/>
      <c r="E1446" s="116"/>
      <c r="F1446" s="116"/>
      <c r="G1446" s="136"/>
      <c r="H1446" s="116"/>
      <c r="I1446" s="116"/>
      <c r="J1446" s="116"/>
      <c r="K1446" s="116"/>
      <c r="L1446" s="116"/>
      <c r="M1446" s="116"/>
      <c r="N1446" s="116"/>
      <c r="O1446" s="116"/>
    </row>
    <row r="1447" spans="1:15" x14ac:dyDescent="0.35">
      <c r="A1447" s="116"/>
      <c r="B1447" s="116"/>
      <c r="C1447" s="116"/>
      <c r="D1447" s="116"/>
      <c r="E1447" s="116"/>
      <c r="F1447" s="116"/>
      <c r="G1447" s="136"/>
      <c r="H1447" s="116"/>
      <c r="I1447" s="116"/>
      <c r="J1447" s="116"/>
      <c r="K1447" s="116"/>
      <c r="L1447" s="116"/>
      <c r="M1447" s="116"/>
      <c r="N1447" s="116"/>
      <c r="O1447" s="116"/>
    </row>
    <row r="1448" spans="1:15" x14ac:dyDescent="0.35">
      <c r="A1448" s="116"/>
      <c r="B1448" s="116"/>
      <c r="C1448" s="116"/>
      <c r="D1448" s="116"/>
      <c r="E1448" s="116"/>
      <c r="F1448" s="116"/>
      <c r="G1448" s="136"/>
      <c r="H1448" s="116"/>
      <c r="I1448" s="116"/>
      <c r="J1448" s="116"/>
      <c r="K1448" s="116"/>
      <c r="L1448" s="116"/>
      <c r="M1448" s="116"/>
      <c r="N1448" s="116"/>
      <c r="O1448" s="116"/>
    </row>
    <row r="1449" spans="1:15" x14ac:dyDescent="0.35">
      <c r="A1449" s="116"/>
      <c r="B1449" s="116"/>
      <c r="C1449" s="116"/>
      <c r="D1449" s="116"/>
      <c r="E1449" s="116"/>
      <c r="F1449" s="116"/>
      <c r="G1449" s="136"/>
      <c r="H1449" s="116"/>
      <c r="I1449" s="116"/>
      <c r="J1449" s="116"/>
      <c r="K1449" s="116"/>
      <c r="L1449" s="116"/>
      <c r="M1449" s="116"/>
      <c r="N1449" s="116"/>
      <c r="O1449" s="116"/>
    </row>
    <row r="1450" spans="1:15" x14ac:dyDescent="0.35">
      <c r="A1450" s="116"/>
      <c r="B1450" s="116"/>
      <c r="C1450" s="116"/>
      <c r="D1450" s="116"/>
      <c r="E1450" s="116"/>
      <c r="F1450" s="116"/>
      <c r="G1450" s="136"/>
      <c r="H1450" s="116"/>
      <c r="I1450" s="116"/>
      <c r="J1450" s="116"/>
      <c r="K1450" s="116"/>
      <c r="L1450" s="116"/>
      <c r="M1450" s="116"/>
      <c r="N1450" s="116"/>
      <c r="O1450" s="116"/>
    </row>
    <row r="1451" spans="1:15" x14ac:dyDescent="0.35">
      <c r="A1451" s="116"/>
      <c r="B1451" s="116"/>
      <c r="C1451" s="116"/>
      <c r="D1451" s="116"/>
      <c r="E1451" s="116"/>
      <c r="F1451" s="116"/>
      <c r="G1451" s="136"/>
      <c r="H1451" s="116"/>
      <c r="I1451" s="116"/>
      <c r="J1451" s="116"/>
      <c r="K1451" s="116"/>
      <c r="L1451" s="116"/>
      <c r="M1451" s="116"/>
      <c r="N1451" s="116"/>
      <c r="O1451" s="116"/>
    </row>
    <row r="1452" spans="1:15" x14ac:dyDescent="0.35">
      <c r="A1452" s="116"/>
      <c r="B1452" s="116"/>
      <c r="C1452" s="116"/>
      <c r="D1452" s="116"/>
      <c r="E1452" s="116"/>
      <c r="F1452" s="116"/>
      <c r="G1452" s="136"/>
      <c r="H1452" s="116"/>
      <c r="I1452" s="116"/>
      <c r="J1452" s="116"/>
      <c r="K1452" s="116"/>
      <c r="L1452" s="116"/>
      <c r="M1452" s="116"/>
      <c r="N1452" s="116"/>
      <c r="O1452" s="116"/>
    </row>
    <row r="1453" spans="1:15" x14ac:dyDescent="0.35">
      <c r="A1453" s="116"/>
      <c r="B1453" s="116"/>
      <c r="C1453" s="116"/>
      <c r="D1453" s="116"/>
      <c r="E1453" s="116"/>
      <c r="F1453" s="116"/>
      <c r="G1453" s="136"/>
      <c r="H1453" s="116"/>
      <c r="I1453" s="116"/>
      <c r="J1453" s="116"/>
      <c r="K1453" s="116"/>
      <c r="L1453" s="116"/>
      <c r="M1453" s="116"/>
      <c r="N1453" s="116"/>
      <c r="O1453" s="116"/>
    </row>
    <row r="1454" spans="1:15" x14ac:dyDescent="0.35">
      <c r="A1454" s="116"/>
      <c r="B1454" s="116"/>
      <c r="C1454" s="116"/>
      <c r="D1454" s="116"/>
      <c r="E1454" s="116"/>
      <c r="F1454" s="116"/>
      <c r="G1454" s="136"/>
      <c r="H1454" s="116"/>
      <c r="I1454" s="116"/>
      <c r="J1454" s="116"/>
      <c r="K1454" s="116"/>
      <c r="L1454" s="116"/>
      <c r="M1454" s="116"/>
      <c r="N1454" s="116"/>
      <c r="O1454" s="116"/>
    </row>
    <row r="1455" spans="1:15" x14ac:dyDescent="0.35">
      <c r="A1455" s="116"/>
      <c r="B1455" s="116"/>
      <c r="C1455" s="116"/>
      <c r="D1455" s="116"/>
      <c r="E1455" s="116"/>
      <c r="F1455" s="116"/>
      <c r="G1455" s="136"/>
      <c r="H1455" s="116"/>
      <c r="I1455" s="116"/>
      <c r="J1455" s="116"/>
      <c r="K1455" s="116"/>
      <c r="L1455" s="116"/>
      <c r="M1455" s="116"/>
      <c r="N1455" s="116"/>
      <c r="O1455" s="116"/>
    </row>
    <row r="1456" spans="1:15" x14ac:dyDescent="0.35">
      <c r="A1456" s="116"/>
      <c r="B1456" s="116"/>
      <c r="C1456" s="116"/>
      <c r="D1456" s="116"/>
      <c r="E1456" s="116"/>
      <c r="F1456" s="116"/>
      <c r="G1456" s="136"/>
      <c r="H1456" s="116"/>
      <c r="I1456" s="116"/>
      <c r="J1456" s="116"/>
      <c r="K1456" s="116"/>
      <c r="L1456" s="116"/>
      <c r="M1456" s="116"/>
      <c r="N1456" s="116"/>
      <c r="O1456" s="116"/>
    </row>
    <row r="1457" spans="1:15" x14ac:dyDescent="0.35">
      <c r="A1457" s="116"/>
      <c r="B1457" s="116"/>
      <c r="C1457" s="116"/>
      <c r="D1457" s="116"/>
      <c r="E1457" s="116"/>
      <c r="F1457" s="116"/>
      <c r="G1457" s="136"/>
      <c r="H1457" s="116"/>
      <c r="I1457" s="116"/>
      <c r="J1457" s="116"/>
      <c r="K1457" s="116"/>
      <c r="L1457" s="116"/>
      <c r="M1457" s="116"/>
      <c r="N1457" s="116"/>
      <c r="O1457" s="116"/>
    </row>
    <row r="1458" spans="1:15" x14ac:dyDescent="0.35">
      <c r="A1458" s="116"/>
      <c r="B1458" s="116"/>
      <c r="C1458" s="116"/>
      <c r="D1458" s="116"/>
      <c r="E1458" s="116"/>
      <c r="F1458" s="116"/>
      <c r="G1458" s="136"/>
      <c r="H1458" s="116"/>
      <c r="I1458" s="116"/>
      <c r="J1458" s="116"/>
      <c r="K1458" s="116"/>
      <c r="L1458" s="116"/>
      <c r="M1458" s="116"/>
      <c r="N1458" s="116"/>
      <c r="O1458" s="116"/>
    </row>
    <row r="1459" spans="1:15" x14ac:dyDescent="0.35">
      <c r="A1459" s="116"/>
      <c r="B1459" s="116"/>
      <c r="C1459" s="116"/>
      <c r="D1459" s="116"/>
      <c r="E1459" s="116"/>
      <c r="F1459" s="116"/>
      <c r="G1459" s="136"/>
      <c r="H1459" s="116"/>
      <c r="I1459" s="116"/>
      <c r="J1459" s="116"/>
      <c r="K1459" s="116"/>
      <c r="L1459" s="116"/>
      <c r="M1459" s="116"/>
      <c r="N1459" s="116"/>
      <c r="O1459" s="116"/>
    </row>
    <row r="1460" spans="1:15" x14ac:dyDescent="0.35">
      <c r="A1460" s="116"/>
      <c r="B1460" s="116"/>
      <c r="C1460" s="116"/>
      <c r="D1460" s="116"/>
      <c r="E1460" s="116"/>
      <c r="F1460" s="116"/>
      <c r="G1460" s="136"/>
      <c r="H1460" s="116"/>
      <c r="I1460" s="116"/>
      <c r="J1460" s="116"/>
      <c r="K1460" s="116"/>
      <c r="L1460" s="116"/>
      <c r="M1460" s="116"/>
      <c r="N1460" s="116"/>
      <c r="O1460" s="116"/>
    </row>
    <row r="1461" spans="1:15" x14ac:dyDescent="0.35">
      <c r="A1461" s="116"/>
      <c r="B1461" s="116"/>
      <c r="C1461" s="116"/>
      <c r="D1461" s="116"/>
      <c r="E1461" s="116"/>
      <c r="F1461" s="116"/>
      <c r="G1461" s="136"/>
      <c r="H1461" s="116"/>
      <c r="I1461" s="116"/>
      <c r="J1461" s="116"/>
      <c r="K1461" s="116"/>
      <c r="L1461" s="116"/>
      <c r="M1461" s="116"/>
      <c r="N1461" s="116"/>
      <c r="O1461" s="116"/>
    </row>
    <row r="1462" spans="1:15" x14ac:dyDescent="0.35">
      <c r="A1462" s="116"/>
      <c r="B1462" s="116"/>
      <c r="C1462" s="116"/>
      <c r="D1462" s="116"/>
      <c r="E1462" s="116"/>
      <c r="F1462" s="116"/>
      <c r="G1462" s="136"/>
      <c r="H1462" s="116"/>
      <c r="I1462" s="116"/>
      <c r="J1462" s="116"/>
      <c r="K1462" s="116"/>
      <c r="L1462" s="116"/>
      <c r="M1462" s="116"/>
      <c r="N1462" s="116"/>
      <c r="O1462" s="116"/>
    </row>
    <row r="1463" spans="1:15" x14ac:dyDescent="0.35">
      <c r="A1463" s="116"/>
      <c r="B1463" s="116"/>
      <c r="C1463" s="116"/>
      <c r="D1463" s="116"/>
      <c r="E1463" s="116"/>
      <c r="F1463" s="116"/>
      <c r="G1463" s="136"/>
      <c r="H1463" s="116"/>
      <c r="I1463" s="116"/>
      <c r="J1463" s="116"/>
      <c r="K1463" s="116"/>
      <c r="L1463" s="116"/>
      <c r="M1463" s="116"/>
      <c r="N1463" s="116"/>
      <c r="O1463" s="116"/>
    </row>
    <row r="1464" spans="1:15" x14ac:dyDescent="0.35">
      <c r="A1464" s="116"/>
      <c r="B1464" s="116"/>
      <c r="C1464" s="116"/>
      <c r="D1464" s="116"/>
      <c r="E1464" s="116"/>
      <c r="F1464" s="116"/>
      <c r="G1464" s="136"/>
      <c r="H1464" s="116"/>
      <c r="I1464" s="116"/>
      <c r="J1464" s="116"/>
      <c r="K1464" s="116"/>
      <c r="L1464" s="116"/>
      <c r="M1464" s="116"/>
      <c r="N1464" s="116"/>
      <c r="O1464" s="116"/>
    </row>
    <row r="1465" spans="1:15" x14ac:dyDescent="0.35">
      <c r="A1465" s="116"/>
      <c r="B1465" s="116"/>
      <c r="C1465" s="116"/>
      <c r="D1465" s="116"/>
      <c r="E1465" s="116"/>
      <c r="F1465" s="116"/>
      <c r="G1465" s="136"/>
      <c r="H1465" s="116"/>
      <c r="I1465" s="116"/>
      <c r="J1465" s="116"/>
      <c r="K1465" s="116"/>
      <c r="L1465" s="116"/>
      <c r="M1465" s="116"/>
      <c r="N1465" s="116"/>
      <c r="O1465" s="116"/>
    </row>
    <row r="1466" spans="1:15" x14ac:dyDescent="0.35">
      <c r="A1466" s="116"/>
      <c r="B1466" s="116"/>
      <c r="C1466" s="116"/>
      <c r="D1466" s="116"/>
      <c r="E1466" s="116"/>
      <c r="F1466" s="116"/>
      <c r="G1466" s="136"/>
      <c r="H1466" s="116"/>
      <c r="I1466" s="116"/>
      <c r="J1466" s="116"/>
      <c r="K1466" s="116"/>
      <c r="L1466" s="116"/>
      <c r="M1466" s="116"/>
      <c r="N1466" s="116"/>
      <c r="O1466" s="116"/>
    </row>
    <row r="1467" spans="1:15" x14ac:dyDescent="0.35">
      <c r="A1467" s="116"/>
      <c r="B1467" s="116"/>
      <c r="C1467" s="116"/>
      <c r="D1467" s="116"/>
      <c r="E1467" s="116"/>
      <c r="F1467" s="116"/>
      <c r="G1467" s="136"/>
      <c r="H1467" s="116"/>
      <c r="I1467" s="116"/>
      <c r="J1467" s="116"/>
      <c r="K1467" s="116"/>
      <c r="L1467" s="116"/>
      <c r="M1467" s="116"/>
      <c r="N1467" s="116"/>
      <c r="O1467" s="116"/>
    </row>
    <row r="1468" spans="1:15" x14ac:dyDescent="0.35">
      <c r="A1468" s="116"/>
      <c r="B1468" s="116"/>
      <c r="C1468" s="116"/>
      <c r="D1468" s="116"/>
      <c r="E1468" s="116"/>
      <c r="F1468" s="116"/>
      <c r="G1468" s="136"/>
      <c r="H1468" s="116"/>
      <c r="I1468" s="116"/>
      <c r="J1468" s="116"/>
      <c r="K1468" s="116"/>
      <c r="L1468" s="116"/>
      <c r="M1468" s="116"/>
      <c r="N1468" s="116"/>
      <c r="O1468" s="116"/>
    </row>
    <row r="1469" spans="1:15" x14ac:dyDescent="0.35">
      <c r="A1469" s="116"/>
      <c r="B1469" s="116"/>
      <c r="C1469" s="116"/>
      <c r="D1469" s="116"/>
      <c r="E1469" s="116"/>
      <c r="F1469" s="116"/>
      <c r="G1469" s="136"/>
      <c r="H1469" s="116"/>
      <c r="I1469" s="116"/>
      <c r="J1469" s="116"/>
      <c r="K1469" s="116"/>
      <c r="L1469" s="116"/>
      <c r="M1469" s="116"/>
      <c r="N1469" s="116"/>
      <c r="O1469" s="116"/>
    </row>
    <row r="1470" spans="1:15" x14ac:dyDescent="0.35">
      <c r="A1470" s="116"/>
      <c r="B1470" s="116"/>
      <c r="C1470" s="116"/>
      <c r="D1470" s="116"/>
      <c r="E1470" s="116"/>
      <c r="F1470" s="116"/>
      <c r="G1470" s="136"/>
      <c r="H1470" s="116"/>
      <c r="I1470" s="116"/>
      <c r="J1470" s="116"/>
      <c r="K1470" s="116"/>
      <c r="L1470" s="116"/>
      <c r="M1470" s="116"/>
      <c r="N1470" s="116"/>
      <c r="O1470" s="116"/>
    </row>
    <row r="1471" spans="1:15" x14ac:dyDescent="0.35">
      <c r="A1471" s="116"/>
      <c r="B1471" s="116"/>
      <c r="C1471" s="116"/>
      <c r="D1471" s="116"/>
      <c r="E1471" s="116"/>
      <c r="F1471" s="116"/>
      <c r="G1471" s="136"/>
      <c r="H1471" s="116"/>
      <c r="I1471" s="116"/>
      <c r="J1471" s="116"/>
      <c r="K1471" s="116"/>
      <c r="L1471" s="116"/>
      <c r="M1471" s="116"/>
      <c r="N1471" s="116"/>
      <c r="O1471" s="116"/>
    </row>
    <row r="1472" spans="1:15" x14ac:dyDescent="0.35">
      <c r="A1472" s="116"/>
      <c r="B1472" s="116"/>
      <c r="C1472" s="116"/>
      <c r="D1472" s="116"/>
      <c r="E1472" s="116"/>
      <c r="F1472" s="116"/>
      <c r="G1472" s="136"/>
      <c r="H1472" s="116"/>
      <c r="I1472" s="116"/>
      <c r="J1472" s="116"/>
      <c r="K1472" s="116"/>
      <c r="L1472" s="116"/>
      <c r="M1472" s="116"/>
      <c r="N1472" s="116"/>
      <c r="O1472" s="116"/>
    </row>
    <row r="1473" spans="1:15" x14ac:dyDescent="0.35">
      <c r="A1473" s="116"/>
      <c r="B1473" s="116"/>
      <c r="C1473" s="116"/>
      <c r="D1473" s="116"/>
      <c r="E1473" s="116"/>
      <c r="F1473" s="116"/>
      <c r="G1473" s="136"/>
      <c r="H1473" s="116"/>
      <c r="I1473" s="116"/>
      <c r="J1473" s="116"/>
      <c r="K1473" s="116"/>
      <c r="L1473" s="116"/>
      <c r="M1473" s="116"/>
      <c r="N1473" s="116"/>
      <c r="O1473" s="116"/>
    </row>
    <row r="1474" spans="1:15" x14ac:dyDescent="0.35">
      <c r="A1474" s="116"/>
      <c r="B1474" s="116"/>
      <c r="C1474" s="116"/>
      <c r="D1474" s="116"/>
      <c r="E1474" s="116"/>
      <c r="F1474" s="116"/>
      <c r="G1474" s="136"/>
      <c r="H1474" s="116"/>
      <c r="I1474" s="116"/>
      <c r="J1474" s="116"/>
      <c r="K1474" s="116"/>
      <c r="L1474" s="116"/>
      <c r="M1474" s="116"/>
      <c r="N1474" s="116"/>
      <c r="O1474" s="116"/>
    </row>
    <row r="1475" spans="1:15" x14ac:dyDescent="0.35">
      <c r="A1475" s="116"/>
      <c r="B1475" s="116"/>
      <c r="C1475" s="116"/>
      <c r="D1475" s="116"/>
      <c r="E1475" s="116"/>
      <c r="F1475" s="116"/>
      <c r="G1475" s="136"/>
      <c r="H1475" s="116"/>
      <c r="I1475" s="116"/>
      <c r="J1475" s="116"/>
      <c r="K1475" s="116"/>
      <c r="L1475" s="116"/>
      <c r="M1475" s="116"/>
      <c r="N1475" s="116"/>
      <c r="O1475" s="116"/>
    </row>
    <row r="1476" spans="1:15" x14ac:dyDescent="0.35">
      <c r="A1476" s="116"/>
      <c r="B1476" s="116"/>
      <c r="C1476" s="116"/>
      <c r="D1476" s="116"/>
      <c r="E1476" s="116"/>
      <c r="F1476" s="116"/>
      <c r="G1476" s="136"/>
      <c r="H1476" s="116"/>
      <c r="I1476" s="116"/>
      <c r="J1476" s="116"/>
      <c r="K1476" s="116"/>
      <c r="L1476" s="116"/>
      <c r="M1476" s="116"/>
      <c r="N1476" s="116"/>
      <c r="O1476" s="116"/>
    </row>
    <row r="1477" spans="1:15" x14ac:dyDescent="0.35">
      <c r="A1477" s="116"/>
      <c r="B1477" s="116"/>
      <c r="C1477" s="116"/>
      <c r="D1477" s="116"/>
      <c r="E1477" s="116"/>
      <c r="F1477" s="116"/>
      <c r="G1477" s="136"/>
      <c r="H1477" s="116"/>
      <c r="I1477" s="116"/>
      <c r="J1477" s="116"/>
      <c r="K1477" s="116"/>
      <c r="L1477" s="116"/>
      <c r="M1477" s="116"/>
      <c r="N1477" s="116"/>
      <c r="O1477" s="116"/>
    </row>
    <row r="1478" spans="1:15" x14ac:dyDescent="0.35">
      <c r="A1478" s="116"/>
      <c r="B1478" s="116"/>
      <c r="C1478" s="116"/>
      <c r="D1478" s="116"/>
      <c r="E1478" s="116"/>
      <c r="F1478" s="116"/>
      <c r="G1478" s="136"/>
      <c r="H1478" s="116"/>
      <c r="I1478" s="116"/>
      <c r="J1478" s="116"/>
      <c r="K1478" s="116"/>
      <c r="L1478" s="116"/>
      <c r="M1478" s="116"/>
      <c r="N1478" s="116"/>
      <c r="O1478" s="116"/>
    </row>
    <row r="1479" spans="1:15" x14ac:dyDescent="0.35">
      <c r="A1479" s="116"/>
      <c r="B1479" s="116"/>
      <c r="C1479" s="116"/>
      <c r="D1479" s="116"/>
      <c r="E1479" s="116"/>
      <c r="F1479" s="116"/>
      <c r="G1479" s="136"/>
      <c r="H1479" s="116"/>
      <c r="I1479" s="116"/>
      <c r="J1479" s="116"/>
      <c r="K1479" s="116"/>
      <c r="L1479" s="116"/>
      <c r="M1479" s="116"/>
      <c r="N1479" s="116"/>
      <c r="O1479" s="116"/>
    </row>
    <row r="1480" spans="1:15" x14ac:dyDescent="0.35">
      <c r="A1480" s="116"/>
      <c r="B1480" s="116"/>
      <c r="C1480" s="116"/>
      <c r="D1480" s="116"/>
      <c r="E1480" s="116"/>
      <c r="F1480" s="116"/>
      <c r="G1480" s="136"/>
      <c r="H1480" s="116"/>
      <c r="I1480" s="116"/>
      <c r="J1480" s="116"/>
      <c r="K1480" s="116"/>
      <c r="L1480" s="116"/>
      <c r="M1480" s="116"/>
      <c r="N1480" s="116"/>
      <c r="O1480" s="116"/>
    </row>
    <row r="1481" spans="1:15" x14ac:dyDescent="0.35">
      <c r="A1481" s="116"/>
      <c r="B1481" s="116"/>
      <c r="C1481" s="116"/>
      <c r="D1481" s="116"/>
      <c r="E1481" s="116"/>
      <c r="F1481" s="116"/>
      <c r="G1481" s="136"/>
      <c r="H1481" s="116"/>
      <c r="I1481" s="116"/>
      <c r="J1481" s="116"/>
      <c r="K1481" s="116"/>
      <c r="L1481" s="116"/>
      <c r="M1481" s="116"/>
      <c r="N1481" s="116"/>
      <c r="O1481" s="116"/>
    </row>
    <row r="1482" spans="1:15" x14ac:dyDescent="0.35">
      <c r="A1482" s="116"/>
      <c r="B1482" s="116"/>
      <c r="C1482" s="116"/>
      <c r="D1482" s="116"/>
      <c r="E1482" s="116"/>
      <c r="F1482" s="116"/>
      <c r="G1482" s="136"/>
      <c r="H1482" s="116"/>
      <c r="I1482" s="116"/>
      <c r="J1482" s="116"/>
      <c r="K1482" s="116"/>
      <c r="L1482" s="116"/>
      <c r="M1482" s="116"/>
      <c r="N1482" s="116"/>
      <c r="O1482" s="116"/>
    </row>
    <row r="1483" spans="1:15" x14ac:dyDescent="0.35">
      <c r="A1483" s="116"/>
      <c r="B1483" s="116"/>
      <c r="C1483" s="116"/>
      <c r="D1483" s="116"/>
      <c r="E1483" s="116"/>
      <c r="F1483" s="116"/>
      <c r="G1483" s="136"/>
      <c r="H1483" s="116"/>
      <c r="I1483" s="116"/>
      <c r="J1483" s="116"/>
      <c r="K1483" s="116"/>
      <c r="L1483" s="116"/>
      <c r="M1483" s="116"/>
      <c r="N1483" s="116"/>
      <c r="O1483" s="116"/>
    </row>
    <row r="1484" spans="1:15" x14ac:dyDescent="0.35">
      <c r="A1484" s="116"/>
      <c r="B1484" s="116"/>
      <c r="C1484" s="116"/>
      <c r="D1484" s="116"/>
      <c r="E1484" s="116"/>
      <c r="F1484" s="116"/>
      <c r="G1484" s="136"/>
      <c r="H1484" s="116"/>
      <c r="I1484" s="116"/>
      <c r="J1484" s="116"/>
      <c r="K1484" s="116"/>
      <c r="L1484" s="116"/>
      <c r="M1484" s="116"/>
      <c r="N1484" s="116"/>
      <c r="O1484" s="116"/>
    </row>
    <row r="1485" spans="1:15" x14ac:dyDescent="0.35">
      <c r="A1485" s="116"/>
      <c r="B1485" s="116"/>
      <c r="C1485" s="116"/>
      <c r="D1485" s="116"/>
      <c r="E1485" s="116"/>
      <c r="F1485" s="116"/>
      <c r="G1485" s="136"/>
      <c r="H1485" s="116"/>
      <c r="I1485" s="116"/>
      <c r="J1485" s="116"/>
      <c r="K1485" s="116"/>
      <c r="L1485" s="116"/>
      <c r="M1485" s="116"/>
      <c r="N1485" s="116"/>
      <c r="O1485" s="116"/>
    </row>
    <row r="1486" spans="1:15" x14ac:dyDescent="0.35">
      <c r="A1486" s="116"/>
      <c r="B1486" s="116"/>
      <c r="C1486" s="116"/>
      <c r="D1486" s="116"/>
      <c r="E1486" s="116"/>
      <c r="F1486" s="116"/>
      <c r="G1486" s="136"/>
      <c r="H1486" s="116"/>
      <c r="I1486" s="116"/>
      <c r="J1486" s="116"/>
      <c r="K1486" s="116"/>
      <c r="L1486" s="116"/>
      <c r="M1486" s="116"/>
      <c r="N1486" s="116"/>
      <c r="O1486" s="116"/>
    </row>
    <row r="1487" spans="1:15" x14ac:dyDescent="0.35">
      <c r="A1487" s="116"/>
      <c r="B1487" s="116"/>
      <c r="C1487" s="116"/>
      <c r="D1487" s="116"/>
      <c r="E1487" s="116"/>
      <c r="F1487" s="116"/>
      <c r="G1487" s="136"/>
      <c r="H1487" s="116"/>
      <c r="I1487" s="116"/>
      <c r="J1487" s="116"/>
      <c r="K1487" s="116"/>
      <c r="L1487" s="116"/>
      <c r="M1487" s="116"/>
      <c r="N1487" s="116"/>
      <c r="O1487" s="116"/>
    </row>
    <row r="1488" spans="1:15" x14ac:dyDescent="0.35">
      <c r="A1488" s="116"/>
      <c r="B1488" s="116"/>
      <c r="C1488" s="116"/>
      <c r="D1488" s="116"/>
      <c r="E1488" s="116"/>
      <c r="F1488" s="116"/>
      <c r="G1488" s="136"/>
      <c r="H1488" s="116"/>
      <c r="I1488" s="116"/>
      <c r="J1488" s="116"/>
      <c r="K1488" s="116"/>
      <c r="L1488" s="116"/>
      <c r="M1488" s="116"/>
      <c r="N1488" s="31"/>
      <c r="O1488" s="31"/>
    </row>
    <row r="1489" spans="1:15" x14ac:dyDescent="0.35">
      <c r="A1489" s="116"/>
      <c r="B1489" s="116"/>
      <c r="C1489" s="116"/>
      <c r="D1489" s="116"/>
      <c r="E1489" s="116"/>
      <c r="F1489" s="116"/>
      <c r="G1489" s="136"/>
      <c r="H1489" s="116"/>
      <c r="I1489" s="116"/>
      <c r="J1489" s="116"/>
      <c r="K1489" s="116"/>
      <c r="L1489" s="116"/>
      <c r="M1489" s="116"/>
    </row>
    <row r="1490" spans="1:15" x14ac:dyDescent="0.35">
      <c r="A1490" s="116"/>
      <c r="B1490" s="116"/>
      <c r="C1490" s="116"/>
      <c r="D1490" s="116"/>
      <c r="E1490" s="116"/>
      <c r="F1490" s="116"/>
      <c r="G1490" s="136"/>
      <c r="H1490" s="116"/>
      <c r="I1490" s="116"/>
      <c r="J1490" s="116"/>
      <c r="K1490" s="116"/>
      <c r="L1490" s="116"/>
      <c r="M1490" s="116"/>
    </row>
    <row r="1491" spans="1:15" x14ac:dyDescent="0.35">
      <c r="A1491" s="116"/>
      <c r="B1491" s="116"/>
      <c r="C1491" s="116"/>
      <c r="D1491" s="116"/>
      <c r="E1491" s="116"/>
      <c r="F1491" s="116"/>
      <c r="G1491" s="136"/>
      <c r="H1491" s="116"/>
      <c r="I1491" s="116"/>
      <c r="J1491" s="116"/>
      <c r="K1491" s="116"/>
      <c r="L1491" s="116"/>
      <c r="M1491" s="116"/>
    </row>
    <row r="1492" spans="1:15" x14ac:dyDescent="0.35">
      <c r="A1492" s="116"/>
      <c r="B1492" s="116"/>
      <c r="C1492" s="116"/>
      <c r="D1492" s="116"/>
      <c r="E1492" s="116"/>
      <c r="F1492" s="116"/>
      <c r="G1492" s="136"/>
      <c r="H1492" s="116"/>
      <c r="I1492" s="116"/>
      <c r="J1492" s="116"/>
      <c r="K1492" s="116"/>
      <c r="L1492" s="116"/>
      <c r="M1492" s="116"/>
      <c r="N1492" s="116"/>
      <c r="O1492" s="116"/>
    </row>
    <row r="1493" spans="1:15" x14ac:dyDescent="0.35">
      <c r="A1493" s="116"/>
      <c r="B1493" s="116"/>
      <c r="C1493" s="116"/>
      <c r="D1493" s="116"/>
      <c r="E1493" s="116"/>
      <c r="F1493" s="116"/>
      <c r="G1493" s="136"/>
      <c r="H1493" s="116"/>
      <c r="I1493" s="116"/>
      <c r="J1493" s="116"/>
      <c r="K1493" s="116"/>
      <c r="L1493" s="116"/>
      <c r="M1493" s="116"/>
    </row>
    <row r="1494" spans="1:15" x14ac:dyDescent="0.35">
      <c r="A1494" s="116"/>
      <c r="B1494" s="116"/>
      <c r="C1494" s="116"/>
      <c r="D1494" s="116"/>
      <c r="E1494" s="116"/>
      <c r="F1494" s="116"/>
      <c r="G1494" s="136"/>
      <c r="H1494" s="116"/>
      <c r="I1494" s="116"/>
      <c r="J1494" s="116"/>
      <c r="K1494" s="116"/>
      <c r="L1494" s="116"/>
      <c r="M1494" s="116"/>
    </row>
    <row r="1495" spans="1:15" x14ac:dyDescent="0.35">
      <c r="A1495" s="116"/>
      <c r="B1495" s="116"/>
      <c r="C1495" s="116"/>
      <c r="D1495" s="116"/>
      <c r="E1495" s="116"/>
      <c r="F1495" s="116"/>
      <c r="G1495" s="136"/>
      <c r="H1495" s="116"/>
      <c r="I1495" s="116"/>
      <c r="J1495" s="116"/>
      <c r="K1495" s="116"/>
      <c r="L1495" s="116"/>
      <c r="M1495" s="116"/>
    </row>
    <row r="1496" spans="1:15" x14ac:dyDescent="0.35">
      <c r="A1496" s="116"/>
      <c r="B1496" s="116"/>
      <c r="C1496" s="116"/>
      <c r="D1496" s="116"/>
      <c r="E1496" s="116"/>
      <c r="F1496" s="116"/>
      <c r="G1496" s="136"/>
      <c r="H1496" s="116"/>
      <c r="I1496" s="116"/>
      <c r="J1496" s="116"/>
      <c r="K1496" s="116"/>
      <c r="L1496" s="116"/>
      <c r="M1496" s="116"/>
      <c r="N1496" s="31"/>
      <c r="O1496" s="31"/>
    </row>
    <row r="1497" spans="1:15" x14ac:dyDescent="0.35">
      <c r="A1497" s="116"/>
      <c r="B1497" s="116"/>
      <c r="C1497" s="116"/>
      <c r="D1497" s="116"/>
      <c r="E1497" s="116"/>
      <c r="F1497" s="116"/>
      <c r="G1497" s="136"/>
      <c r="H1497" s="116"/>
      <c r="I1497" s="116"/>
      <c r="J1497" s="116"/>
      <c r="K1497" s="116"/>
      <c r="L1497" s="116"/>
      <c r="M1497" s="116"/>
      <c r="N1497" s="116"/>
      <c r="O1497" s="116"/>
    </row>
    <row r="1498" spans="1:15" x14ac:dyDescent="0.35">
      <c r="A1498" s="116"/>
      <c r="B1498" s="116"/>
      <c r="C1498" s="116"/>
      <c r="D1498" s="116"/>
      <c r="E1498" s="116"/>
      <c r="F1498" s="116"/>
      <c r="G1498" s="136"/>
      <c r="H1498" s="116"/>
      <c r="I1498" s="116"/>
      <c r="J1498" s="116"/>
      <c r="K1498" s="116"/>
      <c r="L1498" s="116"/>
      <c r="M1498" s="116"/>
      <c r="N1498" s="116"/>
      <c r="O1498" s="116"/>
    </row>
    <row r="1499" spans="1:15" x14ac:dyDescent="0.35">
      <c r="A1499" s="116"/>
      <c r="B1499" s="116"/>
      <c r="C1499" s="116"/>
      <c r="D1499" s="116"/>
      <c r="E1499" s="116"/>
      <c r="F1499" s="116"/>
      <c r="G1499" s="136"/>
      <c r="H1499" s="116"/>
      <c r="I1499" s="116"/>
      <c r="J1499" s="116"/>
      <c r="K1499" s="116"/>
      <c r="L1499" s="116"/>
      <c r="M1499" s="116"/>
      <c r="N1499" s="116"/>
      <c r="O1499" s="116"/>
    </row>
    <row r="1500" spans="1:15" x14ac:dyDescent="0.35">
      <c r="A1500" s="116"/>
      <c r="B1500" s="116"/>
      <c r="C1500" s="116"/>
      <c r="D1500" s="116"/>
      <c r="E1500" s="116"/>
      <c r="F1500" s="116"/>
      <c r="G1500" s="136"/>
      <c r="H1500" s="116"/>
      <c r="I1500" s="116"/>
      <c r="J1500" s="116"/>
      <c r="K1500" s="116"/>
      <c r="L1500" s="116"/>
      <c r="M1500" s="116"/>
      <c r="N1500" s="116"/>
      <c r="O1500" s="116"/>
    </row>
    <row r="1501" spans="1:15" x14ac:dyDescent="0.35">
      <c r="A1501" s="116"/>
      <c r="B1501" s="116"/>
      <c r="C1501" s="116"/>
      <c r="D1501" s="116"/>
      <c r="E1501" s="116"/>
      <c r="F1501" s="116"/>
      <c r="G1501" s="136"/>
      <c r="H1501" s="116"/>
      <c r="I1501" s="116"/>
      <c r="J1501" s="116"/>
      <c r="K1501" s="116"/>
      <c r="L1501" s="116"/>
      <c r="M1501" s="116"/>
      <c r="N1501" s="116"/>
      <c r="O1501" s="116"/>
    </row>
    <row r="1502" spans="1:15" x14ac:dyDescent="0.35">
      <c r="A1502" s="116"/>
      <c r="B1502" s="116"/>
      <c r="C1502" s="116"/>
      <c r="D1502" s="116"/>
      <c r="E1502" s="116"/>
      <c r="F1502" s="116"/>
      <c r="G1502" s="136"/>
      <c r="H1502" s="116"/>
      <c r="I1502" s="116"/>
      <c r="J1502" s="116"/>
      <c r="K1502" s="116"/>
      <c r="L1502" s="116"/>
      <c r="M1502" s="116"/>
      <c r="N1502" s="116"/>
      <c r="O1502" s="116"/>
    </row>
    <row r="1503" spans="1:15" x14ac:dyDescent="0.35">
      <c r="A1503" s="116"/>
      <c r="B1503" s="116"/>
      <c r="C1503" s="116"/>
      <c r="D1503" s="116"/>
      <c r="E1503" s="116"/>
      <c r="F1503" s="116"/>
      <c r="G1503" s="136"/>
      <c r="H1503" s="116"/>
      <c r="I1503" s="116"/>
      <c r="J1503" s="116"/>
      <c r="K1503" s="116"/>
      <c r="L1503" s="116"/>
      <c r="M1503" s="116"/>
      <c r="N1503" s="116"/>
      <c r="O1503" s="116"/>
    </row>
    <row r="1504" spans="1:15" x14ac:dyDescent="0.35">
      <c r="A1504" s="116"/>
      <c r="B1504" s="116"/>
      <c r="C1504" s="116"/>
      <c r="D1504" s="116"/>
      <c r="E1504" s="116"/>
      <c r="F1504" s="116"/>
      <c r="G1504" s="136"/>
      <c r="H1504" s="116"/>
      <c r="I1504" s="116"/>
      <c r="J1504" s="116"/>
      <c r="K1504" s="116"/>
      <c r="L1504" s="116"/>
      <c r="M1504" s="116"/>
      <c r="N1504" s="116"/>
      <c r="O1504" s="116"/>
    </row>
    <row r="1505" spans="1:15" x14ac:dyDescent="0.35">
      <c r="A1505" s="116"/>
      <c r="B1505" s="116"/>
      <c r="C1505" s="116"/>
      <c r="D1505" s="116"/>
      <c r="E1505" s="116"/>
      <c r="F1505" s="116"/>
      <c r="G1505" s="136"/>
      <c r="H1505" s="116"/>
      <c r="I1505" s="116"/>
      <c r="J1505" s="116"/>
      <c r="K1505" s="116"/>
      <c r="L1505" s="116"/>
      <c r="M1505" s="116"/>
      <c r="N1505" s="116"/>
      <c r="O1505" s="116"/>
    </row>
    <row r="1506" spans="1:15" x14ac:dyDescent="0.35">
      <c r="A1506" s="116"/>
      <c r="B1506" s="116"/>
      <c r="C1506" s="116"/>
      <c r="D1506" s="116"/>
      <c r="E1506" s="116"/>
      <c r="F1506" s="116"/>
      <c r="G1506" s="136"/>
      <c r="H1506" s="116"/>
      <c r="I1506" s="116"/>
      <c r="J1506" s="116"/>
      <c r="K1506" s="116"/>
      <c r="L1506" s="116"/>
      <c r="M1506" s="116"/>
      <c r="N1506" s="116"/>
      <c r="O1506" s="116"/>
    </row>
    <row r="1507" spans="1:15" x14ac:dyDescent="0.35">
      <c r="A1507" s="116"/>
      <c r="B1507" s="116"/>
      <c r="C1507" s="116"/>
      <c r="D1507" s="116"/>
      <c r="E1507" s="116"/>
      <c r="F1507" s="116"/>
      <c r="G1507" s="136"/>
      <c r="H1507" s="116"/>
      <c r="I1507" s="116"/>
      <c r="J1507" s="116"/>
      <c r="K1507" s="116"/>
      <c r="L1507" s="116"/>
      <c r="M1507" s="116"/>
      <c r="N1507" s="116"/>
      <c r="O1507" s="116"/>
    </row>
    <row r="1508" spans="1:15" x14ac:dyDescent="0.35">
      <c r="A1508" s="116"/>
      <c r="B1508" s="116"/>
      <c r="C1508" s="116"/>
      <c r="D1508" s="116"/>
      <c r="E1508" s="116"/>
      <c r="F1508" s="116"/>
      <c r="G1508" s="136"/>
      <c r="H1508" s="116"/>
      <c r="I1508" s="116"/>
      <c r="J1508" s="116"/>
      <c r="K1508" s="116"/>
      <c r="L1508" s="116"/>
      <c r="M1508" s="116"/>
      <c r="N1508" s="116"/>
      <c r="O1508" s="116"/>
    </row>
    <row r="1509" spans="1:15" x14ac:dyDescent="0.35">
      <c r="A1509" s="116"/>
      <c r="B1509" s="116"/>
      <c r="C1509" s="116"/>
      <c r="D1509" s="116"/>
      <c r="E1509" s="116"/>
      <c r="F1509" s="116"/>
      <c r="G1509" s="136"/>
      <c r="H1509" s="116"/>
      <c r="I1509" s="116"/>
      <c r="J1509" s="116"/>
      <c r="K1509" s="116"/>
      <c r="L1509" s="116"/>
      <c r="M1509" s="116"/>
      <c r="N1509" s="116"/>
      <c r="O1509" s="116"/>
    </row>
    <row r="1510" spans="1:15" x14ac:dyDescent="0.35">
      <c r="A1510" s="116"/>
      <c r="B1510" s="116"/>
      <c r="C1510" s="116"/>
      <c r="D1510" s="116"/>
      <c r="E1510" s="116"/>
      <c r="F1510" s="116"/>
      <c r="G1510" s="136"/>
      <c r="H1510" s="116"/>
      <c r="I1510" s="116"/>
      <c r="J1510" s="116"/>
      <c r="K1510" s="116"/>
      <c r="L1510" s="116"/>
      <c r="M1510" s="116"/>
      <c r="N1510" s="116"/>
      <c r="O1510" s="116"/>
    </row>
    <row r="1511" spans="1:15" x14ac:dyDescent="0.35">
      <c r="A1511" s="116"/>
      <c r="B1511" s="116"/>
      <c r="C1511" s="116"/>
      <c r="D1511" s="116"/>
      <c r="E1511" s="116"/>
      <c r="F1511" s="116"/>
      <c r="G1511" s="136"/>
      <c r="H1511" s="116"/>
      <c r="I1511" s="116"/>
      <c r="J1511" s="116"/>
      <c r="K1511" s="116"/>
      <c r="L1511" s="116"/>
      <c r="M1511" s="116"/>
      <c r="N1511" s="116"/>
      <c r="O1511" s="116"/>
    </row>
    <row r="1512" spans="1:15" x14ac:dyDescent="0.35">
      <c r="A1512" s="116"/>
      <c r="B1512" s="116"/>
      <c r="C1512" s="116"/>
      <c r="D1512" s="116"/>
      <c r="E1512" s="116"/>
      <c r="F1512" s="116"/>
      <c r="G1512" s="136"/>
      <c r="H1512" s="116"/>
      <c r="I1512" s="116"/>
      <c r="J1512" s="116"/>
      <c r="K1512" s="116"/>
      <c r="L1512" s="116"/>
      <c r="M1512" s="116"/>
      <c r="N1512" s="116"/>
      <c r="O1512" s="116"/>
    </row>
    <row r="1513" spans="1:15" x14ac:dyDescent="0.35">
      <c r="A1513" s="116"/>
      <c r="B1513" s="116"/>
      <c r="C1513" s="116"/>
      <c r="D1513" s="116"/>
      <c r="E1513" s="116"/>
      <c r="F1513" s="116"/>
      <c r="G1513" s="136"/>
      <c r="H1513" s="116"/>
      <c r="I1513" s="116"/>
      <c r="J1513" s="116"/>
      <c r="K1513" s="116"/>
      <c r="L1513" s="116"/>
      <c r="M1513" s="116"/>
      <c r="N1513" s="116"/>
      <c r="O1513" s="116"/>
    </row>
    <row r="1514" spans="1:15" x14ac:dyDescent="0.35">
      <c r="A1514" s="116"/>
      <c r="B1514" s="116"/>
      <c r="C1514" s="116"/>
      <c r="D1514" s="116"/>
      <c r="E1514" s="116"/>
      <c r="F1514" s="116"/>
      <c r="G1514" s="136"/>
      <c r="H1514" s="116"/>
      <c r="I1514" s="116"/>
      <c r="J1514" s="116"/>
      <c r="K1514" s="116"/>
      <c r="L1514" s="116"/>
      <c r="M1514" s="116"/>
      <c r="N1514" s="116"/>
      <c r="O1514" s="116"/>
    </row>
    <row r="1515" spans="1:15" x14ac:dyDescent="0.35">
      <c r="A1515" s="116"/>
      <c r="B1515" s="116"/>
      <c r="C1515" s="116"/>
      <c r="D1515" s="116"/>
      <c r="E1515" s="116"/>
      <c r="F1515" s="116"/>
      <c r="G1515" s="136"/>
      <c r="H1515" s="116"/>
      <c r="I1515" s="116"/>
      <c r="J1515" s="116"/>
      <c r="K1515" s="116"/>
      <c r="L1515" s="116"/>
      <c r="M1515" s="116"/>
      <c r="N1515" s="116"/>
      <c r="O1515" s="116"/>
    </row>
    <row r="1516" spans="1:15" x14ac:dyDescent="0.35">
      <c r="A1516" s="116"/>
      <c r="B1516" s="116"/>
      <c r="C1516" s="116"/>
      <c r="D1516" s="116"/>
      <c r="E1516" s="116"/>
      <c r="F1516" s="116"/>
      <c r="G1516" s="136"/>
      <c r="H1516" s="116"/>
      <c r="I1516" s="116"/>
      <c r="J1516" s="116"/>
      <c r="K1516" s="116"/>
      <c r="L1516" s="116"/>
      <c r="M1516" s="116"/>
      <c r="N1516" s="116"/>
      <c r="O1516" s="116"/>
    </row>
    <row r="1517" spans="1:15" x14ac:dyDescent="0.35">
      <c r="A1517" s="116"/>
      <c r="B1517" s="116"/>
      <c r="C1517" s="116"/>
      <c r="D1517" s="116"/>
      <c r="E1517" s="116"/>
      <c r="F1517" s="116"/>
      <c r="G1517" s="136"/>
      <c r="H1517" s="116"/>
      <c r="I1517" s="116"/>
      <c r="J1517" s="116"/>
      <c r="K1517" s="116"/>
      <c r="L1517" s="116"/>
      <c r="M1517" s="116"/>
      <c r="N1517" s="116"/>
      <c r="O1517" s="116"/>
    </row>
    <row r="1518" spans="1:15" x14ac:dyDescent="0.35">
      <c r="A1518" s="116"/>
      <c r="B1518" s="116"/>
      <c r="C1518" s="116"/>
      <c r="D1518" s="116"/>
      <c r="E1518" s="116"/>
      <c r="F1518" s="116"/>
      <c r="G1518" s="136"/>
      <c r="H1518" s="116"/>
      <c r="I1518" s="116"/>
      <c r="J1518" s="116"/>
      <c r="K1518" s="116"/>
      <c r="L1518" s="116"/>
      <c r="M1518" s="116"/>
      <c r="N1518" s="116"/>
      <c r="O1518" s="116"/>
    </row>
    <row r="1519" spans="1:15" x14ac:dyDescent="0.35">
      <c r="A1519" s="116"/>
      <c r="B1519" s="116"/>
      <c r="C1519" s="116"/>
      <c r="D1519" s="116"/>
      <c r="E1519" s="116"/>
      <c r="F1519" s="116"/>
      <c r="G1519" s="136"/>
      <c r="H1519" s="116"/>
      <c r="I1519" s="116"/>
      <c r="J1519" s="116"/>
      <c r="K1519" s="116"/>
      <c r="L1519" s="116"/>
      <c r="M1519" s="116"/>
      <c r="N1519" s="116"/>
      <c r="O1519" s="116"/>
    </row>
    <row r="1520" spans="1:15" x14ac:dyDescent="0.35">
      <c r="A1520" s="116"/>
      <c r="B1520" s="116"/>
      <c r="C1520" s="116"/>
      <c r="D1520" s="116"/>
      <c r="E1520" s="116"/>
      <c r="F1520" s="116"/>
      <c r="G1520" s="136"/>
      <c r="H1520" s="116"/>
      <c r="I1520" s="116"/>
      <c r="J1520" s="116"/>
      <c r="K1520" s="116"/>
      <c r="L1520" s="116"/>
      <c r="M1520" s="116"/>
      <c r="N1520" s="116"/>
      <c r="O1520" s="116"/>
    </row>
    <row r="1521" spans="1:15" x14ac:dyDescent="0.35">
      <c r="A1521" s="116"/>
      <c r="B1521" s="116"/>
      <c r="C1521" s="116"/>
      <c r="D1521" s="116"/>
      <c r="E1521" s="116"/>
      <c r="F1521" s="116"/>
      <c r="G1521" s="136"/>
      <c r="H1521" s="116"/>
      <c r="I1521" s="116"/>
      <c r="J1521" s="116"/>
      <c r="K1521" s="116"/>
      <c r="L1521" s="116"/>
      <c r="M1521" s="116"/>
      <c r="N1521" s="116"/>
      <c r="O1521" s="116"/>
    </row>
    <row r="1522" spans="1:15" x14ac:dyDescent="0.35">
      <c r="A1522" s="116"/>
      <c r="B1522" s="116"/>
      <c r="C1522" s="116"/>
      <c r="D1522" s="116"/>
      <c r="E1522" s="116"/>
      <c r="F1522" s="116"/>
      <c r="G1522" s="136"/>
      <c r="H1522" s="116"/>
      <c r="I1522" s="116"/>
      <c r="J1522" s="116"/>
      <c r="K1522" s="116"/>
      <c r="L1522" s="116"/>
      <c r="M1522" s="116"/>
      <c r="N1522" s="116"/>
      <c r="O1522" s="116"/>
    </row>
    <row r="1523" spans="1:15" x14ac:dyDescent="0.35">
      <c r="A1523" s="116"/>
      <c r="B1523" s="116"/>
      <c r="C1523" s="116"/>
      <c r="D1523" s="116"/>
      <c r="E1523" s="116"/>
      <c r="F1523" s="116"/>
      <c r="G1523" s="136"/>
      <c r="H1523" s="116"/>
      <c r="I1523" s="116"/>
      <c r="J1523" s="116"/>
      <c r="K1523" s="116"/>
      <c r="L1523" s="116"/>
      <c r="M1523" s="116"/>
      <c r="N1523" s="116"/>
      <c r="O1523" s="116"/>
    </row>
    <row r="1524" spans="1:15" x14ac:dyDescent="0.35">
      <c r="A1524" s="116"/>
      <c r="B1524" s="116"/>
      <c r="C1524" s="116"/>
      <c r="D1524" s="116"/>
      <c r="E1524" s="116"/>
      <c r="F1524" s="116"/>
      <c r="G1524" s="136"/>
      <c r="H1524" s="116"/>
      <c r="I1524" s="116"/>
      <c r="J1524" s="116"/>
      <c r="K1524" s="116"/>
      <c r="L1524" s="116"/>
      <c r="M1524" s="116"/>
      <c r="N1524" s="116"/>
      <c r="O1524" s="116"/>
    </row>
    <row r="1525" spans="1:15" x14ac:dyDescent="0.35">
      <c r="A1525" s="116"/>
      <c r="B1525" s="116"/>
      <c r="C1525" s="116"/>
      <c r="D1525" s="116"/>
      <c r="E1525" s="116"/>
      <c r="F1525" s="116"/>
      <c r="G1525" s="136"/>
      <c r="H1525" s="116"/>
      <c r="I1525" s="116"/>
      <c r="J1525" s="116"/>
      <c r="K1525" s="116"/>
      <c r="L1525" s="116"/>
      <c r="M1525" s="116"/>
      <c r="N1525" s="116"/>
      <c r="O1525" s="116"/>
    </row>
    <row r="1526" spans="1:15" x14ac:dyDescent="0.35">
      <c r="A1526" s="116"/>
      <c r="B1526" s="116"/>
      <c r="C1526" s="116"/>
      <c r="D1526" s="116"/>
      <c r="E1526" s="116"/>
      <c r="F1526" s="116"/>
      <c r="G1526" s="136"/>
      <c r="H1526" s="116"/>
      <c r="I1526" s="116"/>
      <c r="J1526" s="116"/>
      <c r="K1526" s="116"/>
      <c r="L1526" s="116"/>
      <c r="M1526" s="116"/>
      <c r="N1526" s="116"/>
      <c r="O1526" s="116"/>
    </row>
    <row r="1527" spans="1:15" x14ac:dyDescent="0.35">
      <c r="A1527" s="116"/>
      <c r="B1527" s="116"/>
      <c r="C1527" s="116"/>
      <c r="D1527" s="116"/>
      <c r="E1527" s="116"/>
      <c r="F1527" s="116"/>
      <c r="G1527" s="136"/>
      <c r="H1527" s="116"/>
      <c r="I1527" s="116"/>
      <c r="J1527" s="116"/>
      <c r="K1527" s="116"/>
      <c r="L1527" s="116"/>
      <c r="M1527" s="116"/>
      <c r="N1527" s="116"/>
      <c r="O1527" s="116"/>
    </row>
    <row r="1528" spans="1:15" x14ac:dyDescent="0.35">
      <c r="A1528" s="116"/>
      <c r="B1528" s="116"/>
      <c r="C1528" s="116"/>
      <c r="D1528" s="116"/>
      <c r="E1528" s="116"/>
      <c r="F1528" s="116"/>
      <c r="G1528" s="136"/>
      <c r="H1528" s="116"/>
      <c r="I1528" s="116"/>
      <c r="J1528" s="116"/>
      <c r="K1528" s="116"/>
      <c r="L1528" s="116"/>
      <c r="M1528" s="116"/>
      <c r="N1528" s="116"/>
      <c r="O1528" s="116"/>
    </row>
    <row r="1529" spans="1:15" x14ac:dyDescent="0.35">
      <c r="A1529" s="116"/>
      <c r="B1529" s="116"/>
      <c r="C1529" s="116"/>
      <c r="D1529" s="116"/>
      <c r="E1529" s="116"/>
      <c r="F1529" s="116"/>
      <c r="G1529" s="136"/>
      <c r="H1529" s="116"/>
      <c r="I1529" s="116"/>
      <c r="J1529" s="116"/>
      <c r="K1529" s="116"/>
      <c r="L1529" s="116"/>
      <c r="M1529" s="116"/>
      <c r="N1529" s="116"/>
      <c r="O1529" s="116"/>
    </row>
    <row r="1530" spans="1:15" x14ac:dyDescent="0.35">
      <c r="A1530" s="116"/>
      <c r="B1530" s="116"/>
      <c r="C1530" s="116"/>
      <c r="D1530" s="116"/>
      <c r="E1530" s="116"/>
      <c r="F1530" s="116"/>
      <c r="G1530" s="136"/>
      <c r="H1530" s="116"/>
      <c r="I1530" s="116"/>
      <c r="J1530" s="116"/>
      <c r="K1530" s="116"/>
      <c r="L1530" s="116"/>
      <c r="M1530" s="116"/>
      <c r="N1530" s="116"/>
      <c r="O1530" s="116"/>
    </row>
    <row r="1531" spans="1:15" x14ac:dyDescent="0.35">
      <c r="A1531" s="116"/>
      <c r="B1531" s="116"/>
      <c r="C1531" s="116"/>
      <c r="D1531" s="116"/>
      <c r="E1531" s="116"/>
      <c r="F1531" s="116"/>
      <c r="G1531" s="136"/>
      <c r="H1531" s="116"/>
      <c r="I1531" s="116"/>
      <c r="J1531" s="116"/>
      <c r="K1531" s="116"/>
      <c r="L1531" s="116"/>
      <c r="M1531" s="116"/>
      <c r="N1531" s="116"/>
      <c r="O1531" s="116"/>
    </row>
    <row r="1532" spans="1:15" x14ac:dyDescent="0.35">
      <c r="A1532" s="116"/>
      <c r="B1532" s="116"/>
      <c r="C1532" s="116"/>
      <c r="D1532" s="116"/>
      <c r="E1532" s="116"/>
      <c r="F1532" s="116"/>
      <c r="G1532" s="136"/>
      <c r="H1532" s="116"/>
      <c r="I1532" s="116"/>
      <c r="J1532" s="116"/>
      <c r="K1532" s="116"/>
      <c r="L1532" s="116"/>
      <c r="M1532" s="116"/>
      <c r="N1532" s="116"/>
      <c r="O1532" s="116"/>
    </row>
    <row r="1533" spans="1:15" x14ac:dyDescent="0.35">
      <c r="A1533" s="116"/>
      <c r="B1533" s="116"/>
      <c r="C1533" s="116"/>
      <c r="D1533" s="116"/>
      <c r="E1533" s="116"/>
      <c r="F1533" s="116"/>
      <c r="G1533" s="136"/>
      <c r="H1533" s="116"/>
      <c r="I1533" s="116"/>
      <c r="J1533" s="116"/>
      <c r="K1533" s="116"/>
      <c r="L1533" s="116"/>
      <c r="M1533" s="116"/>
      <c r="N1533" s="116"/>
      <c r="O1533" s="116"/>
    </row>
    <row r="1534" spans="1:15" x14ac:dyDescent="0.35">
      <c r="A1534" s="116"/>
      <c r="B1534" s="116"/>
      <c r="C1534" s="116"/>
      <c r="D1534" s="116"/>
      <c r="E1534" s="116"/>
      <c r="F1534" s="116"/>
      <c r="G1534" s="136"/>
      <c r="H1534" s="116"/>
      <c r="I1534" s="116"/>
      <c r="J1534" s="116"/>
      <c r="K1534" s="116"/>
      <c r="L1534" s="116"/>
      <c r="M1534" s="116"/>
      <c r="N1534" s="116"/>
      <c r="O1534" s="116"/>
    </row>
    <row r="1535" spans="1:15" x14ac:dyDescent="0.35">
      <c r="A1535" s="116"/>
      <c r="B1535" s="116"/>
      <c r="C1535" s="116"/>
      <c r="D1535" s="116"/>
      <c r="E1535" s="116"/>
      <c r="F1535" s="116"/>
      <c r="G1535" s="136"/>
      <c r="H1535" s="116"/>
      <c r="I1535" s="116"/>
      <c r="J1535" s="116"/>
      <c r="K1535" s="116"/>
      <c r="L1535" s="116"/>
      <c r="M1535" s="116"/>
      <c r="N1535" s="116"/>
      <c r="O1535" s="116"/>
    </row>
    <row r="1536" spans="1:15" x14ac:dyDescent="0.35">
      <c r="A1536" s="116"/>
      <c r="B1536" s="116"/>
      <c r="C1536" s="116"/>
      <c r="D1536" s="116"/>
      <c r="E1536" s="116"/>
      <c r="F1536" s="116"/>
      <c r="G1536" s="136"/>
      <c r="H1536" s="116"/>
      <c r="I1536" s="116"/>
      <c r="J1536" s="116"/>
      <c r="K1536" s="116"/>
      <c r="L1536" s="116"/>
      <c r="M1536" s="116"/>
      <c r="N1536" s="116"/>
      <c r="O1536" s="116"/>
    </row>
    <row r="1537" spans="1:15" x14ac:dyDescent="0.35">
      <c r="A1537" s="116"/>
      <c r="B1537" s="116"/>
      <c r="C1537" s="116"/>
      <c r="D1537" s="116"/>
      <c r="E1537" s="116"/>
      <c r="F1537" s="116"/>
      <c r="G1537" s="136"/>
      <c r="H1537" s="116"/>
      <c r="I1537" s="116"/>
      <c r="J1537" s="116"/>
      <c r="K1537" s="116"/>
      <c r="L1537" s="116"/>
      <c r="M1537" s="116"/>
      <c r="N1537" s="116"/>
      <c r="O1537" s="116"/>
    </row>
    <row r="1538" spans="1:15" x14ac:dyDescent="0.35">
      <c r="A1538" s="116"/>
      <c r="B1538" s="116"/>
      <c r="C1538" s="116"/>
      <c r="D1538" s="116"/>
      <c r="E1538" s="116"/>
      <c r="F1538" s="116"/>
      <c r="G1538" s="136"/>
      <c r="H1538" s="116"/>
      <c r="I1538" s="116"/>
      <c r="J1538" s="116"/>
      <c r="K1538" s="116"/>
      <c r="L1538" s="116"/>
      <c r="M1538" s="116"/>
      <c r="N1538" s="116"/>
      <c r="O1538" s="116"/>
    </row>
    <row r="1539" spans="1:15" x14ac:dyDescent="0.35">
      <c r="A1539" s="116"/>
      <c r="B1539" s="116"/>
      <c r="C1539" s="116"/>
      <c r="D1539" s="116"/>
      <c r="E1539" s="116"/>
      <c r="F1539" s="116"/>
      <c r="G1539" s="136"/>
      <c r="H1539" s="116"/>
      <c r="I1539" s="116"/>
      <c r="J1539" s="116"/>
      <c r="K1539" s="116"/>
      <c r="L1539" s="116"/>
      <c r="M1539" s="116"/>
      <c r="N1539" s="116"/>
      <c r="O1539" s="116"/>
    </row>
    <row r="1540" spans="1:15" x14ac:dyDescent="0.35">
      <c r="A1540" s="116"/>
      <c r="B1540" s="116"/>
      <c r="C1540" s="116"/>
      <c r="D1540" s="116"/>
      <c r="E1540" s="116"/>
      <c r="F1540" s="116"/>
      <c r="G1540" s="136"/>
      <c r="H1540" s="116"/>
      <c r="I1540" s="116"/>
      <c r="J1540" s="116"/>
      <c r="K1540" s="116"/>
      <c r="L1540" s="116"/>
      <c r="M1540" s="116"/>
      <c r="N1540" s="116"/>
      <c r="O1540" s="116"/>
    </row>
    <row r="1541" spans="1:15" x14ac:dyDescent="0.35">
      <c r="A1541" s="116"/>
      <c r="B1541" s="116"/>
      <c r="C1541" s="116"/>
      <c r="D1541" s="116"/>
      <c r="E1541" s="116"/>
      <c r="F1541" s="116"/>
      <c r="G1541" s="136"/>
      <c r="H1541" s="116"/>
      <c r="I1541" s="116"/>
      <c r="J1541" s="116"/>
      <c r="K1541" s="116"/>
      <c r="L1541" s="116"/>
      <c r="M1541" s="116"/>
      <c r="N1541" s="116"/>
      <c r="O1541" s="116"/>
    </row>
    <row r="1542" spans="1:15" x14ac:dyDescent="0.35">
      <c r="A1542" s="116"/>
      <c r="B1542" s="116"/>
      <c r="C1542" s="116"/>
      <c r="D1542" s="116"/>
      <c r="E1542" s="116"/>
      <c r="F1542" s="116"/>
      <c r="G1542" s="136"/>
      <c r="H1542" s="116"/>
      <c r="I1542" s="116"/>
      <c r="J1542" s="116"/>
      <c r="K1542" s="116"/>
      <c r="L1542" s="116"/>
      <c r="M1542" s="116"/>
      <c r="N1542" s="116"/>
      <c r="O1542" s="116"/>
    </row>
    <row r="1543" spans="1:15" x14ac:dyDescent="0.35">
      <c r="A1543" s="116"/>
      <c r="B1543" s="116"/>
      <c r="C1543" s="116"/>
      <c r="D1543" s="116"/>
      <c r="E1543" s="116"/>
      <c r="F1543" s="116"/>
      <c r="G1543" s="136"/>
      <c r="H1543" s="116"/>
      <c r="I1543" s="116"/>
      <c r="J1543" s="116"/>
      <c r="K1543" s="116"/>
      <c r="L1543" s="116"/>
      <c r="M1543" s="116"/>
      <c r="N1543" s="116"/>
      <c r="O1543" s="116"/>
    </row>
    <row r="1544" spans="1:15" x14ac:dyDescent="0.35">
      <c r="A1544" s="116"/>
      <c r="B1544" s="116"/>
      <c r="C1544" s="116"/>
      <c r="D1544" s="116"/>
      <c r="E1544" s="116"/>
      <c r="F1544" s="116"/>
      <c r="G1544" s="136"/>
      <c r="H1544" s="116"/>
      <c r="I1544" s="116"/>
      <c r="J1544" s="116"/>
      <c r="K1544" s="116"/>
      <c r="L1544" s="116"/>
      <c r="M1544" s="116"/>
      <c r="N1544" s="116"/>
      <c r="O1544" s="116"/>
    </row>
    <row r="1545" spans="1:15" x14ac:dyDescent="0.35">
      <c r="A1545" s="116"/>
      <c r="B1545" s="116"/>
      <c r="C1545" s="116"/>
      <c r="D1545" s="116"/>
      <c r="E1545" s="116"/>
      <c r="F1545" s="116"/>
      <c r="G1545" s="136"/>
      <c r="H1545" s="116"/>
      <c r="I1545" s="116"/>
      <c r="J1545" s="116"/>
      <c r="K1545" s="116"/>
      <c r="L1545" s="116"/>
      <c r="M1545" s="116"/>
      <c r="N1545" s="116"/>
      <c r="O1545" s="116"/>
    </row>
    <row r="1546" spans="1:15" x14ac:dyDescent="0.35">
      <c r="A1546" s="116"/>
      <c r="B1546" s="116"/>
      <c r="C1546" s="116"/>
      <c r="D1546" s="116"/>
      <c r="E1546" s="116"/>
      <c r="F1546" s="116"/>
      <c r="G1546" s="136"/>
      <c r="H1546" s="116"/>
      <c r="I1546" s="116"/>
      <c r="J1546" s="116"/>
      <c r="K1546" s="116"/>
      <c r="L1546" s="116"/>
      <c r="M1546" s="116"/>
      <c r="N1546" s="116"/>
      <c r="O1546" s="116"/>
    </row>
    <row r="1547" spans="1:15" x14ac:dyDescent="0.35">
      <c r="A1547" s="116"/>
      <c r="B1547" s="116"/>
      <c r="C1547" s="116"/>
      <c r="D1547" s="116"/>
      <c r="E1547" s="116"/>
      <c r="F1547" s="116"/>
      <c r="G1547" s="136"/>
      <c r="H1547" s="116"/>
      <c r="I1547" s="116"/>
      <c r="J1547" s="116"/>
      <c r="K1547" s="116"/>
      <c r="L1547" s="116"/>
      <c r="M1547" s="116"/>
      <c r="N1547" s="116"/>
      <c r="O1547" s="116"/>
    </row>
    <row r="1548" spans="1:15" x14ac:dyDescent="0.35">
      <c r="A1548" s="116"/>
      <c r="B1548" s="116"/>
      <c r="C1548" s="116"/>
      <c r="D1548" s="116"/>
      <c r="E1548" s="116"/>
      <c r="F1548" s="116"/>
      <c r="G1548" s="136"/>
      <c r="H1548" s="116"/>
      <c r="I1548" s="116"/>
      <c r="J1548" s="116"/>
      <c r="K1548" s="116"/>
      <c r="L1548" s="116"/>
      <c r="M1548" s="116"/>
      <c r="N1548" s="116"/>
      <c r="O1548" s="116"/>
    </row>
    <row r="1549" spans="1:15" x14ac:dyDescent="0.35">
      <c r="A1549" s="116"/>
      <c r="B1549" s="116"/>
      <c r="C1549" s="116"/>
      <c r="D1549" s="116"/>
      <c r="E1549" s="116"/>
      <c r="F1549" s="116"/>
      <c r="G1549" s="136"/>
      <c r="H1549" s="116"/>
      <c r="I1549" s="116"/>
      <c r="J1549" s="116"/>
      <c r="K1549" s="116"/>
      <c r="L1549" s="116"/>
      <c r="M1549" s="116"/>
      <c r="N1549" s="116"/>
      <c r="O1549" s="116"/>
    </row>
    <row r="1550" spans="1:15" x14ac:dyDescent="0.35">
      <c r="A1550" s="116"/>
      <c r="B1550" s="116"/>
      <c r="C1550" s="116"/>
      <c r="D1550" s="116"/>
      <c r="E1550" s="116"/>
      <c r="F1550" s="116"/>
      <c r="G1550" s="136"/>
      <c r="H1550" s="116"/>
      <c r="I1550" s="116"/>
      <c r="J1550" s="116"/>
      <c r="K1550" s="116"/>
      <c r="L1550" s="116"/>
      <c r="M1550" s="116"/>
      <c r="N1550" s="116"/>
      <c r="O1550" s="116"/>
    </row>
    <row r="1551" spans="1:15" x14ac:dyDescent="0.35">
      <c r="A1551" s="116"/>
      <c r="B1551" s="116"/>
      <c r="C1551" s="116"/>
      <c r="D1551" s="116"/>
      <c r="E1551" s="116"/>
      <c r="F1551" s="116"/>
      <c r="G1551" s="136"/>
      <c r="H1551" s="116"/>
      <c r="I1551" s="116"/>
      <c r="J1551" s="116"/>
      <c r="K1551" s="116"/>
      <c r="L1551" s="116"/>
      <c r="M1551" s="116"/>
      <c r="N1551" s="116"/>
      <c r="O1551" s="116"/>
    </row>
    <row r="1552" spans="1:15" x14ac:dyDescent="0.35">
      <c r="A1552" s="116"/>
      <c r="B1552" s="116"/>
      <c r="C1552" s="116"/>
      <c r="D1552" s="116"/>
      <c r="E1552" s="116"/>
      <c r="F1552" s="116"/>
      <c r="G1552" s="136"/>
      <c r="H1552" s="116"/>
      <c r="I1552" s="116"/>
      <c r="J1552" s="116"/>
      <c r="K1552" s="116"/>
      <c r="L1552" s="116"/>
      <c r="M1552" s="116"/>
      <c r="N1552" s="116"/>
      <c r="O1552" s="116"/>
    </row>
    <row r="1553" spans="1:15" x14ac:dyDescent="0.35">
      <c r="A1553" s="116"/>
      <c r="B1553" s="116"/>
      <c r="C1553" s="116"/>
      <c r="D1553" s="116"/>
      <c r="E1553" s="116"/>
      <c r="F1553" s="116"/>
      <c r="G1553" s="136"/>
      <c r="H1553" s="116"/>
      <c r="I1553" s="116"/>
      <c r="J1553" s="116"/>
      <c r="K1553" s="116"/>
      <c r="L1553" s="116"/>
      <c r="M1553" s="116"/>
      <c r="N1553" s="116"/>
      <c r="O1553" s="116"/>
    </row>
    <row r="1554" spans="1:15" x14ac:dyDescent="0.35">
      <c r="A1554" s="116"/>
      <c r="B1554" s="116"/>
      <c r="C1554" s="116"/>
      <c r="D1554" s="116"/>
      <c r="E1554" s="116"/>
      <c r="F1554" s="116"/>
      <c r="G1554" s="136"/>
      <c r="H1554" s="116"/>
      <c r="I1554" s="116"/>
      <c r="J1554" s="116"/>
      <c r="K1554" s="116"/>
      <c r="L1554" s="116"/>
      <c r="M1554" s="116"/>
      <c r="N1554" s="116"/>
      <c r="O1554" s="116"/>
    </row>
    <row r="1555" spans="1:15" x14ac:dyDescent="0.35">
      <c r="A1555" s="116"/>
      <c r="B1555" s="116"/>
      <c r="C1555" s="116"/>
      <c r="D1555" s="116"/>
      <c r="E1555" s="116"/>
      <c r="F1555" s="116"/>
      <c r="G1555" s="136"/>
      <c r="H1555" s="116"/>
      <c r="I1555" s="116"/>
      <c r="J1555" s="116"/>
      <c r="K1555" s="116"/>
      <c r="L1555" s="116"/>
      <c r="M1555" s="116"/>
      <c r="N1555" s="116"/>
      <c r="O1555" s="116"/>
    </row>
    <row r="1556" spans="1:15" x14ac:dyDescent="0.35">
      <c r="A1556" s="116"/>
      <c r="B1556" s="116"/>
      <c r="C1556" s="116"/>
      <c r="D1556" s="116"/>
      <c r="E1556" s="116"/>
      <c r="F1556" s="116"/>
      <c r="G1556" s="136"/>
      <c r="H1556" s="116"/>
      <c r="I1556" s="116"/>
      <c r="J1556" s="116"/>
      <c r="K1556" s="116"/>
      <c r="L1556" s="116"/>
      <c r="M1556" s="116"/>
      <c r="N1556" s="116"/>
      <c r="O1556" s="116"/>
    </row>
    <row r="1557" spans="1:15" x14ac:dyDescent="0.35">
      <c r="A1557" s="116"/>
      <c r="B1557" s="116"/>
      <c r="C1557" s="116"/>
      <c r="D1557" s="116"/>
      <c r="E1557" s="116"/>
      <c r="F1557" s="116"/>
      <c r="G1557" s="136"/>
      <c r="H1557" s="116"/>
      <c r="I1557" s="116"/>
      <c r="J1557" s="116"/>
      <c r="K1557" s="116"/>
      <c r="L1557" s="116"/>
      <c r="M1557" s="116"/>
      <c r="N1557" s="116"/>
      <c r="O1557" s="116"/>
    </row>
    <row r="1558" spans="1:15" x14ac:dyDescent="0.35">
      <c r="A1558" s="116"/>
      <c r="B1558" s="116"/>
      <c r="C1558" s="116"/>
      <c r="D1558" s="116"/>
      <c r="E1558" s="116"/>
      <c r="F1558" s="116"/>
      <c r="G1558" s="136"/>
      <c r="H1558" s="116"/>
      <c r="I1558" s="116"/>
      <c r="J1558" s="116"/>
      <c r="K1558" s="116"/>
      <c r="L1558" s="116"/>
      <c r="M1558" s="116"/>
      <c r="N1558" s="116"/>
      <c r="O1558" s="116"/>
    </row>
    <row r="1559" spans="1:15" x14ac:dyDescent="0.35">
      <c r="A1559" s="116"/>
      <c r="B1559" s="116"/>
      <c r="C1559" s="116"/>
      <c r="D1559" s="116"/>
      <c r="E1559" s="116"/>
      <c r="F1559" s="116"/>
      <c r="G1559" s="136"/>
      <c r="H1559" s="116"/>
      <c r="I1559" s="116"/>
      <c r="J1559" s="116"/>
      <c r="K1559" s="116"/>
      <c r="L1559" s="116"/>
      <c r="M1559" s="116"/>
      <c r="N1559" s="116"/>
      <c r="O1559" s="116"/>
    </row>
    <row r="1560" spans="1:15" x14ac:dyDescent="0.35">
      <c r="A1560" s="116"/>
      <c r="B1560" s="116"/>
      <c r="C1560" s="116"/>
      <c r="D1560" s="116"/>
      <c r="E1560" s="116"/>
      <c r="F1560" s="116"/>
      <c r="G1560" s="136"/>
      <c r="H1560" s="116"/>
      <c r="I1560" s="116"/>
      <c r="J1560" s="116"/>
      <c r="K1560" s="116"/>
      <c r="L1560" s="116"/>
      <c r="M1560" s="116"/>
      <c r="N1560" s="116"/>
      <c r="O1560" s="116"/>
    </row>
    <row r="1561" spans="1:15" x14ac:dyDescent="0.35">
      <c r="A1561" s="116"/>
      <c r="B1561" s="116"/>
      <c r="C1561" s="116"/>
      <c r="D1561" s="116"/>
      <c r="E1561" s="116"/>
      <c r="F1561" s="116"/>
      <c r="G1561" s="136"/>
      <c r="H1561" s="116"/>
      <c r="I1561" s="116"/>
      <c r="J1561" s="116"/>
      <c r="K1561" s="116"/>
      <c r="L1561" s="116"/>
      <c r="M1561" s="116"/>
      <c r="N1561" s="116"/>
      <c r="O1561" s="116"/>
    </row>
    <row r="1562" spans="1:15" x14ac:dyDescent="0.35">
      <c r="A1562" s="116"/>
      <c r="B1562" s="116"/>
      <c r="C1562" s="116"/>
      <c r="D1562" s="116"/>
      <c r="E1562" s="116"/>
      <c r="F1562" s="116"/>
      <c r="G1562" s="136"/>
      <c r="H1562" s="116"/>
      <c r="I1562" s="116"/>
      <c r="J1562" s="116"/>
      <c r="K1562" s="116"/>
      <c r="L1562" s="116"/>
      <c r="M1562" s="116"/>
      <c r="N1562" s="116"/>
      <c r="O1562" s="116"/>
    </row>
    <row r="1563" spans="1:15" x14ac:dyDescent="0.35">
      <c r="A1563" s="116"/>
      <c r="B1563" s="116"/>
      <c r="C1563" s="116"/>
      <c r="D1563" s="116"/>
      <c r="E1563" s="116"/>
      <c r="F1563" s="116"/>
      <c r="G1563" s="136"/>
      <c r="H1563" s="116"/>
      <c r="I1563" s="116"/>
      <c r="J1563" s="116"/>
      <c r="K1563" s="116"/>
      <c r="L1563" s="116"/>
      <c r="M1563" s="116"/>
      <c r="N1563" s="116"/>
      <c r="O1563" s="116"/>
    </row>
    <row r="1564" spans="1:15" x14ac:dyDescent="0.35">
      <c r="A1564" s="116"/>
      <c r="B1564" s="116"/>
      <c r="C1564" s="116"/>
      <c r="D1564" s="116"/>
      <c r="E1564" s="116"/>
      <c r="F1564" s="116"/>
      <c r="G1564" s="136"/>
      <c r="H1564" s="116"/>
      <c r="I1564" s="116"/>
      <c r="J1564" s="116"/>
      <c r="K1564" s="116"/>
      <c r="L1564" s="116"/>
      <c r="M1564" s="116"/>
      <c r="N1564" s="116"/>
      <c r="O1564" s="116"/>
    </row>
    <row r="1565" spans="1:15" x14ac:dyDescent="0.35">
      <c r="A1565" s="116"/>
      <c r="B1565" s="116"/>
      <c r="C1565" s="116"/>
      <c r="D1565" s="116"/>
      <c r="E1565" s="116"/>
      <c r="F1565" s="116"/>
      <c r="G1565" s="136"/>
      <c r="H1565" s="116"/>
      <c r="I1565" s="116"/>
      <c r="J1565" s="116"/>
      <c r="K1565" s="116"/>
      <c r="L1565" s="116"/>
      <c r="M1565" s="116"/>
      <c r="N1565" s="116"/>
      <c r="O1565" s="116"/>
    </row>
    <row r="1566" spans="1:15" x14ac:dyDescent="0.35">
      <c r="A1566" s="116"/>
      <c r="B1566" s="116"/>
      <c r="C1566" s="116"/>
      <c r="D1566" s="116"/>
      <c r="E1566" s="116"/>
      <c r="F1566" s="116"/>
      <c r="G1566" s="136"/>
      <c r="H1566" s="116"/>
      <c r="I1566" s="116"/>
      <c r="J1566" s="116"/>
      <c r="K1566" s="116"/>
      <c r="L1566" s="116"/>
      <c r="M1566" s="116"/>
      <c r="N1566" s="116"/>
      <c r="O1566" s="116"/>
    </row>
    <row r="1567" spans="1:15" x14ac:dyDescent="0.35">
      <c r="A1567" s="116"/>
      <c r="B1567" s="116"/>
      <c r="C1567" s="116"/>
      <c r="D1567" s="116"/>
      <c r="E1567" s="116"/>
      <c r="F1567" s="116"/>
      <c r="G1567" s="136"/>
      <c r="H1567" s="116"/>
      <c r="I1567" s="116"/>
      <c r="J1567" s="116"/>
      <c r="K1567" s="116"/>
      <c r="L1567" s="116"/>
      <c r="M1567" s="116"/>
      <c r="N1567" s="116"/>
      <c r="O1567" s="116"/>
    </row>
    <row r="1568" spans="1:15" x14ac:dyDescent="0.35">
      <c r="A1568" s="116"/>
      <c r="B1568" s="116"/>
      <c r="C1568" s="116"/>
      <c r="D1568" s="116"/>
      <c r="E1568" s="116"/>
      <c r="F1568" s="116"/>
      <c r="G1568" s="136"/>
      <c r="H1568" s="116"/>
      <c r="I1568" s="116"/>
      <c r="J1568" s="116"/>
      <c r="K1568" s="116"/>
      <c r="L1568" s="116"/>
      <c r="M1568" s="116"/>
      <c r="N1568" s="116"/>
      <c r="O1568" s="116"/>
    </row>
    <row r="1569" spans="1:15" x14ac:dyDescent="0.35">
      <c r="A1569" s="116"/>
      <c r="B1569" s="116"/>
      <c r="C1569" s="116"/>
      <c r="D1569" s="116"/>
      <c r="E1569" s="116"/>
      <c r="F1569" s="116"/>
      <c r="G1569" s="136"/>
      <c r="H1569" s="116"/>
      <c r="I1569" s="116"/>
      <c r="J1569" s="116"/>
      <c r="K1569" s="116"/>
      <c r="L1569" s="116"/>
      <c r="M1569" s="116"/>
      <c r="N1569" s="116"/>
      <c r="O1569" s="116"/>
    </row>
    <row r="1570" spans="1:15" x14ac:dyDescent="0.35">
      <c r="A1570" s="116"/>
      <c r="B1570" s="116"/>
      <c r="C1570" s="116"/>
      <c r="D1570" s="116"/>
      <c r="E1570" s="116"/>
      <c r="F1570" s="116"/>
      <c r="G1570" s="136"/>
      <c r="H1570" s="116"/>
      <c r="I1570" s="116"/>
      <c r="J1570" s="116"/>
      <c r="K1570" s="116"/>
      <c r="L1570" s="116"/>
      <c r="M1570" s="116"/>
      <c r="N1570" s="116"/>
      <c r="O1570" s="116"/>
    </row>
    <row r="1571" spans="1:15" x14ac:dyDescent="0.35">
      <c r="A1571" s="116"/>
      <c r="B1571" s="116"/>
      <c r="C1571" s="116"/>
      <c r="D1571" s="116"/>
      <c r="E1571" s="116"/>
      <c r="F1571" s="116"/>
      <c r="G1571" s="136"/>
      <c r="H1571" s="116"/>
      <c r="I1571" s="116"/>
      <c r="J1571" s="116"/>
      <c r="K1571" s="116"/>
      <c r="L1571" s="116"/>
      <c r="M1571" s="116"/>
      <c r="N1571" s="116"/>
      <c r="O1571" s="116"/>
    </row>
    <row r="1572" spans="1:15" x14ac:dyDescent="0.35">
      <c r="A1572" s="116"/>
      <c r="B1572" s="116"/>
      <c r="C1572" s="116"/>
      <c r="D1572" s="116"/>
      <c r="E1572" s="116"/>
      <c r="F1572" s="116"/>
      <c r="G1572" s="136"/>
      <c r="H1572" s="116"/>
      <c r="I1572" s="116"/>
      <c r="J1572" s="116"/>
      <c r="K1572" s="116"/>
      <c r="L1572" s="116"/>
      <c r="M1572" s="116"/>
      <c r="N1572" s="116"/>
      <c r="O1572" s="116"/>
    </row>
    <row r="1573" spans="1:15" x14ac:dyDescent="0.35">
      <c r="A1573" s="116"/>
      <c r="B1573" s="116"/>
      <c r="C1573" s="116"/>
      <c r="D1573" s="116"/>
      <c r="E1573" s="116"/>
      <c r="F1573" s="116"/>
      <c r="G1573" s="136"/>
      <c r="H1573" s="116"/>
      <c r="I1573" s="116"/>
      <c r="J1573" s="116"/>
      <c r="K1573" s="116"/>
      <c r="L1573" s="116"/>
      <c r="M1573" s="116"/>
      <c r="N1573" s="116"/>
      <c r="O1573" s="116"/>
    </row>
    <row r="1574" spans="1:15" x14ac:dyDescent="0.35">
      <c r="A1574" s="116"/>
      <c r="B1574" s="116"/>
      <c r="C1574" s="116"/>
      <c r="D1574" s="116"/>
      <c r="E1574" s="116"/>
      <c r="F1574" s="116"/>
      <c r="G1574" s="136"/>
      <c r="H1574" s="116"/>
      <c r="I1574" s="116"/>
      <c r="J1574" s="116"/>
      <c r="K1574" s="116"/>
      <c r="L1574" s="116"/>
      <c r="M1574" s="116"/>
      <c r="N1574" s="31"/>
      <c r="O1574" s="31"/>
    </row>
    <row r="1575" spans="1:15" x14ac:dyDescent="0.35">
      <c r="A1575" s="116"/>
      <c r="B1575" s="116"/>
      <c r="C1575" s="116"/>
      <c r="D1575" s="116"/>
      <c r="E1575" s="116"/>
      <c r="F1575" s="116"/>
      <c r="G1575" s="136"/>
      <c r="H1575" s="116"/>
      <c r="I1575" s="116"/>
      <c r="J1575" s="116"/>
      <c r="K1575" s="116"/>
      <c r="L1575" s="116"/>
      <c r="M1575" s="116"/>
      <c r="N1575" s="31"/>
      <c r="O1575" s="31"/>
    </row>
    <row r="1576" spans="1:15" x14ac:dyDescent="0.35">
      <c r="A1576" s="116"/>
      <c r="B1576" s="116"/>
      <c r="C1576" s="116"/>
      <c r="D1576" s="116"/>
      <c r="E1576" s="116"/>
      <c r="F1576" s="116"/>
      <c r="G1576" s="136"/>
      <c r="H1576" s="116"/>
      <c r="I1576" s="116"/>
      <c r="J1576" s="116"/>
      <c r="K1576" s="116"/>
      <c r="L1576" s="116"/>
      <c r="M1576" s="116"/>
    </row>
    <row r="1577" spans="1:15" x14ac:dyDescent="0.35">
      <c r="A1577" s="116"/>
      <c r="B1577" s="116"/>
      <c r="C1577" s="116"/>
      <c r="D1577" s="116"/>
      <c r="E1577" s="116"/>
      <c r="F1577" s="116"/>
      <c r="G1577" s="136"/>
      <c r="H1577" s="116"/>
      <c r="I1577" s="116"/>
      <c r="J1577" s="116"/>
      <c r="K1577" s="116"/>
      <c r="L1577" s="116"/>
      <c r="M1577" s="116"/>
    </row>
    <row r="1578" spans="1:15" x14ac:dyDescent="0.35">
      <c r="A1578" s="116"/>
      <c r="B1578" s="116"/>
      <c r="C1578" s="116"/>
      <c r="D1578" s="116"/>
      <c r="E1578" s="116"/>
      <c r="F1578" s="116"/>
      <c r="G1578" s="136"/>
      <c r="H1578" s="116"/>
      <c r="I1578" s="116"/>
      <c r="J1578" s="116"/>
      <c r="K1578" s="116"/>
      <c r="L1578" s="116"/>
      <c r="M1578" s="116"/>
    </row>
    <row r="1579" spans="1:15" x14ac:dyDescent="0.35">
      <c r="A1579" s="116"/>
      <c r="B1579" s="116"/>
      <c r="C1579" s="116"/>
      <c r="D1579" s="116"/>
      <c r="E1579" s="116"/>
      <c r="F1579" s="116"/>
      <c r="G1579" s="136"/>
      <c r="H1579" s="116"/>
      <c r="I1579" s="116"/>
      <c r="J1579" s="116"/>
      <c r="K1579" s="116"/>
      <c r="L1579" s="116"/>
      <c r="M1579" s="116"/>
      <c r="N1579" s="116"/>
      <c r="O1579" s="116"/>
    </row>
    <row r="1580" spans="1:15" x14ac:dyDescent="0.35">
      <c r="A1580" s="116"/>
      <c r="B1580" s="116"/>
      <c r="C1580" s="116"/>
      <c r="D1580" s="116"/>
      <c r="E1580" s="116"/>
      <c r="F1580" s="116"/>
      <c r="G1580" s="136"/>
      <c r="H1580" s="116"/>
      <c r="I1580" s="116"/>
      <c r="J1580" s="116"/>
      <c r="K1580" s="116"/>
      <c r="L1580" s="116"/>
      <c r="M1580" s="116"/>
    </row>
    <row r="1581" spans="1:15" x14ac:dyDescent="0.35">
      <c r="A1581" s="116"/>
      <c r="B1581" s="116"/>
      <c r="C1581" s="116"/>
      <c r="D1581" s="116"/>
      <c r="E1581" s="116"/>
      <c r="F1581" s="116"/>
      <c r="G1581" s="136"/>
      <c r="H1581" s="116"/>
      <c r="I1581" s="116"/>
      <c r="J1581" s="116"/>
      <c r="K1581" s="116"/>
      <c r="L1581" s="116"/>
      <c r="M1581" s="116"/>
    </row>
    <row r="1582" spans="1:15" x14ac:dyDescent="0.35">
      <c r="A1582" s="116"/>
      <c r="B1582" s="116"/>
      <c r="C1582" s="116"/>
      <c r="D1582" s="116"/>
      <c r="E1582" s="116"/>
      <c r="F1582" s="116"/>
      <c r="G1582" s="136"/>
      <c r="H1582" s="116"/>
      <c r="I1582" s="116"/>
      <c r="J1582" s="116"/>
      <c r="K1582" s="116"/>
      <c r="L1582" s="116"/>
      <c r="M1582" s="116"/>
    </row>
    <row r="1583" spans="1:15" x14ac:dyDescent="0.35">
      <c r="A1583" s="116"/>
      <c r="B1583" s="116"/>
      <c r="C1583" s="116"/>
      <c r="D1583" s="116"/>
      <c r="E1583" s="116"/>
      <c r="F1583" s="116"/>
      <c r="G1583" s="136"/>
      <c r="H1583" s="116"/>
      <c r="I1583" s="116"/>
      <c r="J1583" s="116"/>
      <c r="K1583" s="116"/>
      <c r="L1583" s="116"/>
      <c r="M1583" s="116"/>
      <c r="N1583" s="116"/>
      <c r="O1583" s="116"/>
    </row>
    <row r="1584" spans="1:15" x14ac:dyDescent="0.35">
      <c r="A1584" s="116"/>
      <c r="B1584" s="116"/>
      <c r="C1584" s="116"/>
      <c r="D1584" s="116"/>
      <c r="E1584" s="116"/>
      <c r="F1584" s="116"/>
      <c r="G1584" s="136"/>
      <c r="H1584" s="116"/>
      <c r="I1584" s="116"/>
      <c r="J1584" s="116"/>
      <c r="K1584" s="116"/>
      <c r="L1584" s="116"/>
      <c r="M1584" s="116"/>
      <c r="N1584" s="116"/>
      <c r="O1584" s="116"/>
    </row>
    <row r="1585" spans="1:15" x14ac:dyDescent="0.35">
      <c r="A1585" s="116"/>
      <c r="B1585" s="116"/>
      <c r="C1585" s="116"/>
      <c r="D1585" s="116"/>
      <c r="E1585" s="116"/>
      <c r="F1585" s="116"/>
      <c r="G1585" s="136"/>
      <c r="H1585" s="116"/>
      <c r="I1585" s="116"/>
      <c r="J1585" s="116"/>
      <c r="K1585" s="116"/>
      <c r="L1585" s="116"/>
      <c r="M1585" s="116"/>
      <c r="N1585" s="116"/>
      <c r="O1585" s="116"/>
    </row>
    <row r="1586" spans="1:15" x14ac:dyDescent="0.35">
      <c r="A1586" s="116"/>
      <c r="B1586" s="116"/>
      <c r="C1586" s="116"/>
      <c r="D1586" s="116"/>
      <c r="E1586" s="116"/>
      <c r="F1586" s="116"/>
      <c r="G1586" s="136"/>
      <c r="H1586" s="116"/>
      <c r="I1586" s="116"/>
      <c r="J1586" s="116"/>
      <c r="K1586" s="116"/>
      <c r="L1586" s="116"/>
      <c r="M1586" s="116"/>
      <c r="N1586" s="116"/>
      <c r="O1586" s="116"/>
    </row>
    <row r="1587" spans="1:15" x14ac:dyDescent="0.35">
      <c r="A1587" s="116"/>
      <c r="B1587" s="116"/>
      <c r="C1587" s="116"/>
      <c r="D1587" s="116"/>
      <c r="E1587" s="116"/>
      <c r="F1587" s="116"/>
      <c r="G1587" s="136"/>
      <c r="H1587" s="116"/>
      <c r="I1587" s="116"/>
      <c r="J1587" s="116"/>
      <c r="K1587" s="116"/>
      <c r="L1587" s="116"/>
      <c r="M1587" s="116"/>
      <c r="N1587" s="116"/>
      <c r="O1587" s="116"/>
    </row>
    <row r="1588" spans="1:15" x14ac:dyDescent="0.35">
      <c r="A1588" s="116"/>
      <c r="B1588" s="116"/>
      <c r="C1588" s="116"/>
      <c r="D1588" s="116"/>
      <c r="E1588" s="116"/>
      <c r="F1588" s="116"/>
      <c r="G1588" s="136"/>
      <c r="H1588" s="116"/>
      <c r="I1588" s="116"/>
      <c r="J1588" s="116"/>
      <c r="K1588" s="116"/>
      <c r="L1588" s="116"/>
      <c r="M1588" s="116"/>
      <c r="N1588" s="116"/>
      <c r="O1588" s="116"/>
    </row>
    <row r="1589" spans="1:15" x14ac:dyDescent="0.35">
      <c r="A1589" s="116"/>
      <c r="B1589" s="116"/>
      <c r="C1589" s="116"/>
      <c r="D1589" s="116"/>
      <c r="E1589" s="116"/>
      <c r="F1589" s="116"/>
      <c r="G1589" s="136"/>
      <c r="H1589" s="116"/>
      <c r="I1589" s="116"/>
      <c r="J1589" s="116"/>
      <c r="K1589" s="116"/>
      <c r="L1589" s="116"/>
      <c r="M1589" s="116"/>
      <c r="N1589" s="116"/>
      <c r="O1589" s="116"/>
    </row>
    <row r="1590" spans="1:15" x14ac:dyDescent="0.35">
      <c r="A1590" s="116"/>
      <c r="B1590" s="116"/>
      <c r="C1590" s="116"/>
      <c r="D1590" s="116"/>
      <c r="E1590" s="116"/>
      <c r="F1590" s="116"/>
      <c r="G1590" s="136"/>
      <c r="H1590" s="116"/>
      <c r="I1590" s="116"/>
      <c r="J1590" s="116"/>
      <c r="K1590" s="116"/>
      <c r="L1590" s="116"/>
      <c r="M1590" s="116"/>
      <c r="N1590" s="116"/>
      <c r="O1590" s="116"/>
    </row>
    <row r="1591" spans="1:15" x14ac:dyDescent="0.35">
      <c r="A1591" s="116"/>
      <c r="B1591" s="116"/>
      <c r="C1591" s="116"/>
      <c r="D1591" s="116"/>
      <c r="E1591" s="116"/>
      <c r="F1591" s="116"/>
      <c r="G1591" s="136"/>
      <c r="H1591" s="116"/>
      <c r="I1591" s="116"/>
      <c r="J1591" s="116"/>
      <c r="K1591" s="116"/>
      <c r="L1591" s="116"/>
      <c r="M1591" s="116"/>
      <c r="N1591" s="116"/>
      <c r="O1591" s="116"/>
    </row>
    <row r="1592" spans="1:15" x14ac:dyDescent="0.35">
      <c r="A1592" s="116"/>
      <c r="B1592" s="116"/>
      <c r="C1592" s="116"/>
      <c r="D1592" s="116"/>
      <c r="E1592" s="116"/>
      <c r="F1592" s="116"/>
      <c r="G1592" s="136"/>
      <c r="H1592" s="116"/>
      <c r="I1592" s="116"/>
      <c r="J1592" s="116"/>
      <c r="K1592" s="116"/>
      <c r="L1592" s="116"/>
      <c r="M1592" s="116"/>
      <c r="N1592" s="116"/>
      <c r="O1592" s="116"/>
    </row>
    <row r="1593" spans="1:15" x14ac:dyDescent="0.35">
      <c r="A1593" s="116"/>
      <c r="B1593" s="116"/>
      <c r="C1593" s="116"/>
      <c r="D1593" s="116"/>
      <c r="E1593" s="116"/>
      <c r="F1593" s="116"/>
      <c r="G1593" s="136"/>
      <c r="H1593" s="116"/>
      <c r="I1593" s="116"/>
      <c r="J1593" s="116"/>
      <c r="K1593" s="116"/>
      <c r="L1593" s="116"/>
      <c r="M1593" s="116"/>
    </row>
    <row r="1594" spans="1:15" x14ac:dyDescent="0.35">
      <c r="A1594" s="116"/>
      <c r="B1594" s="116"/>
      <c r="C1594" s="116"/>
      <c r="D1594" s="116"/>
      <c r="E1594" s="116"/>
      <c r="F1594" s="116"/>
      <c r="G1594" s="136"/>
      <c r="H1594" s="116"/>
      <c r="I1594" s="116"/>
      <c r="J1594" s="116"/>
      <c r="K1594" s="116"/>
      <c r="L1594" s="116"/>
      <c r="M1594" s="116"/>
    </row>
    <row r="1595" spans="1:15" x14ac:dyDescent="0.35">
      <c r="A1595" s="116"/>
      <c r="B1595" s="116"/>
      <c r="C1595" s="116"/>
      <c r="D1595" s="116"/>
      <c r="E1595" s="116"/>
      <c r="F1595" s="116"/>
      <c r="G1595" s="136"/>
      <c r="H1595" s="116"/>
      <c r="I1595" s="116"/>
      <c r="J1595" s="116"/>
      <c r="K1595" s="116"/>
      <c r="L1595" s="116"/>
      <c r="M1595" s="116"/>
      <c r="N1595" s="116"/>
      <c r="O1595" s="116"/>
    </row>
    <row r="1596" spans="1:15" x14ac:dyDescent="0.35">
      <c r="A1596" s="116"/>
      <c r="B1596" s="116"/>
      <c r="C1596" s="116"/>
      <c r="D1596" s="116"/>
      <c r="E1596" s="116"/>
      <c r="F1596" s="116"/>
      <c r="G1596" s="136"/>
      <c r="H1596" s="116"/>
      <c r="I1596" s="116"/>
      <c r="J1596" s="116"/>
      <c r="K1596" s="116"/>
      <c r="L1596" s="116"/>
      <c r="M1596" s="116"/>
      <c r="N1596" s="116"/>
      <c r="O1596" s="116"/>
    </row>
    <row r="1597" spans="1:15" x14ac:dyDescent="0.35">
      <c r="A1597" s="116"/>
      <c r="B1597" s="116"/>
      <c r="C1597" s="116"/>
      <c r="D1597" s="116"/>
      <c r="E1597" s="116"/>
      <c r="F1597" s="116"/>
      <c r="G1597" s="136"/>
      <c r="H1597" s="116"/>
      <c r="I1597" s="116"/>
      <c r="J1597" s="116"/>
      <c r="K1597" s="116"/>
      <c r="L1597" s="116"/>
      <c r="M1597" s="116"/>
      <c r="N1597" s="116"/>
      <c r="O1597" s="116"/>
    </row>
    <row r="1598" spans="1:15" x14ac:dyDescent="0.35">
      <c r="A1598" s="116"/>
      <c r="B1598" s="116"/>
      <c r="C1598" s="116"/>
      <c r="D1598" s="116"/>
      <c r="E1598" s="116"/>
      <c r="F1598" s="116"/>
      <c r="G1598" s="136"/>
      <c r="H1598" s="116"/>
      <c r="I1598" s="116"/>
      <c r="J1598" s="116"/>
      <c r="K1598" s="116"/>
      <c r="L1598" s="116"/>
      <c r="M1598" s="116"/>
      <c r="N1598" s="116"/>
      <c r="O1598" s="116"/>
    </row>
    <row r="1599" spans="1:15" x14ac:dyDescent="0.35">
      <c r="A1599" s="116"/>
      <c r="B1599" s="116"/>
      <c r="C1599" s="116"/>
      <c r="D1599" s="116"/>
      <c r="E1599" s="116"/>
      <c r="F1599" s="116"/>
      <c r="G1599" s="136"/>
      <c r="H1599" s="116"/>
      <c r="I1599" s="116"/>
      <c r="J1599" s="116"/>
      <c r="K1599" s="116"/>
      <c r="L1599" s="116"/>
      <c r="M1599" s="116"/>
      <c r="N1599" s="116"/>
      <c r="O1599" s="116"/>
    </row>
    <row r="1600" spans="1:15" x14ac:dyDescent="0.35">
      <c r="A1600" s="116"/>
      <c r="B1600" s="116"/>
      <c r="C1600" s="116"/>
      <c r="D1600" s="116"/>
      <c r="E1600" s="116"/>
      <c r="F1600" s="116"/>
      <c r="G1600" s="136"/>
      <c r="H1600" s="116"/>
      <c r="I1600" s="116"/>
      <c r="J1600" s="116"/>
      <c r="K1600" s="116"/>
      <c r="L1600" s="116"/>
      <c r="M1600" s="116"/>
      <c r="N1600" s="116"/>
      <c r="O1600" s="116"/>
    </row>
    <row r="1601" spans="1:15" x14ac:dyDescent="0.35">
      <c r="A1601" s="116"/>
      <c r="B1601" s="116"/>
      <c r="C1601" s="116"/>
      <c r="D1601" s="116"/>
      <c r="E1601" s="116"/>
      <c r="F1601" s="116"/>
      <c r="G1601" s="136"/>
      <c r="H1601" s="116"/>
      <c r="I1601" s="116"/>
      <c r="J1601" s="116"/>
      <c r="K1601" s="116"/>
      <c r="L1601" s="116"/>
      <c r="M1601" s="116"/>
      <c r="N1601" s="116"/>
      <c r="O1601" s="116"/>
    </row>
    <row r="1602" spans="1:15" x14ac:dyDescent="0.35">
      <c r="A1602" s="116"/>
      <c r="B1602" s="116"/>
      <c r="C1602" s="116"/>
      <c r="D1602" s="116"/>
      <c r="E1602" s="116"/>
      <c r="F1602" s="116"/>
      <c r="G1602" s="136"/>
      <c r="H1602" s="116"/>
      <c r="I1602" s="116"/>
      <c r="J1602" s="116"/>
      <c r="K1602" s="116"/>
      <c r="L1602" s="116"/>
      <c r="M1602" s="116"/>
      <c r="N1602" s="116"/>
      <c r="O1602" s="116"/>
    </row>
    <row r="1603" spans="1:15" x14ac:dyDescent="0.35">
      <c r="A1603" s="116"/>
      <c r="B1603" s="116"/>
      <c r="C1603" s="116"/>
      <c r="D1603" s="116"/>
      <c r="E1603" s="116"/>
      <c r="F1603" s="116"/>
      <c r="G1603" s="136"/>
      <c r="H1603" s="116"/>
      <c r="I1603" s="116"/>
      <c r="J1603" s="116"/>
      <c r="K1603" s="116"/>
      <c r="L1603" s="116"/>
      <c r="M1603" s="116"/>
      <c r="N1603" s="116"/>
      <c r="O1603" s="116"/>
    </row>
    <row r="1604" spans="1:15" x14ac:dyDescent="0.35">
      <c r="A1604" s="116"/>
      <c r="B1604" s="116"/>
      <c r="C1604" s="116"/>
      <c r="D1604" s="116"/>
      <c r="E1604" s="116"/>
      <c r="F1604" s="116"/>
      <c r="G1604" s="136"/>
      <c r="H1604" s="116"/>
      <c r="I1604" s="116"/>
      <c r="J1604" s="116"/>
      <c r="K1604" s="116"/>
      <c r="L1604" s="116"/>
      <c r="M1604" s="116"/>
      <c r="N1604" s="116"/>
      <c r="O1604" s="116"/>
    </row>
    <row r="1605" spans="1:15" x14ac:dyDescent="0.35">
      <c r="A1605" s="116"/>
      <c r="B1605" s="116"/>
      <c r="C1605" s="116"/>
      <c r="D1605" s="116"/>
      <c r="E1605" s="116"/>
      <c r="F1605" s="116"/>
      <c r="G1605" s="136"/>
      <c r="H1605" s="116"/>
      <c r="I1605" s="116"/>
      <c r="J1605" s="116"/>
      <c r="K1605" s="116"/>
      <c r="L1605" s="116"/>
      <c r="M1605" s="116"/>
      <c r="N1605" s="116"/>
      <c r="O1605" s="116"/>
    </row>
    <row r="1606" spans="1:15" x14ac:dyDescent="0.35">
      <c r="A1606" s="116"/>
      <c r="B1606" s="116"/>
      <c r="C1606" s="116"/>
      <c r="D1606" s="116"/>
      <c r="E1606" s="116"/>
      <c r="F1606" s="116"/>
      <c r="G1606" s="136"/>
      <c r="H1606" s="116"/>
      <c r="I1606" s="116"/>
      <c r="J1606" s="116"/>
      <c r="K1606" s="116"/>
      <c r="L1606" s="116"/>
      <c r="M1606" s="116"/>
      <c r="N1606" s="116"/>
      <c r="O1606" s="116"/>
    </row>
    <row r="1607" spans="1:15" x14ac:dyDescent="0.35">
      <c r="A1607" s="116"/>
      <c r="B1607" s="116"/>
      <c r="C1607" s="116"/>
      <c r="D1607" s="116"/>
      <c r="E1607" s="116"/>
      <c r="F1607" s="116"/>
      <c r="G1607" s="136"/>
      <c r="H1607" s="116"/>
      <c r="I1607" s="116"/>
      <c r="J1607" s="116"/>
      <c r="K1607" s="116"/>
      <c r="L1607" s="116"/>
      <c r="M1607" s="116"/>
      <c r="N1607" s="31"/>
      <c r="O1607" s="31"/>
    </row>
    <row r="1608" spans="1:15" x14ac:dyDescent="0.35">
      <c r="A1608" s="116"/>
      <c r="B1608" s="116"/>
      <c r="C1608" s="116"/>
      <c r="D1608" s="116"/>
      <c r="E1608" s="116"/>
      <c r="F1608" s="116"/>
      <c r="G1608" s="136"/>
      <c r="H1608" s="116"/>
      <c r="I1608" s="116"/>
      <c r="J1608" s="116"/>
      <c r="K1608" s="116"/>
      <c r="L1608" s="116"/>
      <c r="M1608" s="116"/>
      <c r="N1608" s="116"/>
      <c r="O1608" s="116"/>
    </row>
    <row r="1609" spans="1:15" x14ac:dyDescent="0.35">
      <c r="A1609" s="116"/>
      <c r="B1609" s="116"/>
      <c r="C1609" s="116"/>
      <c r="D1609" s="116"/>
      <c r="E1609" s="116"/>
      <c r="F1609" s="116"/>
      <c r="G1609" s="136"/>
      <c r="H1609" s="116"/>
      <c r="I1609" s="116"/>
      <c r="J1609" s="116"/>
      <c r="K1609" s="116"/>
      <c r="L1609" s="116"/>
      <c r="M1609" s="116"/>
      <c r="N1609" s="116"/>
      <c r="O1609" s="116"/>
    </row>
    <row r="1610" spans="1:15" x14ac:dyDescent="0.35">
      <c r="A1610" s="116"/>
      <c r="B1610" s="116"/>
      <c r="C1610" s="116"/>
      <c r="D1610" s="116"/>
      <c r="E1610" s="116"/>
      <c r="F1610" s="116"/>
      <c r="G1610" s="136"/>
      <c r="H1610" s="116"/>
      <c r="I1610" s="116"/>
      <c r="J1610" s="116"/>
      <c r="K1610" s="116"/>
      <c r="L1610" s="116"/>
      <c r="M1610" s="116"/>
    </row>
    <row r="1611" spans="1:15" x14ac:dyDescent="0.35">
      <c r="A1611" s="116"/>
      <c r="B1611" s="116"/>
      <c r="C1611" s="116"/>
      <c r="D1611" s="116"/>
      <c r="E1611" s="116"/>
      <c r="F1611" s="116"/>
      <c r="G1611" s="136"/>
      <c r="H1611" s="116"/>
      <c r="I1611" s="116"/>
      <c r="J1611" s="116"/>
      <c r="K1611" s="116"/>
      <c r="L1611" s="116"/>
      <c r="M1611" s="116"/>
      <c r="N1611" s="116"/>
      <c r="O1611" s="116"/>
    </row>
    <row r="1612" spans="1:15" x14ac:dyDescent="0.35">
      <c r="A1612" s="116"/>
      <c r="B1612" s="116"/>
      <c r="C1612" s="116"/>
      <c r="D1612" s="116"/>
      <c r="E1612" s="116"/>
      <c r="F1612" s="116"/>
      <c r="G1612" s="136"/>
      <c r="H1612" s="116"/>
      <c r="I1612" s="116"/>
      <c r="J1612" s="116"/>
      <c r="K1612" s="116"/>
      <c r="L1612" s="116"/>
      <c r="M1612" s="116"/>
    </row>
    <row r="1613" spans="1:15" x14ac:dyDescent="0.35">
      <c r="A1613" s="116"/>
      <c r="B1613" s="116"/>
      <c r="C1613" s="116"/>
      <c r="D1613" s="116"/>
      <c r="E1613" s="116"/>
      <c r="F1613" s="116"/>
      <c r="G1613" s="136"/>
      <c r="H1613" s="116"/>
      <c r="I1613" s="116"/>
      <c r="J1613" s="116"/>
      <c r="K1613" s="116"/>
      <c r="L1613" s="116"/>
      <c r="M1613" s="116"/>
    </row>
    <row r="1614" spans="1:15" x14ac:dyDescent="0.35">
      <c r="A1614" s="116"/>
      <c r="B1614" s="116"/>
      <c r="C1614" s="116"/>
      <c r="D1614" s="116"/>
      <c r="E1614" s="116"/>
      <c r="F1614" s="116"/>
      <c r="G1614" s="136"/>
      <c r="H1614" s="116"/>
      <c r="I1614" s="116"/>
      <c r="J1614" s="116"/>
      <c r="K1614" s="116"/>
      <c r="L1614" s="116"/>
      <c r="M1614" s="116"/>
    </row>
    <row r="1615" spans="1:15" x14ac:dyDescent="0.35">
      <c r="A1615" s="116"/>
      <c r="B1615" s="116"/>
      <c r="C1615" s="116"/>
      <c r="D1615" s="116"/>
      <c r="E1615" s="116"/>
      <c r="F1615" s="116"/>
      <c r="G1615" s="136"/>
      <c r="H1615" s="116"/>
      <c r="I1615" s="116"/>
      <c r="J1615" s="116"/>
      <c r="K1615" s="116"/>
      <c r="L1615" s="116"/>
      <c r="M1615" s="116"/>
      <c r="N1615" s="116"/>
      <c r="O1615" s="116"/>
    </row>
    <row r="1616" spans="1:15" x14ac:dyDescent="0.35">
      <c r="A1616" s="116"/>
      <c r="B1616" s="116"/>
      <c r="C1616" s="116"/>
      <c r="D1616" s="116"/>
      <c r="E1616" s="116"/>
      <c r="F1616" s="116"/>
      <c r="G1616" s="136"/>
      <c r="H1616" s="116"/>
      <c r="I1616" s="116"/>
      <c r="J1616" s="116"/>
      <c r="K1616" s="116"/>
      <c r="L1616" s="116"/>
      <c r="M1616" s="116"/>
      <c r="N1616" s="116"/>
      <c r="O1616" s="116"/>
    </row>
    <row r="1617" spans="1:15" x14ac:dyDescent="0.35">
      <c r="A1617" s="116"/>
      <c r="B1617" s="116"/>
      <c r="C1617" s="116"/>
      <c r="D1617" s="116"/>
      <c r="E1617" s="116"/>
      <c r="F1617" s="116"/>
      <c r="G1617" s="136"/>
      <c r="H1617" s="116"/>
      <c r="I1617" s="116"/>
      <c r="J1617" s="116"/>
      <c r="K1617" s="116"/>
      <c r="L1617" s="116"/>
      <c r="M1617" s="116"/>
      <c r="N1617" s="116"/>
      <c r="O1617" s="116"/>
    </row>
    <row r="1618" spans="1:15" x14ac:dyDescent="0.35">
      <c r="A1618" s="116"/>
      <c r="B1618" s="116"/>
      <c r="C1618" s="116"/>
      <c r="D1618" s="116"/>
      <c r="E1618" s="116"/>
      <c r="F1618" s="116"/>
      <c r="G1618" s="136"/>
      <c r="H1618" s="116"/>
      <c r="I1618" s="116"/>
      <c r="J1618" s="116"/>
      <c r="K1618" s="116"/>
      <c r="L1618" s="116"/>
      <c r="M1618" s="116"/>
      <c r="N1618" s="116"/>
      <c r="O1618" s="116"/>
    </row>
    <row r="1619" spans="1:15" x14ac:dyDescent="0.35">
      <c r="A1619" s="116"/>
      <c r="B1619" s="116"/>
      <c r="C1619" s="116"/>
      <c r="D1619" s="116"/>
      <c r="E1619" s="116"/>
      <c r="F1619" s="116"/>
      <c r="G1619" s="136"/>
      <c r="H1619" s="116"/>
      <c r="I1619" s="116"/>
      <c r="J1619" s="116"/>
      <c r="K1619" s="116"/>
      <c r="L1619" s="116"/>
      <c r="M1619" s="116"/>
      <c r="N1619" s="116"/>
      <c r="O1619" s="116"/>
    </row>
    <row r="1620" spans="1:15" x14ac:dyDescent="0.35">
      <c r="A1620" s="116"/>
      <c r="B1620" s="116"/>
      <c r="C1620" s="116"/>
      <c r="D1620" s="116"/>
      <c r="E1620" s="116"/>
      <c r="F1620" s="116"/>
      <c r="G1620" s="136"/>
      <c r="H1620" s="116"/>
      <c r="I1620" s="116"/>
      <c r="J1620" s="116"/>
      <c r="K1620" s="116"/>
      <c r="L1620" s="116"/>
      <c r="M1620" s="116"/>
    </row>
    <row r="1621" spans="1:15" x14ac:dyDescent="0.35">
      <c r="A1621" s="116"/>
      <c r="B1621" s="116"/>
      <c r="C1621" s="116"/>
      <c r="D1621" s="116"/>
      <c r="E1621" s="116"/>
      <c r="F1621" s="116"/>
      <c r="G1621" s="136"/>
      <c r="H1621" s="116"/>
      <c r="I1621" s="116"/>
      <c r="J1621" s="116"/>
      <c r="K1621" s="116"/>
      <c r="L1621" s="116"/>
      <c r="M1621" s="116"/>
      <c r="N1621" s="116"/>
      <c r="O1621" s="116"/>
    </row>
    <row r="1622" spans="1:15" x14ac:dyDescent="0.35">
      <c r="A1622" s="116"/>
      <c r="B1622" s="116"/>
      <c r="C1622" s="116"/>
      <c r="D1622" s="116"/>
      <c r="E1622" s="116"/>
      <c r="F1622" s="116"/>
      <c r="G1622" s="136"/>
      <c r="H1622" s="116"/>
      <c r="I1622" s="116"/>
      <c r="J1622" s="116"/>
      <c r="K1622" s="116"/>
      <c r="L1622" s="116"/>
      <c r="M1622" s="116"/>
      <c r="N1622" s="116"/>
      <c r="O1622" s="116"/>
    </row>
    <row r="1623" spans="1:15" x14ac:dyDescent="0.35">
      <c r="A1623" s="116"/>
      <c r="B1623" s="116"/>
      <c r="C1623" s="116"/>
      <c r="D1623" s="116"/>
      <c r="E1623" s="116"/>
      <c r="F1623" s="116"/>
      <c r="G1623" s="136"/>
      <c r="H1623" s="116"/>
      <c r="I1623" s="116"/>
      <c r="J1623" s="116"/>
      <c r="K1623" s="116"/>
      <c r="L1623" s="116"/>
      <c r="M1623" s="116"/>
      <c r="N1623" s="116"/>
      <c r="O1623" s="116"/>
    </row>
    <row r="1624" spans="1:15" x14ac:dyDescent="0.35">
      <c r="A1624" s="116"/>
      <c r="B1624" s="116"/>
      <c r="C1624" s="116"/>
      <c r="D1624" s="116"/>
      <c r="E1624" s="116"/>
      <c r="F1624" s="116"/>
      <c r="G1624" s="136"/>
      <c r="H1624" s="116"/>
      <c r="I1624" s="116"/>
      <c r="J1624" s="116"/>
      <c r="K1624" s="116"/>
      <c r="L1624" s="116"/>
      <c r="M1624" s="116"/>
      <c r="N1624" s="116"/>
      <c r="O1624" s="116"/>
    </row>
    <row r="1625" spans="1:15" x14ac:dyDescent="0.35">
      <c r="A1625" s="116"/>
      <c r="B1625" s="116"/>
      <c r="C1625" s="116"/>
      <c r="D1625" s="116"/>
      <c r="E1625" s="116"/>
      <c r="F1625" s="116"/>
      <c r="G1625" s="136"/>
      <c r="H1625" s="116"/>
      <c r="I1625" s="116"/>
      <c r="J1625" s="116"/>
      <c r="K1625" s="116"/>
      <c r="L1625" s="116"/>
      <c r="M1625" s="116"/>
      <c r="N1625" s="116"/>
      <c r="O1625" s="116"/>
    </row>
    <row r="1626" spans="1:15" x14ac:dyDescent="0.35">
      <c r="A1626" s="116"/>
      <c r="B1626" s="116"/>
      <c r="C1626" s="116"/>
      <c r="D1626" s="116"/>
      <c r="E1626" s="116"/>
      <c r="F1626" s="116"/>
      <c r="G1626" s="136"/>
      <c r="H1626" s="116"/>
      <c r="I1626" s="116"/>
      <c r="J1626" s="116"/>
      <c r="K1626" s="116"/>
      <c r="L1626" s="116"/>
      <c r="M1626" s="116"/>
      <c r="N1626" s="116"/>
      <c r="O1626" s="116"/>
    </row>
    <row r="1627" spans="1:15" x14ac:dyDescent="0.35">
      <c r="A1627" s="116"/>
      <c r="B1627" s="116"/>
      <c r="C1627" s="116"/>
      <c r="D1627" s="116"/>
      <c r="E1627" s="116"/>
      <c r="F1627" s="116"/>
      <c r="G1627" s="136"/>
      <c r="H1627" s="116"/>
      <c r="I1627" s="116"/>
      <c r="J1627" s="116"/>
      <c r="K1627" s="116"/>
      <c r="L1627" s="116"/>
      <c r="M1627" s="116"/>
      <c r="N1627" s="116"/>
      <c r="O1627" s="116"/>
    </row>
    <row r="1628" spans="1:15" x14ac:dyDescent="0.35">
      <c r="A1628" s="116"/>
      <c r="B1628" s="116"/>
      <c r="C1628" s="116"/>
      <c r="D1628" s="116"/>
      <c r="E1628" s="116"/>
      <c r="F1628" s="116"/>
      <c r="G1628" s="136"/>
      <c r="H1628" s="116"/>
      <c r="I1628" s="116"/>
      <c r="J1628" s="116"/>
      <c r="K1628" s="116"/>
      <c r="L1628" s="116"/>
      <c r="M1628" s="116"/>
      <c r="N1628" s="116"/>
      <c r="O1628" s="116"/>
    </row>
    <row r="1629" spans="1:15" x14ac:dyDescent="0.35">
      <c r="A1629" s="116"/>
      <c r="B1629" s="116"/>
      <c r="C1629" s="116"/>
      <c r="D1629" s="116"/>
      <c r="E1629" s="116"/>
      <c r="F1629" s="116"/>
      <c r="G1629" s="136"/>
      <c r="H1629" s="116"/>
      <c r="I1629" s="116"/>
      <c r="J1629" s="116"/>
      <c r="K1629" s="116"/>
      <c r="L1629" s="116"/>
      <c r="M1629" s="116"/>
      <c r="N1629" s="116"/>
      <c r="O1629" s="116"/>
    </row>
    <row r="1630" spans="1:15" x14ac:dyDescent="0.35">
      <c r="A1630" s="116"/>
      <c r="B1630" s="116"/>
      <c r="C1630" s="116"/>
      <c r="D1630" s="116"/>
      <c r="E1630" s="116"/>
      <c r="F1630" s="116"/>
      <c r="G1630" s="136"/>
      <c r="H1630" s="116"/>
      <c r="I1630" s="116"/>
      <c r="J1630" s="116"/>
      <c r="K1630" s="116"/>
      <c r="L1630" s="116"/>
      <c r="M1630" s="116"/>
      <c r="N1630" s="116"/>
      <c r="O1630" s="116"/>
    </row>
    <row r="1631" spans="1:15" x14ac:dyDescent="0.35">
      <c r="A1631" s="116"/>
      <c r="B1631" s="116"/>
      <c r="C1631" s="116"/>
      <c r="D1631" s="116"/>
      <c r="E1631" s="116"/>
      <c r="F1631" s="116"/>
      <c r="G1631" s="136"/>
      <c r="H1631" s="116"/>
      <c r="I1631" s="116"/>
      <c r="J1631" s="116"/>
      <c r="K1631" s="116"/>
      <c r="L1631" s="116"/>
      <c r="M1631" s="116"/>
      <c r="N1631" s="31"/>
      <c r="O1631" s="31"/>
    </row>
    <row r="1632" spans="1:15" x14ac:dyDescent="0.35">
      <c r="A1632" s="116"/>
      <c r="B1632" s="116"/>
      <c r="C1632" s="116"/>
      <c r="D1632" s="116"/>
      <c r="E1632" s="116"/>
      <c r="F1632" s="116"/>
      <c r="G1632" s="136"/>
      <c r="H1632" s="116"/>
      <c r="I1632" s="116"/>
      <c r="J1632" s="116"/>
      <c r="K1632" s="116"/>
      <c r="L1632" s="116"/>
      <c r="M1632" s="116"/>
      <c r="N1632" s="116"/>
      <c r="O1632" s="116"/>
    </row>
    <row r="1633" spans="1:15" x14ac:dyDescent="0.35">
      <c r="A1633" s="116"/>
      <c r="B1633" s="116"/>
      <c r="C1633" s="116"/>
      <c r="D1633" s="116"/>
      <c r="E1633" s="116"/>
      <c r="F1633" s="116"/>
      <c r="G1633" s="136"/>
      <c r="H1633" s="116"/>
      <c r="I1633" s="116"/>
      <c r="J1633" s="116"/>
      <c r="K1633" s="116"/>
      <c r="L1633" s="116"/>
      <c r="M1633" s="116"/>
      <c r="N1633" s="116"/>
      <c r="O1633" s="116"/>
    </row>
    <row r="1634" spans="1:15" x14ac:dyDescent="0.35">
      <c r="A1634" s="116"/>
      <c r="B1634" s="116"/>
      <c r="C1634" s="116"/>
      <c r="D1634" s="116"/>
      <c r="E1634" s="116"/>
      <c r="F1634" s="116"/>
      <c r="G1634" s="136"/>
      <c r="H1634" s="116"/>
      <c r="I1634" s="116"/>
      <c r="J1634" s="116"/>
      <c r="K1634" s="116"/>
      <c r="L1634" s="116"/>
      <c r="M1634" s="116"/>
    </row>
    <row r="1635" spans="1:15" x14ac:dyDescent="0.35">
      <c r="A1635" s="116"/>
      <c r="B1635" s="116"/>
      <c r="C1635" s="116"/>
      <c r="D1635" s="116"/>
      <c r="E1635" s="116"/>
      <c r="F1635" s="116"/>
      <c r="G1635" s="136"/>
      <c r="H1635" s="116"/>
      <c r="I1635" s="116"/>
      <c r="J1635" s="116"/>
      <c r="K1635" s="116"/>
      <c r="L1635" s="116"/>
      <c r="M1635" s="116"/>
      <c r="N1635" s="116"/>
      <c r="O1635" s="116"/>
    </row>
    <row r="1636" spans="1:15" x14ac:dyDescent="0.35">
      <c r="A1636" s="116"/>
      <c r="B1636" s="116"/>
      <c r="C1636" s="116"/>
      <c r="D1636" s="116"/>
      <c r="E1636" s="116"/>
      <c r="F1636" s="116"/>
      <c r="G1636" s="136"/>
      <c r="H1636" s="116"/>
      <c r="I1636" s="116"/>
      <c r="J1636" s="116"/>
      <c r="K1636" s="116"/>
      <c r="L1636" s="116"/>
      <c r="M1636" s="116"/>
      <c r="N1636" s="116"/>
      <c r="O1636" s="116"/>
    </row>
    <row r="1637" spans="1:15" x14ac:dyDescent="0.35">
      <c r="A1637" s="116"/>
      <c r="B1637" s="116"/>
      <c r="C1637" s="116"/>
      <c r="D1637" s="116"/>
      <c r="E1637" s="116"/>
      <c r="F1637" s="116"/>
      <c r="G1637" s="136"/>
      <c r="H1637" s="116"/>
      <c r="I1637" s="116"/>
      <c r="J1637" s="116"/>
      <c r="K1637" s="116"/>
      <c r="L1637" s="116"/>
      <c r="M1637" s="116"/>
      <c r="N1637" s="116"/>
      <c r="O1637" s="116"/>
    </row>
    <row r="1638" spans="1:15" x14ac:dyDescent="0.35">
      <c r="A1638" s="116"/>
      <c r="B1638" s="116"/>
      <c r="C1638" s="116"/>
      <c r="D1638" s="116"/>
      <c r="E1638" s="116"/>
      <c r="F1638" s="116"/>
      <c r="G1638" s="136"/>
      <c r="H1638" s="116"/>
      <c r="I1638" s="116"/>
      <c r="J1638" s="116"/>
      <c r="K1638" s="116"/>
      <c r="L1638" s="116"/>
      <c r="M1638" s="116"/>
      <c r="N1638" s="116"/>
      <c r="O1638" s="116"/>
    </row>
    <row r="1639" spans="1:15" x14ac:dyDescent="0.35">
      <c r="A1639" s="116"/>
      <c r="B1639" s="116"/>
      <c r="C1639" s="116"/>
      <c r="D1639" s="116"/>
      <c r="E1639" s="116"/>
      <c r="F1639" s="116"/>
      <c r="G1639" s="136"/>
      <c r="H1639" s="116"/>
      <c r="I1639" s="116"/>
      <c r="J1639" s="116"/>
      <c r="K1639" s="116"/>
      <c r="L1639" s="116"/>
      <c r="M1639" s="116"/>
      <c r="N1639" s="116"/>
      <c r="O1639" s="116"/>
    </row>
    <row r="1640" spans="1:15" x14ac:dyDescent="0.35">
      <c r="A1640" s="116"/>
      <c r="B1640" s="116"/>
      <c r="C1640" s="116"/>
      <c r="D1640" s="116"/>
      <c r="E1640" s="116"/>
      <c r="F1640" s="116"/>
      <c r="G1640" s="136"/>
      <c r="H1640" s="116"/>
      <c r="I1640" s="116"/>
      <c r="J1640" s="116"/>
      <c r="K1640" s="116"/>
      <c r="L1640" s="116"/>
      <c r="M1640" s="116"/>
      <c r="N1640" s="116"/>
      <c r="O1640" s="116"/>
    </row>
    <row r="1641" spans="1:15" x14ac:dyDescent="0.35">
      <c r="A1641" s="116"/>
      <c r="B1641" s="116"/>
      <c r="C1641" s="116"/>
      <c r="D1641" s="116"/>
      <c r="E1641" s="116"/>
      <c r="F1641" s="116"/>
      <c r="G1641" s="136"/>
      <c r="H1641" s="116"/>
      <c r="I1641" s="116"/>
      <c r="J1641" s="116"/>
      <c r="K1641" s="116"/>
      <c r="L1641" s="116"/>
      <c r="M1641" s="116"/>
      <c r="N1641" s="116"/>
      <c r="O1641" s="116"/>
    </row>
    <row r="1642" spans="1:15" x14ac:dyDescent="0.35">
      <c r="A1642" s="116"/>
      <c r="B1642" s="116"/>
      <c r="C1642" s="116"/>
      <c r="D1642" s="116"/>
      <c r="E1642" s="116"/>
      <c r="F1642" s="116"/>
      <c r="G1642" s="136"/>
      <c r="H1642" s="116"/>
      <c r="I1642" s="116"/>
      <c r="J1642" s="116"/>
      <c r="K1642" s="116"/>
      <c r="L1642" s="116"/>
      <c r="M1642" s="116"/>
      <c r="N1642" s="116"/>
      <c r="O1642" s="116"/>
    </row>
    <row r="1643" spans="1:15" x14ac:dyDescent="0.35">
      <c r="A1643" s="116"/>
      <c r="B1643" s="116"/>
      <c r="C1643" s="116"/>
      <c r="D1643" s="116"/>
      <c r="E1643" s="116"/>
      <c r="F1643" s="116"/>
      <c r="G1643" s="136"/>
      <c r="H1643" s="116"/>
      <c r="I1643" s="116"/>
      <c r="J1643" s="116"/>
      <c r="K1643" s="116"/>
      <c r="L1643" s="116"/>
      <c r="M1643" s="116"/>
      <c r="N1643" s="116"/>
      <c r="O1643" s="116"/>
    </row>
    <row r="1644" spans="1:15" x14ac:dyDescent="0.35">
      <c r="A1644" s="116"/>
      <c r="B1644" s="116"/>
      <c r="C1644" s="116"/>
      <c r="D1644" s="116"/>
      <c r="E1644" s="116"/>
      <c r="F1644" s="116"/>
      <c r="G1644" s="136"/>
      <c r="H1644" s="116"/>
      <c r="I1644" s="116"/>
      <c r="J1644" s="116"/>
      <c r="K1644" s="116"/>
      <c r="L1644" s="116"/>
      <c r="M1644" s="116"/>
      <c r="N1644" s="116"/>
      <c r="O1644" s="116"/>
    </row>
    <row r="1645" spans="1:15" x14ac:dyDescent="0.35">
      <c r="A1645" s="116"/>
      <c r="B1645" s="116"/>
      <c r="C1645" s="116"/>
      <c r="D1645" s="116"/>
      <c r="E1645" s="116"/>
      <c r="F1645" s="116"/>
      <c r="G1645" s="136"/>
      <c r="H1645" s="116"/>
      <c r="I1645" s="116"/>
      <c r="J1645" s="116"/>
      <c r="K1645" s="116"/>
      <c r="L1645" s="116"/>
      <c r="M1645" s="116"/>
      <c r="N1645" s="116"/>
      <c r="O1645" s="116"/>
    </row>
    <row r="1646" spans="1:15" x14ac:dyDescent="0.35">
      <c r="A1646" s="116"/>
      <c r="B1646" s="116"/>
      <c r="C1646" s="116"/>
      <c r="D1646" s="116"/>
      <c r="E1646" s="116"/>
      <c r="F1646" s="116"/>
      <c r="G1646" s="136"/>
      <c r="H1646" s="116"/>
      <c r="I1646" s="116"/>
      <c r="J1646" s="116"/>
      <c r="K1646" s="116"/>
      <c r="L1646" s="116"/>
      <c r="M1646" s="116"/>
      <c r="N1646" s="116"/>
      <c r="O1646" s="116"/>
    </row>
    <row r="1647" spans="1:15" x14ac:dyDescent="0.35">
      <c r="A1647" s="116"/>
      <c r="B1647" s="116"/>
      <c r="C1647" s="116"/>
      <c r="D1647" s="116"/>
      <c r="E1647" s="116"/>
      <c r="F1647" s="116"/>
      <c r="G1647" s="136"/>
      <c r="H1647" s="116"/>
      <c r="I1647" s="116"/>
      <c r="J1647" s="116"/>
      <c r="K1647" s="116"/>
      <c r="L1647" s="116"/>
      <c r="M1647" s="116"/>
      <c r="N1647" s="116"/>
      <c r="O1647" s="116"/>
    </row>
    <row r="1648" spans="1:15" x14ac:dyDescent="0.35">
      <c r="A1648" s="116"/>
      <c r="B1648" s="116"/>
      <c r="C1648" s="116"/>
      <c r="D1648" s="116"/>
      <c r="E1648" s="116"/>
      <c r="F1648" s="116"/>
      <c r="G1648" s="136"/>
      <c r="H1648" s="116"/>
      <c r="I1648" s="116"/>
      <c r="J1648" s="116"/>
      <c r="K1648" s="116"/>
      <c r="L1648" s="116"/>
      <c r="M1648" s="116"/>
      <c r="N1648" s="116"/>
      <c r="O1648" s="116"/>
    </row>
    <row r="1649" spans="1:15" x14ac:dyDescent="0.35">
      <c r="A1649" s="116"/>
      <c r="B1649" s="116"/>
      <c r="C1649" s="116"/>
      <c r="D1649" s="116"/>
      <c r="E1649" s="116"/>
      <c r="F1649" s="116"/>
      <c r="G1649" s="136"/>
      <c r="H1649" s="116"/>
      <c r="I1649" s="116"/>
      <c r="J1649" s="116"/>
      <c r="K1649" s="116"/>
      <c r="L1649" s="116"/>
      <c r="M1649" s="116"/>
      <c r="N1649" s="116"/>
      <c r="O1649" s="116"/>
    </row>
    <row r="1650" spans="1:15" x14ac:dyDescent="0.35">
      <c r="A1650" s="116"/>
      <c r="B1650" s="116"/>
      <c r="C1650" s="116"/>
      <c r="D1650" s="116"/>
      <c r="E1650" s="116"/>
      <c r="F1650" s="116"/>
      <c r="G1650" s="136"/>
      <c r="H1650" s="116"/>
      <c r="I1650" s="116"/>
      <c r="J1650" s="116"/>
      <c r="K1650" s="116"/>
      <c r="L1650" s="116"/>
      <c r="M1650" s="116"/>
      <c r="N1650" s="116"/>
      <c r="O1650" s="116"/>
    </row>
    <row r="1651" spans="1:15" x14ac:dyDescent="0.35">
      <c r="A1651" s="116"/>
      <c r="B1651" s="116"/>
      <c r="C1651" s="116"/>
      <c r="D1651" s="116"/>
      <c r="E1651" s="116"/>
      <c r="F1651" s="116"/>
      <c r="G1651" s="136"/>
      <c r="H1651" s="116"/>
      <c r="I1651" s="116"/>
      <c r="J1651" s="116"/>
      <c r="K1651" s="116"/>
      <c r="L1651" s="116"/>
      <c r="M1651" s="116"/>
      <c r="N1651" s="116"/>
      <c r="O1651" s="116"/>
    </row>
    <row r="1652" spans="1:15" x14ac:dyDescent="0.35">
      <c r="A1652" s="116"/>
      <c r="B1652" s="116"/>
      <c r="C1652" s="116"/>
      <c r="D1652" s="116"/>
      <c r="E1652" s="116"/>
      <c r="F1652" s="116"/>
      <c r="G1652" s="136"/>
      <c r="H1652" s="116"/>
      <c r="I1652" s="116"/>
      <c r="J1652" s="116"/>
      <c r="K1652" s="116"/>
      <c r="L1652" s="116"/>
      <c r="M1652" s="116"/>
      <c r="N1652" s="116"/>
      <c r="O1652" s="116"/>
    </row>
    <row r="1653" spans="1:15" x14ac:dyDescent="0.35">
      <c r="A1653" s="116"/>
      <c r="B1653" s="116"/>
      <c r="C1653" s="116"/>
      <c r="D1653" s="116"/>
      <c r="E1653" s="116"/>
      <c r="F1653" s="116"/>
      <c r="G1653" s="136"/>
      <c r="H1653" s="116"/>
      <c r="I1653" s="116"/>
      <c r="J1653" s="116"/>
      <c r="K1653" s="116"/>
      <c r="L1653" s="116"/>
      <c r="M1653" s="116"/>
      <c r="N1653" s="116"/>
      <c r="O1653" s="116"/>
    </row>
    <row r="1654" spans="1:15" x14ac:dyDescent="0.35">
      <c r="A1654" s="116"/>
      <c r="B1654" s="116"/>
      <c r="C1654" s="116"/>
      <c r="D1654" s="116"/>
      <c r="E1654" s="116"/>
      <c r="F1654" s="116"/>
      <c r="G1654" s="136"/>
      <c r="H1654" s="116"/>
      <c r="I1654" s="116"/>
      <c r="J1654" s="116"/>
      <c r="K1654" s="116"/>
      <c r="L1654" s="116"/>
      <c r="M1654" s="116"/>
      <c r="N1654" s="116"/>
      <c r="O1654" s="116"/>
    </row>
    <row r="1655" spans="1:15" x14ac:dyDescent="0.35">
      <c r="A1655" s="116"/>
      <c r="B1655" s="116"/>
      <c r="C1655" s="116"/>
      <c r="D1655" s="116"/>
      <c r="E1655" s="116"/>
      <c r="F1655" s="116"/>
      <c r="G1655" s="136"/>
      <c r="H1655" s="116"/>
      <c r="I1655" s="116"/>
      <c r="J1655" s="116"/>
      <c r="K1655" s="116"/>
      <c r="L1655" s="116"/>
      <c r="M1655" s="116"/>
      <c r="N1655" s="116"/>
      <c r="O1655" s="116"/>
    </row>
    <row r="1656" spans="1:15" x14ac:dyDescent="0.35">
      <c r="A1656" s="116"/>
      <c r="B1656" s="116"/>
      <c r="C1656" s="116"/>
      <c r="D1656" s="116"/>
      <c r="E1656" s="116"/>
      <c r="F1656" s="116"/>
      <c r="G1656" s="136"/>
      <c r="H1656" s="116"/>
      <c r="I1656" s="116"/>
      <c r="J1656" s="116"/>
      <c r="K1656" s="116"/>
      <c r="L1656" s="116"/>
      <c r="M1656" s="116"/>
      <c r="N1656" s="116"/>
      <c r="O1656" s="116"/>
    </row>
    <row r="1657" spans="1:15" x14ac:dyDescent="0.35">
      <c r="A1657" s="116"/>
      <c r="B1657" s="116"/>
      <c r="C1657" s="116"/>
      <c r="D1657" s="116"/>
      <c r="E1657" s="116"/>
      <c r="F1657" s="116"/>
      <c r="G1657" s="136"/>
      <c r="H1657" s="116"/>
      <c r="I1657" s="116"/>
      <c r="J1657" s="116"/>
      <c r="K1657" s="116"/>
      <c r="L1657" s="116"/>
      <c r="M1657" s="116"/>
      <c r="N1657" s="116"/>
      <c r="O1657" s="116"/>
    </row>
    <row r="1658" spans="1:15" x14ac:dyDescent="0.35">
      <c r="A1658" s="116"/>
      <c r="B1658" s="116"/>
      <c r="C1658" s="116"/>
      <c r="D1658" s="116"/>
      <c r="E1658" s="116"/>
      <c r="F1658" s="116"/>
      <c r="G1658" s="136"/>
      <c r="H1658" s="116"/>
      <c r="I1658" s="116"/>
      <c r="J1658" s="116"/>
      <c r="K1658" s="116"/>
      <c r="L1658" s="116"/>
      <c r="M1658" s="116"/>
      <c r="N1658" s="116"/>
      <c r="O1658" s="116"/>
    </row>
    <row r="1659" spans="1:15" x14ac:dyDescent="0.35">
      <c r="A1659" s="116"/>
      <c r="B1659" s="116"/>
      <c r="C1659" s="116"/>
      <c r="D1659" s="116"/>
      <c r="E1659" s="116"/>
      <c r="F1659" s="116"/>
      <c r="G1659" s="136"/>
      <c r="H1659" s="116"/>
      <c r="I1659" s="116"/>
      <c r="J1659" s="116"/>
      <c r="K1659" s="116"/>
      <c r="L1659" s="116"/>
      <c r="M1659" s="116"/>
      <c r="N1659" s="116"/>
      <c r="O1659" s="116"/>
    </row>
    <row r="1660" spans="1:15" x14ac:dyDescent="0.35">
      <c r="A1660" s="116"/>
      <c r="B1660" s="116"/>
      <c r="C1660" s="116"/>
      <c r="D1660" s="116"/>
      <c r="E1660" s="116"/>
      <c r="F1660" s="116"/>
      <c r="G1660" s="136"/>
      <c r="H1660" s="116"/>
      <c r="I1660" s="116"/>
      <c r="J1660" s="116"/>
      <c r="K1660" s="116"/>
      <c r="L1660" s="116"/>
      <c r="M1660" s="116"/>
      <c r="N1660" s="116"/>
      <c r="O1660" s="116"/>
    </row>
    <row r="1661" spans="1:15" x14ac:dyDescent="0.35">
      <c r="A1661" s="116"/>
      <c r="B1661" s="116"/>
      <c r="C1661" s="116"/>
      <c r="D1661" s="116"/>
      <c r="E1661" s="116"/>
      <c r="F1661" s="116"/>
      <c r="G1661" s="136"/>
      <c r="H1661" s="116"/>
      <c r="I1661" s="116"/>
      <c r="J1661" s="116"/>
      <c r="K1661" s="116"/>
      <c r="L1661" s="116"/>
      <c r="M1661" s="116"/>
      <c r="N1661" s="116"/>
      <c r="O1661" s="116"/>
    </row>
    <row r="1662" spans="1:15" x14ac:dyDescent="0.35">
      <c r="A1662" s="116"/>
      <c r="B1662" s="116"/>
      <c r="C1662" s="116"/>
      <c r="D1662" s="116"/>
      <c r="E1662" s="116"/>
      <c r="F1662" s="116"/>
      <c r="G1662" s="136"/>
      <c r="H1662" s="116"/>
      <c r="I1662" s="116"/>
      <c r="J1662" s="116"/>
      <c r="K1662" s="116"/>
      <c r="L1662" s="116"/>
      <c r="M1662" s="116"/>
      <c r="N1662" s="116"/>
      <c r="O1662" s="116"/>
    </row>
    <row r="1663" spans="1:15" x14ac:dyDescent="0.35">
      <c r="A1663" s="116"/>
      <c r="B1663" s="116"/>
      <c r="C1663" s="116"/>
      <c r="D1663" s="116"/>
      <c r="E1663" s="116"/>
      <c r="F1663" s="116"/>
      <c r="G1663" s="136"/>
      <c r="H1663" s="116"/>
      <c r="I1663" s="116"/>
      <c r="J1663" s="116"/>
      <c r="K1663" s="116"/>
      <c r="L1663" s="116"/>
      <c r="M1663" s="116"/>
      <c r="N1663" s="116"/>
      <c r="O1663" s="116"/>
    </row>
    <row r="1664" spans="1:15" x14ac:dyDescent="0.35">
      <c r="A1664" s="116"/>
      <c r="B1664" s="116"/>
      <c r="C1664" s="116"/>
      <c r="D1664" s="116"/>
      <c r="E1664" s="116"/>
      <c r="F1664" s="116"/>
      <c r="G1664" s="136"/>
      <c r="H1664" s="116"/>
      <c r="I1664" s="116"/>
      <c r="J1664" s="116"/>
      <c r="K1664" s="116"/>
      <c r="L1664" s="116"/>
      <c r="M1664" s="116"/>
      <c r="N1664" s="116"/>
      <c r="O1664" s="116"/>
    </row>
    <row r="1665" spans="1:15" x14ac:dyDescent="0.35">
      <c r="A1665" s="116"/>
      <c r="B1665" s="116"/>
      <c r="C1665" s="116"/>
      <c r="D1665" s="116"/>
      <c r="E1665" s="116"/>
      <c r="F1665" s="116"/>
      <c r="G1665" s="136"/>
      <c r="H1665" s="116"/>
      <c r="I1665" s="116"/>
      <c r="J1665" s="116"/>
      <c r="K1665" s="116"/>
      <c r="L1665" s="116"/>
      <c r="M1665" s="116"/>
      <c r="N1665" s="116"/>
      <c r="O1665" s="116"/>
    </row>
    <row r="1666" spans="1:15" x14ac:dyDescent="0.35">
      <c r="A1666" s="116"/>
      <c r="B1666" s="116"/>
      <c r="C1666" s="116"/>
      <c r="D1666" s="116"/>
      <c r="E1666" s="116"/>
      <c r="F1666" s="116"/>
      <c r="G1666" s="136"/>
      <c r="H1666" s="116"/>
      <c r="I1666" s="116"/>
      <c r="J1666" s="116"/>
      <c r="K1666" s="116"/>
      <c r="L1666" s="116"/>
      <c r="M1666" s="116"/>
      <c r="N1666" s="116"/>
      <c r="O1666" s="116"/>
    </row>
    <row r="1667" spans="1:15" x14ac:dyDescent="0.35">
      <c r="A1667" s="116"/>
      <c r="B1667" s="116"/>
      <c r="C1667" s="116"/>
      <c r="D1667" s="116"/>
      <c r="E1667" s="116"/>
      <c r="F1667" s="116"/>
      <c r="G1667" s="136"/>
      <c r="H1667" s="116"/>
      <c r="I1667" s="116"/>
      <c r="J1667" s="116"/>
      <c r="K1667" s="116"/>
      <c r="L1667" s="116"/>
      <c r="M1667" s="116"/>
      <c r="N1667" s="116"/>
      <c r="O1667" s="116"/>
    </row>
    <row r="1668" spans="1:15" x14ac:dyDescent="0.35">
      <c r="A1668" s="116"/>
      <c r="B1668" s="116"/>
      <c r="C1668" s="116"/>
      <c r="D1668" s="116"/>
      <c r="E1668" s="116"/>
      <c r="F1668" s="116"/>
      <c r="G1668" s="136"/>
      <c r="H1668" s="116"/>
      <c r="I1668" s="116"/>
      <c r="J1668" s="116"/>
      <c r="K1668" s="116"/>
      <c r="L1668" s="116"/>
      <c r="M1668" s="116"/>
      <c r="N1668" s="116"/>
      <c r="O1668" s="116"/>
    </row>
    <row r="1669" spans="1:15" x14ac:dyDescent="0.35">
      <c r="A1669" s="116"/>
      <c r="B1669" s="116"/>
      <c r="C1669" s="116"/>
      <c r="D1669" s="116"/>
      <c r="E1669" s="116"/>
      <c r="F1669" s="116"/>
      <c r="G1669" s="136"/>
      <c r="H1669" s="116"/>
      <c r="I1669" s="116"/>
      <c r="J1669" s="116"/>
      <c r="K1669" s="116"/>
      <c r="L1669" s="116"/>
      <c r="M1669" s="116"/>
      <c r="N1669" s="116"/>
      <c r="O1669" s="116"/>
    </row>
    <row r="1670" spans="1:15" x14ac:dyDescent="0.35">
      <c r="A1670" s="116"/>
      <c r="B1670" s="116"/>
      <c r="C1670" s="116"/>
      <c r="D1670" s="116"/>
      <c r="E1670" s="116"/>
      <c r="F1670" s="116"/>
      <c r="G1670" s="136"/>
      <c r="H1670" s="116"/>
      <c r="I1670" s="116"/>
      <c r="J1670" s="116"/>
      <c r="K1670" s="116"/>
      <c r="L1670" s="116"/>
      <c r="M1670" s="116"/>
      <c r="N1670" s="31"/>
      <c r="O1670" s="31"/>
    </row>
    <row r="1671" spans="1:15" x14ac:dyDescent="0.35">
      <c r="A1671" s="116"/>
      <c r="B1671" s="116"/>
      <c r="C1671" s="116"/>
      <c r="D1671" s="116"/>
      <c r="E1671" s="116"/>
      <c r="F1671" s="116"/>
      <c r="G1671" s="136"/>
      <c r="H1671" s="116"/>
      <c r="I1671" s="116"/>
      <c r="J1671" s="116"/>
      <c r="K1671" s="116"/>
      <c r="L1671" s="116"/>
      <c r="M1671" s="116"/>
      <c r="N1671" s="116"/>
      <c r="O1671" s="116"/>
    </row>
    <row r="1672" spans="1:15" x14ac:dyDescent="0.35">
      <c r="A1672" s="116"/>
      <c r="B1672" s="116"/>
      <c r="C1672" s="116"/>
      <c r="D1672" s="116"/>
      <c r="E1672" s="116"/>
      <c r="F1672" s="116"/>
      <c r="G1672" s="136"/>
      <c r="H1672" s="116"/>
      <c r="I1672" s="116"/>
      <c r="J1672" s="116"/>
      <c r="K1672" s="116"/>
      <c r="L1672" s="116"/>
      <c r="M1672" s="116"/>
      <c r="N1672" s="116"/>
      <c r="O1672" s="116"/>
    </row>
    <row r="1673" spans="1:15" x14ac:dyDescent="0.35">
      <c r="A1673" s="116"/>
      <c r="B1673" s="116"/>
      <c r="C1673" s="116"/>
      <c r="D1673" s="116"/>
      <c r="E1673" s="116"/>
      <c r="F1673" s="116"/>
      <c r="G1673" s="136"/>
      <c r="H1673" s="116"/>
      <c r="I1673" s="116"/>
      <c r="J1673" s="116"/>
      <c r="K1673" s="116"/>
      <c r="L1673" s="116"/>
      <c r="M1673" s="116"/>
      <c r="N1673" s="116"/>
      <c r="O1673" s="116"/>
    </row>
    <row r="1674" spans="1:15" x14ac:dyDescent="0.35">
      <c r="A1674" s="116"/>
      <c r="B1674" s="116"/>
      <c r="C1674" s="116"/>
      <c r="D1674" s="116"/>
      <c r="E1674" s="116"/>
      <c r="F1674" s="116"/>
      <c r="G1674" s="136"/>
      <c r="H1674" s="116"/>
      <c r="I1674" s="116"/>
      <c r="J1674" s="116"/>
      <c r="K1674" s="116"/>
      <c r="L1674" s="116"/>
      <c r="M1674" s="116"/>
      <c r="N1674" s="116"/>
      <c r="O1674" s="116"/>
    </row>
    <row r="1675" spans="1:15" x14ac:dyDescent="0.35">
      <c r="A1675" s="116"/>
      <c r="B1675" s="116"/>
      <c r="C1675" s="116"/>
      <c r="D1675" s="116"/>
      <c r="E1675" s="116"/>
      <c r="F1675" s="116"/>
      <c r="G1675" s="136"/>
      <c r="H1675" s="116"/>
      <c r="I1675" s="116"/>
      <c r="J1675" s="116"/>
      <c r="K1675" s="116"/>
      <c r="L1675" s="116"/>
      <c r="M1675" s="116"/>
    </row>
    <row r="1676" spans="1:15" x14ac:dyDescent="0.35">
      <c r="A1676" s="116"/>
      <c r="B1676" s="116"/>
      <c r="C1676" s="116"/>
      <c r="D1676" s="116"/>
      <c r="E1676" s="116"/>
      <c r="F1676" s="116"/>
      <c r="G1676" s="136"/>
      <c r="H1676" s="116"/>
      <c r="I1676" s="116"/>
      <c r="J1676" s="116"/>
      <c r="K1676" s="116"/>
      <c r="L1676" s="116"/>
      <c r="M1676" s="116"/>
      <c r="N1676" s="116"/>
      <c r="O1676" s="116"/>
    </row>
    <row r="1677" spans="1:15" x14ac:dyDescent="0.35">
      <c r="A1677" s="116"/>
      <c r="B1677" s="116"/>
      <c r="C1677" s="116"/>
      <c r="D1677" s="116"/>
      <c r="E1677" s="116"/>
      <c r="F1677" s="116"/>
      <c r="G1677" s="136"/>
      <c r="H1677" s="116"/>
      <c r="I1677" s="116"/>
      <c r="J1677" s="116"/>
      <c r="K1677" s="116"/>
      <c r="L1677" s="116"/>
      <c r="M1677" s="116"/>
    </row>
    <row r="1678" spans="1:15" x14ac:dyDescent="0.35">
      <c r="A1678" s="116"/>
      <c r="B1678" s="116"/>
      <c r="C1678" s="116"/>
      <c r="D1678" s="116"/>
      <c r="E1678" s="116"/>
      <c r="F1678" s="116"/>
      <c r="G1678" s="136"/>
      <c r="H1678" s="116"/>
      <c r="I1678" s="116"/>
      <c r="J1678" s="116"/>
      <c r="K1678" s="116"/>
      <c r="L1678" s="116"/>
      <c r="M1678" s="116"/>
    </row>
    <row r="1679" spans="1:15" x14ac:dyDescent="0.35">
      <c r="A1679" s="116"/>
      <c r="B1679" s="116"/>
      <c r="C1679" s="116"/>
      <c r="D1679" s="116"/>
      <c r="E1679" s="116"/>
      <c r="F1679" s="116"/>
      <c r="G1679" s="136"/>
      <c r="H1679" s="116"/>
      <c r="I1679" s="116"/>
      <c r="J1679" s="116"/>
      <c r="K1679" s="116"/>
      <c r="L1679" s="116"/>
      <c r="M1679" s="116"/>
      <c r="N1679" s="116"/>
      <c r="O1679" s="116"/>
    </row>
    <row r="1680" spans="1:15" x14ac:dyDescent="0.35">
      <c r="A1680" s="116"/>
      <c r="B1680" s="116"/>
      <c r="C1680" s="116"/>
      <c r="D1680" s="116"/>
      <c r="E1680" s="116"/>
      <c r="F1680" s="116"/>
      <c r="G1680" s="136"/>
      <c r="H1680" s="116"/>
      <c r="I1680" s="116"/>
      <c r="J1680" s="116"/>
      <c r="K1680" s="116"/>
      <c r="L1680" s="116"/>
      <c r="M1680" s="116"/>
    </row>
    <row r="1681" spans="1:15" x14ac:dyDescent="0.35">
      <c r="A1681" s="116"/>
      <c r="B1681" s="116"/>
      <c r="C1681" s="116"/>
      <c r="D1681" s="116"/>
      <c r="E1681" s="116"/>
      <c r="F1681" s="116"/>
      <c r="G1681" s="136"/>
      <c r="H1681" s="116"/>
      <c r="I1681" s="116"/>
      <c r="J1681" s="116"/>
      <c r="K1681" s="116"/>
      <c r="L1681" s="116"/>
      <c r="M1681" s="116"/>
      <c r="N1681" s="116"/>
      <c r="O1681" s="116"/>
    </row>
    <row r="1682" spans="1:15" x14ac:dyDescent="0.35">
      <c r="A1682" s="116"/>
      <c r="B1682" s="116"/>
      <c r="C1682" s="116"/>
      <c r="D1682" s="116"/>
      <c r="E1682" s="116"/>
      <c r="F1682" s="116"/>
      <c r="G1682" s="136"/>
      <c r="H1682" s="116"/>
      <c r="I1682" s="116"/>
      <c r="J1682" s="116"/>
      <c r="K1682" s="116"/>
      <c r="L1682" s="116"/>
      <c r="M1682" s="116"/>
      <c r="N1682" s="116"/>
      <c r="O1682" s="116"/>
    </row>
    <row r="1683" spans="1:15" x14ac:dyDescent="0.35">
      <c r="A1683" s="116"/>
      <c r="B1683" s="116"/>
      <c r="C1683" s="116"/>
      <c r="D1683" s="116"/>
      <c r="E1683" s="116"/>
      <c r="F1683" s="116"/>
      <c r="G1683" s="136"/>
      <c r="H1683" s="116"/>
      <c r="I1683" s="116"/>
      <c r="J1683" s="116"/>
      <c r="K1683" s="116"/>
      <c r="L1683" s="116"/>
      <c r="M1683" s="116"/>
      <c r="N1683" s="116"/>
      <c r="O1683" s="116"/>
    </row>
    <row r="1684" spans="1:15" x14ac:dyDescent="0.35">
      <c r="A1684" s="116"/>
      <c r="B1684" s="116"/>
      <c r="C1684" s="116"/>
      <c r="D1684" s="116"/>
      <c r="E1684" s="116"/>
      <c r="F1684" s="116"/>
      <c r="G1684" s="136"/>
      <c r="H1684" s="116"/>
      <c r="I1684" s="116"/>
      <c r="J1684" s="116"/>
      <c r="K1684" s="116"/>
      <c r="L1684" s="116"/>
      <c r="M1684" s="116"/>
      <c r="N1684" s="31"/>
      <c r="O1684" s="31"/>
    </row>
    <row r="1685" spans="1:15" x14ac:dyDescent="0.35">
      <c r="A1685" s="116"/>
      <c r="B1685" s="116"/>
      <c r="C1685" s="116"/>
      <c r="D1685" s="116"/>
      <c r="E1685" s="116"/>
      <c r="F1685" s="116"/>
      <c r="G1685" s="136"/>
      <c r="H1685" s="116"/>
      <c r="I1685" s="116"/>
      <c r="J1685" s="116"/>
      <c r="K1685" s="116"/>
      <c r="L1685" s="116"/>
      <c r="M1685" s="116"/>
      <c r="N1685" s="116"/>
      <c r="O1685" s="116"/>
    </row>
    <row r="1686" spans="1:15" x14ac:dyDescent="0.35">
      <c r="A1686" s="116"/>
      <c r="B1686" s="116"/>
      <c r="C1686" s="116"/>
      <c r="D1686" s="116"/>
      <c r="E1686" s="116"/>
      <c r="F1686" s="116"/>
      <c r="G1686" s="136"/>
      <c r="H1686" s="116"/>
      <c r="I1686" s="116"/>
      <c r="J1686" s="116"/>
      <c r="K1686" s="116"/>
      <c r="L1686" s="116"/>
      <c r="M1686" s="116"/>
      <c r="N1686" s="116"/>
      <c r="O1686" s="116"/>
    </row>
    <row r="1687" spans="1:15" x14ac:dyDescent="0.35">
      <c r="A1687" s="116"/>
      <c r="B1687" s="116"/>
      <c r="C1687" s="116"/>
      <c r="D1687" s="116"/>
      <c r="E1687" s="116"/>
      <c r="F1687" s="116"/>
      <c r="G1687" s="136"/>
      <c r="H1687" s="116"/>
      <c r="I1687" s="116"/>
      <c r="J1687" s="116"/>
      <c r="K1687" s="116"/>
      <c r="L1687" s="116"/>
      <c r="M1687" s="116"/>
      <c r="N1687" s="116"/>
      <c r="O1687" s="116"/>
    </row>
    <row r="1688" spans="1:15" x14ac:dyDescent="0.35">
      <c r="A1688" s="116"/>
      <c r="B1688" s="116"/>
      <c r="C1688" s="116"/>
      <c r="D1688" s="116"/>
      <c r="E1688" s="116"/>
      <c r="F1688" s="116"/>
      <c r="G1688" s="136"/>
      <c r="H1688" s="116"/>
      <c r="I1688" s="116"/>
      <c r="J1688" s="116"/>
      <c r="K1688" s="116"/>
      <c r="L1688" s="116"/>
      <c r="M1688" s="116"/>
      <c r="N1688" s="116"/>
      <c r="O1688" s="116"/>
    </row>
    <row r="1689" spans="1:15" x14ac:dyDescent="0.35">
      <c r="A1689" s="116"/>
      <c r="B1689" s="116"/>
      <c r="C1689" s="116"/>
      <c r="D1689" s="116"/>
      <c r="E1689" s="116"/>
      <c r="F1689" s="116"/>
      <c r="G1689" s="136"/>
      <c r="H1689" s="116"/>
      <c r="I1689" s="116"/>
      <c r="J1689" s="116"/>
      <c r="K1689" s="116"/>
      <c r="L1689" s="116"/>
      <c r="M1689" s="116"/>
      <c r="N1689" s="116"/>
      <c r="O1689" s="116"/>
    </row>
    <row r="1690" spans="1:15" x14ac:dyDescent="0.35">
      <c r="A1690" s="116"/>
      <c r="B1690" s="116"/>
      <c r="C1690" s="116"/>
      <c r="D1690" s="116"/>
      <c r="E1690" s="116"/>
      <c r="F1690" s="116"/>
      <c r="G1690" s="136"/>
      <c r="H1690" s="116"/>
      <c r="I1690" s="116"/>
      <c r="J1690" s="116"/>
      <c r="K1690" s="116"/>
      <c r="L1690" s="116"/>
      <c r="M1690" s="116"/>
      <c r="N1690" s="116"/>
      <c r="O1690" s="116"/>
    </row>
    <row r="1691" spans="1:15" x14ac:dyDescent="0.35">
      <c r="A1691" s="116"/>
      <c r="B1691" s="116"/>
      <c r="C1691" s="116"/>
      <c r="D1691" s="116"/>
      <c r="E1691" s="116"/>
      <c r="F1691" s="116"/>
      <c r="G1691" s="136"/>
      <c r="H1691" s="116"/>
      <c r="I1691" s="116"/>
      <c r="J1691" s="116"/>
      <c r="K1691" s="116"/>
      <c r="L1691" s="116"/>
      <c r="M1691" s="116"/>
      <c r="N1691" s="116"/>
      <c r="O1691" s="116"/>
    </row>
    <row r="1692" spans="1:15" x14ac:dyDescent="0.35">
      <c r="A1692" s="116"/>
      <c r="B1692" s="116"/>
      <c r="C1692" s="116"/>
      <c r="D1692" s="116"/>
      <c r="E1692" s="116"/>
      <c r="F1692" s="116"/>
      <c r="G1692" s="136"/>
      <c r="H1692" s="116"/>
      <c r="I1692" s="116"/>
      <c r="J1692" s="116"/>
      <c r="K1692" s="116"/>
      <c r="L1692" s="116"/>
      <c r="M1692" s="116"/>
      <c r="N1692" s="116"/>
      <c r="O1692" s="116"/>
    </row>
    <row r="1693" spans="1:15" x14ac:dyDescent="0.35">
      <c r="A1693" s="116"/>
      <c r="B1693" s="116"/>
      <c r="C1693" s="116"/>
      <c r="D1693" s="116"/>
      <c r="E1693" s="116"/>
      <c r="F1693" s="116"/>
      <c r="G1693" s="136"/>
      <c r="H1693" s="116"/>
      <c r="I1693" s="116"/>
      <c r="J1693" s="116"/>
      <c r="K1693" s="116"/>
      <c r="L1693" s="116"/>
      <c r="M1693" s="116"/>
      <c r="N1693" s="116"/>
      <c r="O1693" s="116"/>
    </row>
    <row r="1694" spans="1:15" x14ac:dyDescent="0.35">
      <c r="A1694" s="116"/>
      <c r="B1694" s="116"/>
      <c r="C1694" s="116"/>
      <c r="D1694" s="116"/>
      <c r="E1694" s="116"/>
      <c r="F1694" s="116"/>
      <c r="G1694" s="136"/>
      <c r="H1694" s="116"/>
      <c r="I1694" s="116"/>
      <c r="J1694" s="116"/>
      <c r="K1694" s="116"/>
      <c r="L1694" s="116"/>
      <c r="M1694" s="116"/>
      <c r="N1694" s="116"/>
      <c r="O1694" s="116"/>
    </row>
    <row r="1695" spans="1:15" x14ac:dyDescent="0.35">
      <c r="A1695" s="116"/>
      <c r="B1695" s="116"/>
      <c r="C1695" s="116"/>
      <c r="D1695" s="116"/>
      <c r="E1695" s="116"/>
      <c r="F1695" s="116"/>
      <c r="G1695" s="136"/>
      <c r="H1695" s="116"/>
      <c r="I1695" s="116"/>
      <c r="J1695" s="116"/>
      <c r="K1695" s="116"/>
      <c r="L1695" s="116"/>
      <c r="M1695" s="116"/>
      <c r="N1695" s="116"/>
      <c r="O1695" s="116"/>
    </row>
    <row r="1696" spans="1:15" x14ac:dyDescent="0.35">
      <c r="A1696" s="116"/>
      <c r="B1696" s="116"/>
      <c r="C1696" s="116"/>
      <c r="D1696" s="116"/>
      <c r="E1696" s="116"/>
      <c r="F1696" s="116"/>
      <c r="G1696" s="136"/>
      <c r="H1696" s="116"/>
      <c r="I1696" s="116"/>
      <c r="J1696" s="116"/>
      <c r="K1696" s="116"/>
      <c r="L1696" s="116"/>
      <c r="M1696" s="116"/>
      <c r="N1696" s="116"/>
      <c r="O1696" s="116"/>
    </row>
    <row r="1697" spans="1:15" x14ac:dyDescent="0.35">
      <c r="A1697" s="116"/>
      <c r="B1697" s="116"/>
      <c r="C1697" s="116"/>
      <c r="D1697" s="116"/>
      <c r="E1697" s="116"/>
      <c r="F1697" s="116"/>
      <c r="G1697" s="136"/>
      <c r="H1697" s="116"/>
      <c r="I1697" s="116"/>
      <c r="J1697" s="116"/>
      <c r="K1697" s="116"/>
      <c r="L1697" s="116"/>
      <c r="M1697" s="116"/>
      <c r="N1697" s="116"/>
      <c r="O1697" s="116"/>
    </row>
    <row r="1698" spans="1:15" x14ac:dyDescent="0.35">
      <c r="A1698" s="116"/>
      <c r="B1698" s="116"/>
      <c r="C1698" s="116"/>
      <c r="D1698" s="116"/>
      <c r="E1698" s="116"/>
      <c r="F1698" s="116"/>
      <c r="G1698" s="136"/>
      <c r="H1698" s="116"/>
      <c r="I1698" s="116"/>
      <c r="J1698" s="116"/>
      <c r="K1698" s="116"/>
      <c r="L1698" s="116"/>
      <c r="M1698" s="116"/>
      <c r="N1698" s="116"/>
      <c r="O1698" s="116"/>
    </row>
    <row r="1699" spans="1:15" x14ac:dyDescent="0.35">
      <c r="A1699" s="116"/>
      <c r="B1699" s="116"/>
      <c r="C1699" s="116"/>
      <c r="D1699" s="116"/>
      <c r="E1699" s="116"/>
      <c r="F1699" s="116"/>
      <c r="G1699" s="136"/>
      <c r="H1699" s="116"/>
      <c r="I1699" s="116"/>
      <c r="J1699" s="116"/>
      <c r="K1699" s="116"/>
      <c r="L1699" s="116"/>
      <c r="M1699" s="116"/>
      <c r="N1699" s="116"/>
      <c r="O1699" s="116"/>
    </row>
    <row r="1700" spans="1:15" x14ac:dyDescent="0.35">
      <c r="A1700" s="116"/>
      <c r="B1700" s="116"/>
      <c r="C1700" s="116"/>
      <c r="D1700" s="116"/>
      <c r="E1700" s="116"/>
      <c r="F1700" s="116"/>
      <c r="G1700" s="136"/>
      <c r="H1700" s="116"/>
      <c r="I1700" s="116"/>
      <c r="J1700" s="116"/>
      <c r="K1700" s="116"/>
      <c r="L1700" s="116"/>
      <c r="M1700" s="116"/>
      <c r="N1700" s="116"/>
      <c r="O1700" s="116"/>
    </row>
    <row r="1701" spans="1:15" x14ac:dyDescent="0.35">
      <c r="A1701" s="116"/>
      <c r="B1701" s="116"/>
      <c r="C1701" s="116"/>
      <c r="D1701" s="116"/>
      <c r="E1701" s="116"/>
      <c r="F1701" s="116"/>
      <c r="G1701" s="136"/>
      <c r="H1701" s="116"/>
      <c r="I1701" s="116"/>
      <c r="J1701" s="116"/>
      <c r="K1701" s="116"/>
      <c r="L1701" s="116"/>
      <c r="M1701" s="116"/>
      <c r="N1701" s="116"/>
      <c r="O1701" s="116"/>
    </row>
    <row r="1702" spans="1:15" x14ac:dyDescent="0.35">
      <c r="A1702" s="116"/>
      <c r="B1702" s="116"/>
      <c r="C1702" s="116"/>
      <c r="D1702" s="116"/>
      <c r="E1702" s="116"/>
      <c r="F1702" s="116"/>
      <c r="G1702" s="136"/>
      <c r="H1702" s="116"/>
      <c r="I1702" s="116"/>
      <c r="J1702" s="116"/>
      <c r="K1702" s="116"/>
      <c r="L1702" s="116"/>
      <c r="M1702" s="116"/>
      <c r="N1702" s="116"/>
      <c r="O1702" s="116"/>
    </row>
    <row r="1703" spans="1:15" x14ac:dyDescent="0.35">
      <c r="A1703" s="116"/>
      <c r="B1703" s="116"/>
      <c r="C1703" s="116"/>
      <c r="D1703" s="116"/>
      <c r="E1703" s="116"/>
      <c r="F1703" s="116"/>
      <c r="G1703" s="136"/>
      <c r="H1703" s="116"/>
      <c r="I1703" s="116"/>
      <c r="J1703" s="116"/>
      <c r="K1703" s="116"/>
      <c r="L1703" s="116"/>
      <c r="M1703" s="116"/>
      <c r="N1703" s="116"/>
      <c r="O1703" s="116"/>
    </row>
    <row r="1704" spans="1:15" x14ac:dyDescent="0.35">
      <c r="A1704" s="116"/>
      <c r="B1704" s="116"/>
      <c r="C1704" s="116"/>
      <c r="D1704" s="116"/>
      <c r="E1704" s="116"/>
      <c r="F1704" s="116"/>
      <c r="G1704" s="136"/>
      <c r="H1704" s="116"/>
      <c r="I1704" s="116"/>
      <c r="J1704" s="116"/>
      <c r="K1704" s="116"/>
      <c r="L1704" s="116"/>
      <c r="M1704" s="116"/>
      <c r="N1704" s="116"/>
      <c r="O1704" s="116"/>
    </row>
    <row r="1705" spans="1:15" x14ac:dyDescent="0.35">
      <c r="A1705" s="116"/>
      <c r="B1705" s="116"/>
      <c r="C1705" s="116"/>
      <c r="D1705" s="116"/>
      <c r="E1705" s="116"/>
      <c r="F1705" s="116"/>
      <c r="G1705" s="136"/>
      <c r="H1705" s="116"/>
      <c r="I1705" s="116"/>
      <c r="J1705" s="116"/>
      <c r="K1705" s="116"/>
      <c r="L1705" s="116"/>
      <c r="M1705" s="116"/>
      <c r="N1705" s="116"/>
      <c r="O1705" s="116"/>
    </row>
    <row r="1706" spans="1:15" x14ac:dyDescent="0.35">
      <c r="A1706" s="116"/>
      <c r="B1706" s="116"/>
      <c r="C1706" s="116"/>
      <c r="D1706" s="116"/>
      <c r="E1706" s="116"/>
      <c r="F1706" s="116"/>
      <c r="G1706" s="136"/>
      <c r="H1706" s="116"/>
      <c r="I1706" s="116"/>
      <c r="J1706" s="116"/>
      <c r="K1706" s="116"/>
      <c r="L1706" s="116"/>
      <c r="M1706" s="116"/>
      <c r="N1706" s="116"/>
      <c r="O1706" s="116"/>
    </row>
    <row r="1707" spans="1:15" x14ac:dyDescent="0.35">
      <c r="A1707" s="116"/>
      <c r="B1707" s="116"/>
      <c r="C1707" s="116"/>
      <c r="D1707" s="116"/>
      <c r="E1707" s="116"/>
      <c r="F1707" s="116"/>
      <c r="G1707" s="136"/>
      <c r="H1707" s="116"/>
      <c r="I1707" s="116"/>
      <c r="J1707" s="116"/>
      <c r="K1707" s="116"/>
      <c r="L1707" s="116"/>
      <c r="M1707" s="116"/>
      <c r="N1707" s="116"/>
      <c r="O1707" s="116"/>
    </row>
    <row r="1708" spans="1:15" x14ac:dyDescent="0.35">
      <c r="A1708" s="116"/>
      <c r="B1708" s="116"/>
      <c r="C1708" s="116"/>
      <c r="D1708" s="116"/>
      <c r="E1708" s="116"/>
      <c r="F1708" s="116"/>
      <c r="G1708" s="136"/>
      <c r="H1708" s="116"/>
      <c r="I1708" s="116"/>
      <c r="J1708" s="116"/>
      <c r="K1708" s="116"/>
      <c r="L1708" s="116"/>
      <c r="M1708" s="116"/>
      <c r="N1708" s="116"/>
      <c r="O1708" s="116"/>
    </row>
    <row r="1709" spans="1:15" x14ac:dyDescent="0.35">
      <c r="A1709" s="116"/>
      <c r="B1709" s="116"/>
      <c r="C1709" s="116"/>
      <c r="D1709" s="116"/>
      <c r="E1709" s="116"/>
      <c r="F1709" s="116"/>
      <c r="G1709" s="136"/>
      <c r="H1709" s="116"/>
      <c r="I1709" s="116"/>
      <c r="J1709" s="116"/>
      <c r="K1709" s="116"/>
      <c r="L1709" s="116"/>
      <c r="M1709" s="116"/>
      <c r="N1709" s="31"/>
      <c r="O1709" s="31"/>
    </row>
    <row r="1710" spans="1:15" x14ac:dyDescent="0.35">
      <c r="A1710" s="116"/>
      <c r="B1710" s="116"/>
      <c r="C1710" s="116"/>
      <c r="D1710" s="116"/>
      <c r="E1710" s="116"/>
      <c r="F1710" s="116"/>
      <c r="G1710" s="136"/>
      <c r="H1710" s="116"/>
      <c r="I1710" s="116"/>
      <c r="J1710" s="116"/>
      <c r="K1710" s="116"/>
      <c r="L1710" s="116"/>
      <c r="M1710" s="116"/>
      <c r="N1710" s="31"/>
      <c r="O1710" s="31"/>
    </row>
    <row r="1711" spans="1:15" x14ac:dyDescent="0.35">
      <c r="A1711" s="116"/>
      <c r="B1711" s="116"/>
      <c r="C1711" s="116"/>
      <c r="D1711" s="116"/>
      <c r="E1711" s="116"/>
      <c r="F1711" s="116"/>
      <c r="G1711" s="136"/>
      <c r="H1711" s="116"/>
      <c r="I1711" s="116"/>
      <c r="J1711" s="116"/>
      <c r="K1711" s="116"/>
      <c r="L1711" s="116"/>
      <c r="M1711" s="116"/>
    </row>
    <row r="1712" spans="1:15" x14ac:dyDescent="0.35">
      <c r="A1712" s="116"/>
      <c r="B1712" s="116"/>
      <c r="C1712" s="116"/>
      <c r="D1712" s="116"/>
      <c r="E1712" s="116"/>
      <c r="F1712" s="116"/>
      <c r="G1712" s="136"/>
      <c r="H1712" s="116"/>
      <c r="I1712" s="116"/>
      <c r="J1712" s="116"/>
      <c r="K1712" s="116"/>
      <c r="L1712" s="116"/>
      <c r="M1712" s="116"/>
    </row>
    <row r="1713" spans="1:15" x14ac:dyDescent="0.35">
      <c r="A1713" s="116"/>
      <c r="B1713" s="116"/>
      <c r="C1713" s="116"/>
      <c r="D1713" s="116"/>
      <c r="E1713" s="116"/>
      <c r="F1713" s="116"/>
      <c r="G1713" s="136"/>
      <c r="H1713" s="116"/>
      <c r="I1713" s="116"/>
      <c r="J1713" s="116"/>
      <c r="K1713" s="116"/>
      <c r="L1713" s="116"/>
      <c r="M1713" s="116"/>
    </row>
    <row r="1714" spans="1:15" x14ac:dyDescent="0.35">
      <c r="A1714" s="116"/>
      <c r="B1714" s="116"/>
      <c r="C1714" s="116"/>
      <c r="D1714" s="116"/>
      <c r="E1714" s="116"/>
      <c r="F1714" s="116"/>
      <c r="G1714" s="136"/>
      <c r="H1714" s="116"/>
      <c r="I1714" s="116"/>
      <c r="J1714" s="116"/>
      <c r="K1714" s="116"/>
      <c r="L1714" s="116"/>
      <c r="M1714" s="116"/>
    </row>
    <row r="1715" spans="1:15" x14ac:dyDescent="0.35">
      <c r="A1715" s="116"/>
      <c r="B1715" s="116"/>
      <c r="C1715" s="116"/>
      <c r="D1715" s="116"/>
      <c r="E1715" s="116"/>
      <c r="F1715" s="116"/>
      <c r="G1715" s="136"/>
      <c r="H1715" s="116"/>
      <c r="I1715" s="116"/>
      <c r="J1715" s="116"/>
      <c r="K1715" s="116"/>
      <c r="L1715" s="116"/>
      <c r="M1715" s="116"/>
    </row>
    <row r="1716" spans="1:15" x14ac:dyDescent="0.35">
      <c r="A1716" s="116"/>
      <c r="B1716" s="116"/>
      <c r="C1716" s="116"/>
      <c r="D1716" s="116"/>
      <c r="E1716" s="116"/>
      <c r="F1716" s="116"/>
      <c r="G1716" s="136"/>
      <c r="H1716" s="116"/>
      <c r="I1716" s="116"/>
      <c r="J1716" s="116"/>
      <c r="K1716" s="116"/>
      <c r="L1716" s="116"/>
      <c r="M1716" s="116"/>
      <c r="N1716" s="116"/>
      <c r="O1716" s="116"/>
    </row>
    <row r="1717" spans="1:15" x14ac:dyDescent="0.35">
      <c r="A1717" s="116"/>
      <c r="B1717" s="116"/>
      <c r="C1717" s="116"/>
      <c r="D1717" s="116"/>
      <c r="E1717" s="116"/>
      <c r="F1717" s="116"/>
      <c r="G1717" s="136"/>
      <c r="H1717" s="116"/>
      <c r="I1717" s="116"/>
      <c r="J1717" s="116"/>
      <c r="K1717" s="116"/>
      <c r="L1717" s="116"/>
      <c r="M1717" s="116"/>
    </row>
    <row r="1718" spans="1:15" x14ac:dyDescent="0.35">
      <c r="A1718" s="116"/>
      <c r="B1718" s="116"/>
      <c r="C1718" s="116"/>
      <c r="D1718" s="116"/>
      <c r="E1718" s="116"/>
      <c r="F1718" s="116"/>
      <c r="G1718" s="136"/>
      <c r="H1718" s="116"/>
      <c r="I1718" s="116"/>
      <c r="J1718" s="116"/>
      <c r="K1718" s="116"/>
      <c r="L1718" s="116"/>
      <c r="M1718" s="116"/>
      <c r="N1718" s="116"/>
      <c r="O1718" s="116"/>
    </row>
    <row r="1719" spans="1:15" x14ac:dyDescent="0.35">
      <c r="A1719" s="116"/>
      <c r="B1719" s="116"/>
      <c r="C1719" s="116"/>
      <c r="D1719" s="116"/>
      <c r="E1719" s="116"/>
      <c r="F1719" s="116"/>
      <c r="G1719" s="136"/>
      <c r="H1719" s="116"/>
      <c r="I1719" s="116"/>
      <c r="J1719" s="116"/>
      <c r="K1719" s="116"/>
      <c r="L1719" s="116"/>
      <c r="M1719" s="116"/>
      <c r="N1719" s="116"/>
      <c r="O1719" s="116"/>
    </row>
    <row r="1720" spans="1:15" x14ac:dyDescent="0.35">
      <c r="A1720" s="116"/>
      <c r="B1720" s="116"/>
      <c r="C1720" s="116"/>
      <c r="D1720" s="116"/>
      <c r="E1720" s="116"/>
      <c r="F1720" s="116"/>
      <c r="G1720" s="136"/>
      <c r="H1720" s="116"/>
      <c r="I1720" s="116"/>
      <c r="J1720" s="116"/>
      <c r="K1720" s="116"/>
      <c r="L1720" s="116"/>
      <c r="M1720" s="116"/>
      <c r="N1720" s="116"/>
      <c r="O1720" s="116"/>
    </row>
    <row r="1721" spans="1:15" x14ac:dyDescent="0.35">
      <c r="A1721" s="116"/>
      <c r="B1721" s="116"/>
      <c r="C1721" s="116"/>
      <c r="D1721" s="116"/>
      <c r="E1721" s="116"/>
      <c r="F1721" s="116"/>
      <c r="G1721" s="136"/>
      <c r="H1721" s="116"/>
      <c r="I1721" s="116"/>
      <c r="J1721" s="116"/>
      <c r="K1721" s="116"/>
      <c r="L1721" s="116"/>
      <c r="M1721" s="116"/>
      <c r="N1721" s="116"/>
      <c r="O1721" s="116"/>
    </row>
    <row r="1722" spans="1:15" x14ac:dyDescent="0.35">
      <c r="A1722" s="116"/>
      <c r="B1722" s="116"/>
      <c r="C1722" s="116"/>
      <c r="D1722" s="116"/>
      <c r="E1722" s="116"/>
      <c r="F1722" s="116"/>
      <c r="G1722" s="136"/>
      <c r="H1722" s="116"/>
      <c r="I1722" s="116"/>
      <c r="J1722" s="116"/>
      <c r="K1722" s="116"/>
      <c r="L1722" s="116"/>
      <c r="M1722" s="116"/>
      <c r="N1722" s="116"/>
      <c r="O1722" s="116"/>
    </row>
    <row r="1723" spans="1:15" x14ac:dyDescent="0.35">
      <c r="A1723" s="116"/>
      <c r="B1723" s="116"/>
      <c r="C1723" s="116"/>
      <c r="D1723" s="116"/>
      <c r="E1723" s="116"/>
      <c r="F1723" s="116"/>
      <c r="G1723" s="136"/>
      <c r="H1723" s="116"/>
      <c r="I1723" s="116"/>
      <c r="J1723" s="116"/>
      <c r="K1723" s="116"/>
      <c r="L1723" s="116"/>
      <c r="M1723" s="116"/>
      <c r="N1723" s="116"/>
      <c r="O1723" s="116"/>
    </row>
    <row r="1724" spans="1:15" x14ac:dyDescent="0.35">
      <c r="A1724" s="116"/>
      <c r="B1724" s="116"/>
      <c r="C1724" s="116"/>
      <c r="D1724" s="116"/>
      <c r="E1724" s="116"/>
      <c r="F1724" s="116"/>
      <c r="G1724" s="136"/>
      <c r="H1724" s="116"/>
      <c r="I1724" s="116"/>
      <c r="J1724" s="116"/>
      <c r="K1724" s="116"/>
      <c r="L1724" s="116"/>
      <c r="M1724" s="116"/>
      <c r="N1724" s="116"/>
      <c r="O1724" s="116"/>
    </row>
    <row r="1725" spans="1:15" x14ac:dyDescent="0.35">
      <c r="A1725" s="116"/>
      <c r="B1725" s="116"/>
      <c r="C1725" s="116"/>
      <c r="D1725" s="116"/>
      <c r="E1725" s="116"/>
      <c r="F1725" s="116"/>
      <c r="G1725" s="136"/>
      <c r="H1725" s="116"/>
      <c r="I1725" s="116"/>
      <c r="J1725" s="116"/>
      <c r="K1725" s="116"/>
      <c r="L1725" s="116"/>
      <c r="M1725" s="116"/>
      <c r="N1725" s="116"/>
      <c r="O1725" s="116"/>
    </row>
    <row r="1726" spans="1:15" x14ac:dyDescent="0.35">
      <c r="A1726" s="116"/>
      <c r="B1726" s="116"/>
      <c r="C1726" s="116"/>
      <c r="D1726" s="116"/>
      <c r="E1726" s="116"/>
      <c r="F1726" s="116"/>
      <c r="G1726" s="136"/>
      <c r="H1726" s="116"/>
      <c r="I1726" s="116"/>
      <c r="J1726" s="116"/>
      <c r="K1726" s="116"/>
      <c r="L1726" s="116"/>
      <c r="M1726" s="116"/>
      <c r="N1726" s="116"/>
      <c r="O1726" s="116"/>
    </row>
    <row r="1727" spans="1:15" x14ac:dyDescent="0.35">
      <c r="A1727" s="116"/>
      <c r="B1727" s="116"/>
      <c r="C1727" s="116"/>
      <c r="D1727" s="116"/>
      <c r="E1727" s="116"/>
      <c r="F1727" s="116"/>
      <c r="G1727" s="136"/>
      <c r="H1727" s="116"/>
      <c r="I1727" s="116"/>
      <c r="J1727" s="116"/>
      <c r="K1727" s="116"/>
      <c r="L1727" s="116"/>
      <c r="M1727" s="116"/>
      <c r="N1727" s="116"/>
      <c r="O1727" s="116"/>
    </row>
    <row r="1728" spans="1:15" x14ac:dyDescent="0.35">
      <c r="A1728" s="116"/>
      <c r="B1728" s="116"/>
      <c r="C1728" s="116"/>
      <c r="D1728" s="116"/>
      <c r="E1728" s="116"/>
      <c r="F1728" s="116"/>
      <c r="G1728" s="136"/>
      <c r="H1728" s="116"/>
      <c r="I1728" s="116"/>
      <c r="J1728" s="116"/>
      <c r="K1728" s="116"/>
      <c r="L1728" s="116"/>
      <c r="M1728" s="116"/>
      <c r="N1728" s="116"/>
      <c r="O1728" s="116"/>
    </row>
    <row r="1729" spans="1:15" x14ac:dyDescent="0.35">
      <c r="A1729" s="116"/>
      <c r="B1729" s="116"/>
      <c r="C1729" s="116"/>
      <c r="D1729" s="116"/>
      <c r="E1729" s="116"/>
      <c r="F1729" s="116"/>
      <c r="G1729" s="136"/>
      <c r="H1729" s="116"/>
      <c r="I1729" s="116"/>
      <c r="J1729" s="116"/>
      <c r="K1729" s="116"/>
      <c r="L1729" s="116"/>
      <c r="M1729" s="116"/>
      <c r="N1729" s="116"/>
      <c r="O1729" s="116"/>
    </row>
    <row r="1730" spans="1:15" x14ac:dyDescent="0.35">
      <c r="A1730" s="116"/>
      <c r="B1730" s="116"/>
      <c r="C1730" s="116"/>
      <c r="D1730" s="116"/>
      <c r="E1730" s="116"/>
      <c r="F1730" s="116"/>
      <c r="G1730" s="136"/>
      <c r="H1730" s="116"/>
      <c r="I1730" s="116"/>
      <c r="J1730" s="116"/>
      <c r="K1730" s="116"/>
      <c r="L1730" s="116"/>
      <c r="M1730" s="116"/>
      <c r="N1730" s="116"/>
      <c r="O1730" s="116"/>
    </row>
    <row r="1731" spans="1:15" x14ac:dyDescent="0.35">
      <c r="A1731" s="116"/>
      <c r="B1731" s="116"/>
      <c r="C1731" s="116"/>
      <c r="D1731" s="116"/>
      <c r="E1731" s="116"/>
      <c r="F1731" s="116"/>
      <c r="G1731" s="136"/>
      <c r="H1731" s="116"/>
      <c r="I1731" s="116"/>
      <c r="J1731" s="116"/>
      <c r="K1731" s="116"/>
      <c r="L1731" s="116"/>
      <c r="M1731" s="116"/>
      <c r="N1731" s="116"/>
      <c r="O1731" s="116"/>
    </row>
    <row r="1732" spans="1:15" x14ac:dyDescent="0.35">
      <c r="A1732" s="116"/>
      <c r="B1732" s="116"/>
      <c r="C1732" s="116"/>
      <c r="D1732" s="116"/>
      <c r="E1732" s="116"/>
      <c r="F1732" s="116"/>
      <c r="G1732" s="136"/>
      <c r="H1732" s="116"/>
      <c r="I1732" s="116"/>
      <c r="J1732" s="116"/>
      <c r="K1732" s="116"/>
      <c r="L1732" s="116"/>
      <c r="M1732" s="116"/>
      <c r="N1732" s="116"/>
      <c r="O1732" s="116"/>
    </row>
    <row r="1733" spans="1:15" x14ac:dyDescent="0.35">
      <c r="A1733" s="116"/>
      <c r="B1733" s="116"/>
      <c r="C1733" s="116"/>
      <c r="D1733" s="116"/>
      <c r="E1733" s="116"/>
      <c r="F1733" s="116"/>
      <c r="G1733" s="136"/>
      <c r="H1733" s="116"/>
      <c r="I1733" s="116"/>
      <c r="J1733" s="116"/>
      <c r="K1733" s="116"/>
      <c r="L1733" s="116"/>
      <c r="M1733" s="116"/>
      <c r="N1733" s="116"/>
      <c r="O1733" s="116"/>
    </row>
    <row r="1734" spans="1:15" x14ac:dyDescent="0.35">
      <c r="A1734" s="116"/>
      <c r="B1734" s="116"/>
      <c r="C1734" s="116"/>
      <c r="D1734" s="116"/>
      <c r="E1734" s="116"/>
      <c r="F1734" s="116"/>
      <c r="G1734" s="136"/>
      <c r="H1734" s="116"/>
      <c r="I1734" s="116"/>
      <c r="J1734" s="116"/>
      <c r="K1734" s="116"/>
      <c r="L1734" s="116"/>
      <c r="M1734" s="116"/>
      <c r="N1734" s="116"/>
      <c r="O1734" s="116"/>
    </row>
    <row r="1735" spans="1:15" x14ac:dyDescent="0.35">
      <c r="A1735" s="116"/>
      <c r="B1735" s="116"/>
      <c r="C1735" s="116"/>
      <c r="D1735" s="116"/>
      <c r="E1735" s="116"/>
      <c r="F1735" s="116"/>
      <c r="G1735" s="136"/>
      <c r="H1735" s="116"/>
      <c r="I1735" s="116"/>
      <c r="J1735" s="116"/>
      <c r="K1735" s="116"/>
      <c r="L1735" s="116"/>
      <c r="M1735" s="116"/>
      <c r="N1735" s="116"/>
      <c r="O1735" s="116"/>
    </row>
    <row r="1736" spans="1:15" x14ac:dyDescent="0.35">
      <c r="A1736" s="116"/>
      <c r="B1736" s="116"/>
      <c r="C1736" s="116"/>
      <c r="D1736" s="116"/>
      <c r="E1736" s="116"/>
      <c r="F1736" s="116"/>
      <c r="G1736" s="136"/>
      <c r="H1736" s="116"/>
      <c r="I1736" s="116"/>
      <c r="J1736" s="116"/>
      <c r="K1736" s="116"/>
      <c r="L1736" s="116"/>
      <c r="M1736" s="116"/>
      <c r="N1736" s="116"/>
      <c r="O1736" s="116"/>
    </row>
    <row r="1737" spans="1:15" x14ac:dyDescent="0.35">
      <c r="A1737" s="116"/>
      <c r="B1737" s="116"/>
      <c r="C1737" s="116"/>
      <c r="D1737" s="116"/>
      <c r="E1737" s="116"/>
      <c r="F1737" s="116"/>
      <c r="G1737" s="136"/>
      <c r="H1737" s="116"/>
      <c r="I1737" s="116"/>
      <c r="J1737" s="116"/>
      <c r="K1737" s="116"/>
      <c r="L1737" s="116"/>
      <c r="M1737" s="116"/>
      <c r="N1737" s="116"/>
      <c r="O1737" s="116"/>
    </row>
    <row r="1738" spans="1:15" x14ac:dyDescent="0.35">
      <c r="A1738" s="116"/>
      <c r="B1738" s="116"/>
      <c r="C1738" s="116"/>
      <c r="D1738" s="116"/>
      <c r="E1738" s="116"/>
      <c r="F1738" s="116"/>
      <c r="G1738" s="136"/>
      <c r="H1738" s="116"/>
      <c r="I1738" s="116"/>
      <c r="J1738" s="116"/>
      <c r="K1738" s="116"/>
      <c r="L1738" s="116"/>
      <c r="M1738" s="116"/>
      <c r="N1738" s="116"/>
      <c r="O1738" s="116"/>
    </row>
    <row r="1739" spans="1:15" x14ac:dyDescent="0.35">
      <c r="A1739" s="116"/>
      <c r="B1739" s="116"/>
      <c r="C1739" s="116"/>
      <c r="D1739" s="116"/>
      <c r="E1739" s="116"/>
      <c r="F1739" s="116"/>
      <c r="G1739" s="136"/>
      <c r="H1739" s="116"/>
      <c r="I1739" s="116"/>
      <c r="J1739" s="116"/>
      <c r="K1739" s="116"/>
      <c r="L1739" s="116"/>
      <c r="M1739" s="116"/>
      <c r="N1739" s="116"/>
      <c r="O1739" s="116"/>
    </row>
    <row r="1740" spans="1:15" x14ac:dyDescent="0.35">
      <c r="A1740" s="116"/>
      <c r="B1740" s="116"/>
      <c r="C1740" s="116"/>
      <c r="D1740" s="116"/>
      <c r="E1740" s="116"/>
      <c r="F1740" s="116"/>
      <c r="G1740" s="136"/>
      <c r="H1740" s="116"/>
      <c r="I1740" s="116"/>
      <c r="J1740" s="116"/>
      <c r="K1740" s="116"/>
      <c r="L1740" s="116"/>
      <c r="M1740" s="116"/>
      <c r="N1740" s="116"/>
      <c r="O1740" s="116"/>
    </row>
    <row r="1741" spans="1:15" x14ac:dyDescent="0.35">
      <c r="A1741" s="116"/>
      <c r="B1741" s="116"/>
      <c r="C1741" s="116"/>
      <c r="D1741" s="116"/>
      <c r="E1741" s="116"/>
      <c r="F1741" s="116"/>
      <c r="G1741" s="136"/>
      <c r="H1741" s="116"/>
      <c r="I1741" s="116"/>
      <c r="J1741" s="116"/>
      <c r="K1741" s="116"/>
      <c r="L1741" s="116"/>
      <c r="M1741" s="116"/>
      <c r="N1741" s="116"/>
      <c r="O1741" s="116"/>
    </row>
    <row r="1742" spans="1:15" x14ac:dyDescent="0.35">
      <c r="A1742" s="116"/>
      <c r="B1742" s="116"/>
      <c r="C1742" s="116"/>
      <c r="D1742" s="116"/>
      <c r="E1742" s="116"/>
      <c r="F1742" s="116"/>
      <c r="G1742" s="136"/>
      <c r="H1742" s="116"/>
      <c r="I1742" s="116"/>
      <c r="J1742" s="116"/>
      <c r="K1742" s="116"/>
      <c r="L1742" s="116"/>
      <c r="M1742" s="116"/>
      <c r="N1742" s="116"/>
      <c r="O1742" s="116"/>
    </row>
    <row r="1743" spans="1:15" x14ac:dyDescent="0.35">
      <c r="A1743" s="116"/>
      <c r="B1743" s="116"/>
      <c r="C1743" s="116"/>
      <c r="D1743" s="116"/>
      <c r="E1743" s="116"/>
      <c r="F1743" s="116"/>
      <c r="G1743" s="136"/>
      <c r="H1743" s="116"/>
      <c r="I1743" s="116"/>
      <c r="J1743" s="116"/>
      <c r="K1743" s="116"/>
      <c r="L1743" s="116"/>
      <c r="M1743" s="116"/>
      <c r="N1743" s="116"/>
      <c r="O1743" s="116"/>
    </row>
    <row r="1744" spans="1:15" x14ac:dyDescent="0.35">
      <c r="A1744" s="116"/>
      <c r="B1744" s="116"/>
      <c r="C1744" s="116"/>
      <c r="D1744" s="116"/>
      <c r="E1744" s="116"/>
      <c r="F1744" s="116"/>
      <c r="G1744" s="136"/>
      <c r="H1744" s="116"/>
      <c r="I1744" s="116"/>
      <c r="J1744" s="116"/>
      <c r="K1744" s="116"/>
      <c r="L1744" s="116"/>
      <c r="M1744" s="116"/>
      <c r="N1744" s="116"/>
      <c r="O1744" s="116"/>
    </row>
    <row r="1745" spans="1:15" x14ac:dyDescent="0.35">
      <c r="A1745" s="116"/>
      <c r="B1745" s="116"/>
      <c r="C1745" s="116"/>
      <c r="D1745" s="116"/>
      <c r="E1745" s="116"/>
      <c r="F1745" s="116"/>
      <c r="G1745" s="136"/>
      <c r="H1745" s="116"/>
      <c r="I1745" s="116"/>
      <c r="J1745" s="116"/>
      <c r="K1745" s="116"/>
      <c r="L1745" s="116"/>
      <c r="M1745" s="116"/>
      <c r="N1745" s="116"/>
      <c r="O1745" s="116"/>
    </row>
    <row r="1746" spans="1:15" x14ac:dyDescent="0.35">
      <c r="A1746" s="116"/>
      <c r="B1746" s="116"/>
      <c r="C1746" s="116"/>
      <c r="D1746" s="116"/>
      <c r="E1746" s="116"/>
      <c r="F1746" s="116"/>
      <c r="G1746" s="136"/>
      <c r="H1746" s="116"/>
      <c r="I1746" s="116"/>
      <c r="J1746" s="116"/>
      <c r="K1746" s="116"/>
      <c r="L1746" s="116"/>
      <c r="M1746" s="116"/>
      <c r="N1746" s="116"/>
      <c r="O1746" s="116"/>
    </row>
    <row r="1747" spans="1:15" x14ac:dyDescent="0.35">
      <c r="A1747" s="116"/>
      <c r="B1747" s="116"/>
      <c r="C1747" s="116"/>
      <c r="D1747" s="116"/>
      <c r="E1747" s="116"/>
      <c r="F1747" s="116"/>
      <c r="G1747" s="136"/>
      <c r="H1747" s="116"/>
      <c r="I1747" s="116"/>
      <c r="J1747" s="116"/>
      <c r="K1747" s="116"/>
      <c r="L1747" s="116"/>
      <c r="M1747" s="116"/>
      <c r="N1747" s="116"/>
      <c r="O1747" s="116"/>
    </row>
    <row r="1748" spans="1:15" x14ac:dyDescent="0.35">
      <c r="A1748" s="116"/>
      <c r="B1748" s="116"/>
      <c r="C1748" s="116"/>
      <c r="D1748" s="116"/>
      <c r="E1748" s="116"/>
      <c r="F1748" s="116"/>
      <c r="G1748" s="136"/>
      <c r="H1748" s="116"/>
      <c r="I1748" s="116"/>
      <c r="J1748" s="116"/>
      <c r="K1748" s="116"/>
      <c r="L1748" s="116"/>
      <c r="M1748" s="116"/>
      <c r="N1748" s="116"/>
      <c r="O1748" s="116"/>
    </row>
    <row r="1749" spans="1:15" x14ac:dyDescent="0.35">
      <c r="A1749" s="116"/>
      <c r="B1749" s="116"/>
      <c r="C1749" s="116"/>
      <c r="D1749" s="116"/>
      <c r="E1749" s="116"/>
      <c r="F1749" s="116"/>
      <c r="G1749" s="136"/>
      <c r="H1749" s="116"/>
      <c r="I1749" s="116"/>
      <c r="J1749" s="116"/>
      <c r="K1749" s="116"/>
      <c r="L1749" s="116"/>
      <c r="M1749" s="116"/>
      <c r="N1749" s="116"/>
      <c r="O1749" s="116"/>
    </row>
    <row r="1750" spans="1:15" x14ac:dyDescent="0.35">
      <c r="A1750" s="116"/>
      <c r="B1750" s="116"/>
      <c r="C1750" s="116"/>
      <c r="D1750" s="116"/>
      <c r="E1750" s="116"/>
      <c r="F1750" s="116"/>
      <c r="G1750" s="136"/>
      <c r="H1750" s="116"/>
      <c r="I1750" s="116"/>
      <c r="J1750" s="116"/>
      <c r="K1750" s="116"/>
      <c r="L1750" s="116"/>
      <c r="M1750" s="116"/>
      <c r="N1750" s="116"/>
      <c r="O1750" s="116"/>
    </row>
    <row r="1751" spans="1:15" x14ac:dyDescent="0.35">
      <c r="A1751" s="116"/>
      <c r="B1751" s="116"/>
      <c r="C1751" s="116"/>
      <c r="D1751" s="116"/>
      <c r="E1751" s="116"/>
      <c r="F1751" s="116"/>
      <c r="G1751" s="136"/>
      <c r="H1751" s="116"/>
      <c r="I1751" s="116"/>
      <c r="J1751" s="116"/>
      <c r="K1751" s="116"/>
      <c r="L1751" s="116"/>
      <c r="M1751" s="116"/>
      <c r="N1751" s="116"/>
      <c r="O1751" s="116"/>
    </row>
    <row r="1752" spans="1:15" x14ac:dyDescent="0.35">
      <c r="A1752" s="116"/>
      <c r="B1752" s="116"/>
      <c r="C1752" s="116"/>
      <c r="D1752" s="116"/>
      <c r="E1752" s="116"/>
      <c r="F1752" s="116"/>
      <c r="G1752" s="136"/>
      <c r="H1752" s="116"/>
      <c r="I1752" s="116"/>
      <c r="J1752" s="116"/>
      <c r="K1752" s="116"/>
      <c r="L1752" s="116"/>
      <c r="M1752" s="116"/>
      <c r="N1752" s="116"/>
      <c r="O1752" s="116"/>
    </row>
    <row r="1753" spans="1:15" x14ac:dyDescent="0.35">
      <c r="A1753" s="116"/>
      <c r="B1753" s="116"/>
      <c r="C1753" s="116"/>
      <c r="D1753" s="116"/>
      <c r="E1753" s="116"/>
      <c r="F1753" s="116"/>
      <c r="G1753" s="136"/>
      <c r="H1753" s="116"/>
      <c r="I1753" s="116"/>
      <c r="J1753" s="116"/>
      <c r="K1753" s="116"/>
      <c r="L1753" s="116"/>
      <c r="M1753" s="116"/>
      <c r="N1753" s="116"/>
      <c r="O1753" s="116"/>
    </row>
    <row r="1754" spans="1:15" x14ac:dyDescent="0.35">
      <c r="A1754" s="116"/>
      <c r="B1754" s="116"/>
      <c r="C1754" s="116"/>
      <c r="D1754" s="116"/>
      <c r="E1754" s="116"/>
      <c r="F1754" s="116"/>
      <c r="G1754" s="136"/>
      <c r="H1754" s="116"/>
      <c r="I1754" s="116"/>
      <c r="J1754" s="116"/>
      <c r="K1754" s="116"/>
      <c r="L1754" s="116"/>
      <c r="M1754" s="116"/>
      <c r="N1754" s="116"/>
      <c r="O1754" s="116"/>
    </row>
    <row r="1755" spans="1:15" x14ac:dyDescent="0.35">
      <c r="A1755" s="116"/>
      <c r="B1755" s="116"/>
      <c r="C1755" s="116"/>
      <c r="D1755" s="116"/>
      <c r="E1755" s="116"/>
      <c r="F1755" s="116"/>
      <c r="G1755" s="136"/>
      <c r="H1755" s="116"/>
      <c r="I1755" s="116"/>
      <c r="J1755" s="116"/>
      <c r="K1755" s="116"/>
      <c r="L1755" s="116"/>
      <c r="M1755" s="116"/>
      <c r="N1755" s="116"/>
      <c r="O1755" s="116"/>
    </row>
    <row r="1756" spans="1:15" x14ac:dyDescent="0.35">
      <c r="A1756" s="116"/>
      <c r="B1756" s="116"/>
      <c r="C1756" s="116"/>
      <c r="D1756" s="116"/>
      <c r="E1756" s="116"/>
      <c r="F1756" s="116"/>
      <c r="G1756" s="136"/>
      <c r="H1756" s="116"/>
      <c r="I1756" s="116"/>
      <c r="J1756" s="116"/>
      <c r="K1756" s="116"/>
      <c r="L1756" s="116"/>
      <c r="M1756" s="116"/>
      <c r="N1756" s="116"/>
      <c r="O1756" s="116"/>
    </row>
    <row r="1757" spans="1:15" x14ac:dyDescent="0.35">
      <c r="A1757" s="116"/>
      <c r="B1757" s="116"/>
      <c r="C1757" s="116"/>
      <c r="D1757" s="116"/>
      <c r="E1757" s="116"/>
      <c r="F1757" s="116"/>
      <c r="G1757" s="136"/>
      <c r="H1757" s="116"/>
      <c r="I1757" s="116"/>
      <c r="J1757" s="116"/>
      <c r="K1757" s="116"/>
      <c r="L1757" s="116"/>
      <c r="M1757" s="116"/>
      <c r="N1757" s="31"/>
      <c r="O1757" s="31"/>
    </row>
    <row r="1758" spans="1:15" x14ac:dyDescent="0.35">
      <c r="A1758" s="116"/>
      <c r="B1758" s="116"/>
      <c r="C1758" s="116"/>
      <c r="D1758" s="116"/>
      <c r="E1758" s="116"/>
      <c r="F1758" s="116"/>
      <c r="G1758" s="136"/>
      <c r="H1758" s="116"/>
      <c r="I1758" s="116"/>
      <c r="J1758" s="116"/>
      <c r="K1758" s="116"/>
      <c r="L1758" s="116"/>
      <c r="M1758" s="116"/>
      <c r="N1758" s="31"/>
      <c r="O1758" s="31"/>
    </row>
    <row r="1759" spans="1:15" x14ac:dyDescent="0.35">
      <c r="A1759" s="116"/>
      <c r="B1759" s="116"/>
      <c r="C1759" s="116"/>
      <c r="D1759" s="116"/>
      <c r="E1759" s="116"/>
      <c r="F1759" s="116"/>
      <c r="G1759" s="136"/>
      <c r="H1759" s="116"/>
      <c r="I1759" s="116"/>
      <c r="J1759" s="116"/>
      <c r="K1759" s="116"/>
      <c r="L1759" s="116"/>
      <c r="M1759" s="116"/>
    </row>
    <row r="1760" spans="1:15" x14ac:dyDescent="0.35">
      <c r="A1760" s="116"/>
      <c r="B1760" s="116"/>
      <c r="C1760" s="116"/>
      <c r="D1760" s="116"/>
      <c r="E1760" s="116"/>
      <c r="F1760" s="116"/>
      <c r="G1760" s="136"/>
      <c r="H1760" s="116"/>
      <c r="I1760" s="116"/>
      <c r="J1760" s="116"/>
      <c r="K1760" s="116"/>
      <c r="L1760" s="116"/>
      <c r="M1760" s="116"/>
      <c r="N1760" s="116"/>
      <c r="O1760" s="116"/>
    </row>
    <row r="1761" spans="1:15" x14ac:dyDescent="0.35">
      <c r="A1761" s="116"/>
      <c r="B1761" s="116"/>
      <c r="C1761" s="116"/>
      <c r="D1761" s="116"/>
      <c r="E1761" s="116"/>
      <c r="F1761" s="116"/>
      <c r="G1761" s="136"/>
      <c r="H1761" s="116"/>
      <c r="I1761" s="116"/>
      <c r="J1761" s="116"/>
      <c r="K1761" s="116"/>
      <c r="L1761" s="116"/>
      <c r="M1761" s="116"/>
    </row>
    <row r="1762" spans="1:15" x14ac:dyDescent="0.35">
      <c r="A1762" s="116"/>
      <c r="B1762" s="116"/>
      <c r="C1762" s="116"/>
      <c r="D1762" s="116"/>
      <c r="E1762" s="116"/>
      <c r="F1762" s="116"/>
      <c r="G1762" s="136"/>
      <c r="H1762" s="116"/>
      <c r="I1762" s="116"/>
      <c r="J1762" s="116"/>
      <c r="K1762" s="116"/>
      <c r="L1762" s="116"/>
      <c r="M1762" s="116"/>
      <c r="N1762" s="116"/>
      <c r="O1762" s="116"/>
    </row>
    <row r="1763" spans="1:15" x14ac:dyDescent="0.35">
      <c r="A1763" s="116"/>
      <c r="B1763" s="116"/>
      <c r="C1763" s="116"/>
      <c r="D1763" s="116"/>
      <c r="E1763" s="116"/>
      <c r="F1763" s="116"/>
      <c r="G1763" s="136"/>
      <c r="H1763" s="116"/>
      <c r="I1763" s="116"/>
      <c r="J1763" s="116"/>
      <c r="K1763" s="116"/>
      <c r="L1763" s="116"/>
      <c r="M1763" s="116"/>
    </row>
    <row r="1764" spans="1:15" x14ac:dyDescent="0.35">
      <c r="A1764" s="116"/>
      <c r="B1764" s="116"/>
      <c r="C1764" s="116"/>
      <c r="D1764" s="116"/>
      <c r="E1764" s="116"/>
      <c r="F1764" s="116"/>
      <c r="G1764" s="136"/>
      <c r="H1764" s="116"/>
      <c r="I1764" s="116"/>
      <c r="J1764" s="116"/>
      <c r="K1764" s="116"/>
      <c r="L1764" s="116"/>
      <c r="M1764" s="116"/>
    </row>
    <row r="1765" spans="1:15" x14ac:dyDescent="0.35">
      <c r="A1765" s="116"/>
      <c r="B1765" s="116"/>
      <c r="C1765" s="116"/>
      <c r="D1765" s="116"/>
      <c r="E1765" s="116"/>
      <c r="F1765" s="116"/>
      <c r="G1765" s="136"/>
      <c r="H1765" s="116"/>
      <c r="I1765" s="116"/>
      <c r="J1765" s="116"/>
      <c r="K1765" s="116"/>
      <c r="L1765" s="116"/>
      <c r="M1765" s="116"/>
    </row>
    <row r="1766" spans="1:15" x14ac:dyDescent="0.35">
      <c r="A1766" s="116"/>
      <c r="B1766" s="116"/>
      <c r="C1766" s="116"/>
      <c r="D1766" s="116"/>
      <c r="E1766" s="116"/>
      <c r="F1766" s="116"/>
      <c r="G1766" s="136"/>
      <c r="H1766" s="116"/>
      <c r="I1766" s="116"/>
      <c r="J1766" s="116"/>
      <c r="K1766" s="116"/>
      <c r="L1766" s="116"/>
      <c r="M1766" s="116"/>
      <c r="N1766" s="116"/>
      <c r="O1766" s="116"/>
    </row>
    <row r="1767" spans="1:15" x14ac:dyDescent="0.35">
      <c r="A1767" s="116"/>
      <c r="B1767" s="116"/>
      <c r="C1767" s="116"/>
      <c r="D1767" s="116"/>
      <c r="E1767" s="116"/>
      <c r="F1767" s="116"/>
      <c r="G1767" s="136"/>
      <c r="H1767" s="116"/>
      <c r="I1767" s="116"/>
      <c r="J1767" s="116"/>
      <c r="K1767" s="116"/>
      <c r="L1767" s="116"/>
      <c r="M1767" s="116"/>
      <c r="N1767" s="116"/>
      <c r="O1767" s="116"/>
    </row>
    <row r="1768" spans="1:15" x14ac:dyDescent="0.35">
      <c r="A1768" s="116"/>
      <c r="B1768" s="116"/>
      <c r="C1768" s="116"/>
      <c r="D1768" s="116"/>
      <c r="E1768" s="116"/>
      <c r="F1768" s="116"/>
      <c r="G1768" s="136"/>
      <c r="H1768" s="116"/>
      <c r="I1768" s="116"/>
      <c r="J1768" s="116"/>
      <c r="K1768" s="116"/>
      <c r="L1768" s="116"/>
      <c r="M1768" s="116"/>
      <c r="N1768" s="116"/>
      <c r="O1768" s="116"/>
    </row>
    <row r="1769" spans="1:15" x14ac:dyDescent="0.35">
      <c r="A1769" s="116"/>
      <c r="B1769" s="116"/>
      <c r="C1769" s="116"/>
      <c r="D1769" s="116"/>
      <c r="E1769" s="116"/>
      <c r="F1769" s="116"/>
      <c r="G1769" s="136"/>
      <c r="H1769" s="116"/>
      <c r="I1769" s="116"/>
      <c r="J1769" s="116"/>
      <c r="K1769" s="116"/>
      <c r="L1769" s="116"/>
      <c r="M1769" s="116"/>
      <c r="N1769" s="116"/>
      <c r="O1769" s="116"/>
    </row>
    <row r="1770" spans="1:15" x14ac:dyDescent="0.35">
      <c r="A1770" s="116"/>
      <c r="B1770" s="116"/>
      <c r="C1770" s="116"/>
      <c r="D1770" s="116"/>
      <c r="E1770" s="116"/>
      <c r="F1770" s="116"/>
      <c r="G1770" s="136"/>
      <c r="H1770" s="116"/>
      <c r="I1770" s="116"/>
      <c r="J1770" s="116"/>
      <c r="K1770" s="116"/>
      <c r="L1770" s="116"/>
      <c r="M1770" s="116"/>
      <c r="N1770" s="116"/>
      <c r="O1770" s="116"/>
    </row>
    <row r="1771" spans="1:15" x14ac:dyDescent="0.35">
      <c r="A1771" s="116"/>
      <c r="B1771" s="116"/>
      <c r="C1771" s="116"/>
      <c r="D1771" s="116"/>
      <c r="E1771" s="116"/>
      <c r="F1771" s="116"/>
      <c r="G1771" s="136"/>
      <c r="H1771" s="116"/>
      <c r="I1771" s="116"/>
      <c r="J1771" s="116"/>
      <c r="K1771" s="116"/>
      <c r="L1771" s="116"/>
      <c r="M1771" s="116"/>
      <c r="N1771" s="116"/>
      <c r="O1771" s="116"/>
    </row>
    <row r="1772" spans="1:15" x14ac:dyDescent="0.35">
      <c r="A1772" s="116"/>
      <c r="B1772" s="116"/>
      <c r="C1772" s="116"/>
      <c r="D1772" s="116"/>
      <c r="E1772" s="116"/>
      <c r="F1772" s="116"/>
      <c r="G1772" s="136"/>
      <c r="H1772" s="116"/>
      <c r="I1772" s="116"/>
      <c r="J1772" s="116"/>
      <c r="K1772" s="116"/>
      <c r="L1772" s="116"/>
      <c r="M1772" s="116"/>
      <c r="N1772" s="116"/>
      <c r="O1772" s="116"/>
    </row>
    <row r="1773" spans="1:15" x14ac:dyDescent="0.35">
      <c r="A1773" s="116"/>
      <c r="B1773" s="116"/>
      <c r="C1773" s="116"/>
      <c r="D1773" s="116"/>
      <c r="E1773" s="116"/>
      <c r="F1773" s="116"/>
      <c r="G1773" s="136"/>
      <c r="H1773" s="116"/>
      <c r="I1773" s="116"/>
      <c r="J1773" s="116"/>
      <c r="K1773" s="116"/>
      <c r="L1773" s="116"/>
      <c r="M1773" s="116"/>
      <c r="N1773" s="116"/>
      <c r="O1773" s="116"/>
    </row>
    <row r="1774" spans="1:15" x14ac:dyDescent="0.35">
      <c r="A1774" s="116"/>
      <c r="B1774" s="116"/>
      <c r="C1774" s="116"/>
      <c r="D1774" s="116"/>
      <c r="E1774" s="116"/>
      <c r="F1774" s="116"/>
      <c r="G1774" s="136"/>
      <c r="H1774" s="116"/>
      <c r="I1774" s="116"/>
      <c r="J1774" s="116"/>
      <c r="K1774" s="116"/>
      <c r="L1774" s="116"/>
      <c r="M1774" s="116"/>
      <c r="N1774" s="116"/>
      <c r="O1774" s="116"/>
    </row>
    <row r="1775" spans="1:15" x14ac:dyDescent="0.35">
      <c r="A1775" s="116"/>
      <c r="B1775" s="116"/>
      <c r="C1775" s="116"/>
      <c r="D1775" s="116"/>
      <c r="E1775" s="116"/>
      <c r="F1775" s="116"/>
      <c r="G1775" s="136"/>
      <c r="H1775" s="116"/>
      <c r="I1775" s="116"/>
      <c r="J1775" s="116"/>
      <c r="K1775" s="116"/>
      <c r="L1775" s="116"/>
      <c r="M1775" s="116"/>
      <c r="N1775" s="116"/>
      <c r="O1775" s="116"/>
    </row>
    <row r="1776" spans="1:15" x14ac:dyDescent="0.35">
      <c r="A1776" s="116"/>
      <c r="B1776" s="116"/>
      <c r="C1776" s="116"/>
      <c r="D1776" s="116"/>
      <c r="E1776" s="116"/>
      <c r="F1776" s="116"/>
      <c r="G1776" s="136"/>
      <c r="H1776" s="116"/>
      <c r="I1776" s="116"/>
      <c r="J1776" s="116"/>
      <c r="K1776" s="116"/>
      <c r="L1776" s="116"/>
      <c r="M1776" s="116"/>
      <c r="N1776" s="116"/>
      <c r="O1776" s="116"/>
    </row>
    <row r="1777" spans="1:15" x14ac:dyDescent="0.35">
      <c r="A1777" s="116"/>
      <c r="B1777" s="116"/>
      <c r="C1777" s="116"/>
      <c r="D1777" s="116"/>
      <c r="E1777" s="116"/>
      <c r="F1777" s="116"/>
      <c r="G1777" s="136"/>
      <c r="H1777" s="116"/>
      <c r="I1777" s="116"/>
      <c r="J1777" s="116"/>
      <c r="K1777" s="116"/>
      <c r="L1777" s="116"/>
      <c r="M1777" s="116"/>
      <c r="N1777" s="116"/>
      <c r="O1777" s="116"/>
    </row>
    <row r="1778" spans="1:15" x14ac:dyDescent="0.35">
      <c r="A1778" s="116"/>
      <c r="B1778" s="116"/>
      <c r="C1778" s="116"/>
      <c r="D1778" s="116"/>
      <c r="E1778" s="116"/>
      <c r="F1778" s="116"/>
      <c r="G1778" s="136"/>
      <c r="H1778" s="116"/>
      <c r="I1778" s="116"/>
      <c r="J1778" s="116"/>
      <c r="K1778" s="116"/>
      <c r="L1778" s="116"/>
      <c r="M1778" s="116"/>
      <c r="N1778" s="116"/>
      <c r="O1778" s="116"/>
    </row>
    <row r="1779" spans="1:15" x14ac:dyDescent="0.35">
      <c r="A1779" s="116"/>
      <c r="B1779" s="116"/>
      <c r="C1779" s="116"/>
      <c r="D1779" s="116"/>
      <c r="E1779" s="116"/>
      <c r="F1779" s="116"/>
      <c r="G1779" s="136"/>
      <c r="H1779" s="116"/>
      <c r="I1779" s="116"/>
      <c r="J1779" s="116"/>
      <c r="K1779" s="116"/>
      <c r="L1779" s="116"/>
      <c r="M1779" s="116"/>
      <c r="N1779" s="116"/>
      <c r="O1779" s="116"/>
    </row>
    <row r="1780" spans="1:15" x14ac:dyDescent="0.35">
      <c r="A1780" s="116"/>
      <c r="B1780" s="116"/>
      <c r="C1780" s="116"/>
      <c r="D1780" s="116"/>
      <c r="E1780" s="116"/>
      <c r="F1780" s="116"/>
      <c r="G1780" s="136"/>
      <c r="H1780" s="116"/>
      <c r="I1780" s="116"/>
      <c r="J1780" s="116"/>
      <c r="K1780" s="116"/>
      <c r="L1780" s="116"/>
      <c r="M1780" s="116"/>
      <c r="N1780" s="116"/>
      <c r="O1780" s="116"/>
    </row>
    <row r="1781" spans="1:15" x14ac:dyDescent="0.35">
      <c r="A1781" s="116"/>
      <c r="B1781" s="116"/>
      <c r="C1781" s="116"/>
      <c r="D1781" s="116"/>
      <c r="E1781" s="116"/>
      <c r="F1781" s="116"/>
      <c r="G1781" s="136"/>
      <c r="H1781" s="116"/>
      <c r="I1781" s="116"/>
      <c r="J1781" s="116"/>
      <c r="K1781" s="116"/>
      <c r="L1781" s="116"/>
      <c r="M1781" s="116"/>
      <c r="N1781" s="116"/>
      <c r="O1781" s="116"/>
    </row>
    <row r="1782" spans="1:15" x14ac:dyDescent="0.35">
      <c r="A1782" s="116"/>
      <c r="B1782" s="116"/>
      <c r="C1782" s="116"/>
      <c r="D1782" s="116"/>
      <c r="E1782" s="116"/>
      <c r="F1782" s="116"/>
      <c r="G1782" s="136"/>
      <c r="H1782" s="116"/>
      <c r="I1782" s="116"/>
      <c r="J1782" s="116"/>
      <c r="K1782" s="116"/>
      <c r="L1782" s="116"/>
      <c r="M1782" s="116"/>
      <c r="N1782" s="116"/>
      <c r="O1782" s="116"/>
    </row>
    <row r="1783" spans="1:15" x14ac:dyDescent="0.35">
      <c r="A1783" s="116"/>
      <c r="B1783" s="116"/>
      <c r="C1783" s="116"/>
      <c r="D1783" s="116"/>
      <c r="E1783" s="116"/>
      <c r="F1783" s="116"/>
      <c r="G1783" s="136"/>
      <c r="H1783" s="116"/>
      <c r="I1783" s="116"/>
      <c r="J1783" s="116"/>
      <c r="K1783" s="116"/>
      <c r="L1783" s="116"/>
      <c r="M1783" s="116"/>
      <c r="N1783" s="116"/>
      <c r="O1783" s="116"/>
    </row>
    <row r="1784" spans="1:15" x14ac:dyDescent="0.35">
      <c r="A1784" s="116"/>
      <c r="B1784" s="116"/>
      <c r="C1784" s="116"/>
      <c r="D1784" s="116"/>
      <c r="E1784" s="116"/>
      <c r="F1784" s="116"/>
      <c r="G1784" s="136"/>
      <c r="H1784" s="116"/>
      <c r="I1784" s="116"/>
      <c r="J1784" s="116"/>
      <c r="K1784" s="116"/>
      <c r="L1784" s="116"/>
      <c r="M1784" s="116"/>
      <c r="N1784" s="116"/>
      <c r="O1784" s="116"/>
    </row>
    <row r="1785" spans="1:15" x14ac:dyDescent="0.35">
      <c r="A1785" s="116"/>
      <c r="B1785" s="116"/>
      <c r="C1785" s="116"/>
      <c r="D1785" s="116"/>
      <c r="E1785" s="116"/>
      <c r="F1785" s="116"/>
      <c r="G1785" s="136"/>
      <c r="H1785" s="116"/>
      <c r="I1785" s="116"/>
      <c r="J1785" s="116"/>
      <c r="K1785" s="116"/>
      <c r="L1785" s="116"/>
      <c r="M1785" s="116"/>
    </row>
    <row r="1786" spans="1:15" x14ac:dyDescent="0.35">
      <c r="A1786" s="116"/>
      <c r="B1786" s="116"/>
      <c r="C1786" s="116"/>
      <c r="D1786" s="116"/>
      <c r="E1786" s="116"/>
      <c r="F1786" s="116"/>
      <c r="G1786" s="136"/>
      <c r="H1786" s="116"/>
      <c r="I1786" s="116"/>
      <c r="J1786" s="116"/>
      <c r="K1786" s="116"/>
      <c r="L1786" s="116"/>
      <c r="M1786" s="116"/>
    </row>
    <row r="1787" spans="1:15" x14ac:dyDescent="0.35">
      <c r="A1787" s="116"/>
      <c r="B1787" s="116"/>
      <c r="C1787" s="116"/>
      <c r="D1787" s="116"/>
      <c r="E1787" s="116"/>
      <c r="F1787" s="116"/>
      <c r="G1787" s="136"/>
      <c r="H1787" s="116"/>
      <c r="I1787" s="116"/>
      <c r="J1787" s="116"/>
      <c r="K1787" s="116"/>
      <c r="L1787" s="116"/>
      <c r="M1787" s="116"/>
      <c r="N1787" s="116"/>
      <c r="O1787" s="116"/>
    </row>
    <row r="1788" spans="1:15" x14ac:dyDescent="0.35">
      <c r="A1788" s="116"/>
      <c r="B1788" s="116"/>
      <c r="C1788" s="116"/>
      <c r="D1788" s="116"/>
      <c r="E1788" s="116"/>
      <c r="F1788" s="116"/>
      <c r="G1788" s="136"/>
      <c r="H1788" s="116"/>
      <c r="I1788" s="116"/>
      <c r="J1788" s="116"/>
      <c r="K1788" s="116"/>
      <c r="L1788" s="116"/>
      <c r="M1788" s="116"/>
      <c r="N1788" s="116"/>
      <c r="O1788" s="116"/>
    </row>
    <row r="1789" spans="1:15" x14ac:dyDescent="0.35">
      <c r="A1789" s="116"/>
      <c r="B1789" s="116"/>
      <c r="C1789" s="116"/>
      <c r="D1789" s="116"/>
      <c r="E1789" s="116"/>
      <c r="F1789" s="116"/>
      <c r="G1789" s="136"/>
      <c r="H1789" s="116"/>
      <c r="I1789" s="116"/>
      <c r="J1789" s="116"/>
      <c r="K1789" s="116"/>
      <c r="L1789" s="116"/>
      <c r="M1789" s="116"/>
      <c r="N1789" s="116"/>
      <c r="O1789" s="116"/>
    </row>
    <row r="1790" spans="1:15" x14ac:dyDescent="0.35">
      <c r="A1790" s="116"/>
      <c r="B1790" s="116"/>
      <c r="C1790" s="116"/>
      <c r="D1790" s="116"/>
      <c r="E1790" s="116"/>
      <c r="F1790" s="116"/>
      <c r="G1790" s="136"/>
      <c r="H1790" s="116"/>
      <c r="I1790" s="116"/>
      <c r="J1790" s="116"/>
      <c r="K1790" s="116"/>
      <c r="L1790" s="116"/>
      <c r="M1790" s="116"/>
      <c r="N1790" s="116"/>
      <c r="O1790" s="116"/>
    </row>
    <row r="1791" spans="1:15" x14ac:dyDescent="0.35">
      <c r="A1791" s="116"/>
      <c r="B1791" s="116"/>
      <c r="C1791" s="116"/>
      <c r="D1791" s="116"/>
      <c r="E1791" s="116"/>
      <c r="F1791" s="116"/>
      <c r="G1791" s="136"/>
      <c r="H1791" s="116"/>
      <c r="I1791" s="116"/>
      <c r="J1791" s="116"/>
      <c r="K1791" s="116"/>
      <c r="L1791" s="116"/>
      <c r="M1791" s="116"/>
      <c r="N1791" s="31"/>
      <c r="O1791" s="31"/>
    </row>
    <row r="1792" spans="1:15" x14ac:dyDescent="0.35">
      <c r="A1792" s="116"/>
      <c r="B1792" s="116"/>
      <c r="C1792" s="116"/>
      <c r="D1792" s="116"/>
      <c r="E1792" s="116"/>
      <c r="F1792" s="116"/>
      <c r="G1792" s="136"/>
      <c r="H1792" s="116"/>
      <c r="I1792" s="116"/>
      <c r="J1792" s="116"/>
      <c r="K1792" s="116"/>
      <c r="L1792" s="116"/>
      <c r="M1792" s="116"/>
    </row>
    <row r="1793" spans="1:15" x14ac:dyDescent="0.35">
      <c r="A1793" s="116"/>
      <c r="B1793" s="116"/>
      <c r="C1793" s="116"/>
      <c r="D1793" s="116"/>
      <c r="E1793" s="116"/>
      <c r="F1793" s="116"/>
      <c r="G1793" s="136"/>
      <c r="H1793" s="116"/>
      <c r="I1793" s="116"/>
      <c r="J1793" s="116"/>
      <c r="K1793" s="116"/>
      <c r="L1793" s="116"/>
      <c r="M1793" s="116"/>
      <c r="N1793" s="116"/>
      <c r="O1793" s="116"/>
    </row>
    <row r="1794" spans="1:15" x14ac:dyDescent="0.35">
      <c r="A1794" s="116"/>
      <c r="B1794" s="116"/>
      <c r="C1794" s="116"/>
      <c r="D1794" s="116"/>
      <c r="E1794" s="116"/>
      <c r="F1794" s="116"/>
      <c r="G1794" s="136"/>
      <c r="H1794" s="116"/>
      <c r="I1794" s="116"/>
      <c r="J1794" s="116"/>
      <c r="K1794" s="116"/>
      <c r="L1794" s="116"/>
      <c r="M1794" s="116"/>
    </row>
    <row r="1795" spans="1:15" x14ac:dyDescent="0.35">
      <c r="A1795" s="116"/>
      <c r="B1795" s="116"/>
      <c r="C1795" s="116"/>
      <c r="D1795" s="116"/>
      <c r="E1795" s="116"/>
      <c r="F1795" s="116"/>
      <c r="G1795" s="136"/>
      <c r="H1795" s="116"/>
      <c r="I1795" s="116"/>
      <c r="J1795" s="116"/>
      <c r="K1795" s="116"/>
      <c r="L1795" s="116"/>
      <c r="M1795" s="116"/>
      <c r="N1795" s="116"/>
      <c r="O1795" s="116"/>
    </row>
    <row r="1796" spans="1:15" x14ac:dyDescent="0.35">
      <c r="A1796" s="116"/>
      <c r="B1796" s="116"/>
      <c r="C1796" s="116"/>
      <c r="D1796" s="116"/>
      <c r="E1796" s="116"/>
      <c r="F1796" s="116"/>
      <c r="G1796" s="136"/>
      <c r="H1796" s="116"/>
      <c r="I1796" s="116"/>
      <c r="J1796" s="116"/>
      <c r="K1796" s="116"/>
      <c r="L1796" s="116"/>
      <c r="M1796" s="116"/>
    </row>
    <row r="1797" spans="1:15" x14ac:dyDescent="0.35">
      <c r="A1797" s="116"/>
      <c r="B1797" s="116"/>
      <c r="C1797" s="116"/>
      <c r="D1797" s="116"/>
      <c r="E1797" s="116"/>
      <c r="F1797" s="116"/>
      <c r="G1797" s="136"/>
      <c r="H1797" s="116"/>
      <c r="I1797" s="116"/>
      <c r="J1797" s="116"/>
      <c r="K1797" s="116"/>
      <c r="L1797" s="116"/>
      <c r="M1797" s="116"/>
    </row>
    <row r="1798" spans="1:15" x14ac:dyDescent="0.35">
      <c r="A1798" s="116"/>
      <c r="B1798" s="116"/>
      <c r="C1798" s="116"/>
      <c r="D1798" s="116"/>
      <c r="E1798" s="116"/>
      <c r="F1798" s="116"/>
      <c r="G1798" s="136"/>
      <c r="H1798" s="116"/>
      <c r="I1798" s="116"/>
      <c r="J1798" s="116"/>
      <c r="K1798" s="116"/>
      <c r="L1798" s="116"/>
      <c r="M1798" s="116"/>
    </row>
    <row r="1799" spans="1:15" x14ac:dyDescent="0.35">
      <c r="A1799" s="116"/>
      <c r="B1799" s="116"/>
      <c r="C1799" s="116"/>
      <c r="D1799" s="116"/>
      <c r="E1799" s="116"/>
      <c r="F1799" s="116"/>
      <c r="G1799" s="136"/>
      <c r="H1799" s="116"/>
      <c r="I1799" s="116"/>
      <c r="J1799" s="116"/>
      <c r="K1799" s="116"/>
      <c r="L1799" s="116"/>
      <c r="M1799" s="116"/>
      <c r="N1799" s="31"/>
      <c r="O1799" s="31"/>
    </row>
    <row r="1800" spans="1:15" x14ac:dyDescent="0.35">
      <c r="A1800" s="116"/>
      <c r="B1800" s="116"/>
      <c r="C1800" s="116"/>
      <c r="D1800" s="116"/>
      <c r="E1800" s="116"/>
      <c r="F1800" s="116"/>
      <c r="G1800" s="136"/>
      <c r="H1800" s="116"/>
      <c r="I1800" s="116"/>
      <c r="J1800" s="116"/>
      <c r="K1800" s="116"/>
      <c r="L1800" s="116"/>
      <c r="M1800" s="116"/>
      <c r="N1800" s="116"/>
      <c r="O1800" s="116"/>
    </row>
    <row r="1801" spans="1:15" x14ac:dyDescent="0.35">
      <c r="A1801" s="116"/>
      <c r="B1801" s="116"/>
      <c r="C1801" s="116"/>
      <c r="D1801" s="116"/>
      <c r="E1801" s="116"/>
      <c r="F1801" s="116"/>
      <c r="G1801" s="136"/>
      <c r="H1801" s="116"/>
      <c r="I1801" s="116"/>
      <c r="J1801" s="116"/>
      <c r="K1801" s="116"/>
      <c r="L1801" s="116"/>
      <c r="M1801" s="116"/>
      <c r="N1801" s="116"/>
      <c r="O1801" s="116"/>
    </row>
    <row r="1802" spans="1:15" x14ac:dyDescent="0.35">
      <c r="A1802" s="116"/>
      <c r="B1802" s="116"/>
      <c r="C1802" s="116"/>
      <c r="D1802" s="116"/>
      <c r="E1802" s="116"/>
      <c r="F1802" s="116"/>
      <c r="G1802" s="136"/>
      <c r="H1802" s="116"/>
      <c r="I1802" s="116"/>
      <c r="J1802" s="116"/>
      <c r="K1802" s="116"/>
      <c r="L1802" s="116"/>
      <c r="M1802" s="116"/>
      <c r="N1802" s="116"/>
      <c r="O1802" s="116"/>
    </row>
    <row r="1803" spans="1:15" x14ac:dyDescent="0.35">
      <c r="A1803" s="116"/>
      <c r="B1803" s="116"/>
      <c r="C1803" s="116"/>
      <c r="D1803" s="116"/>
      <c r="E1803" s="116"/>
      <c r="F1803" s="116"/>
      <c r="G1803" s="136"/>
      <c r="H1803" s="116"/>
      <c r="I1803" s="116"/>
      <c r="J1803" s="116"/>
      <c r="K1803" s="116"/>
      <c r="L1803" s="116"/>
      <c r="M1803" s="116"/>
      <c r="N1803" s="116"/>
      <c r="O1803" s="116"/>
    </row>
    <row r="1804" spans="1:15" x14ac:dyDescent="0.35">
      <c r="A1804" s="116"/>
      <c r="B1804" s="116"/>
      <c r="C1804" s="116"/>
      <c r="D1804" s="116"/>
      <c r="E1804" s="116"/>
      <c r="F1804" s="116"/>
      <c r="G1804" s="136"/>
      <c r="H1804" s="116"/>
      <c r="I1804" s="116"/>
      <c r="J1804" s="116"/>
      <c r="K1804" s="116"/>
      <c r="L1804" s="116"/>
      <c r="M1804" s="116"/>
      <c r="N1804" s="116"/>
      <c r="O1804" s="116"/>
    </row>
    <row r="1805" spans="1:15" x14ac:dyDescent="0.35">
      <c r="A1805" s="116"/>
      <c r="B1805" s="116"/>
      <c r="C1805" s="116"/>
      <c r="D1805" s="116"/>
      <c r="E1805" s="116"/>
      <c r="F1805" s="116"/>
      <c r="G1805" s="136"/>
      <c r="H1805" s="116"/>
      <c r="I1805" s="116"/>
      <c r="J1805" s="116"/>
      <c r="K1805" s="116"/>
      <c r="L1805" s="116"/>
      <c r="M1805" s="116"/>
      <c r="N1805" s="116"/>
      <c r="O1805" s="116"/>
    </row>
    <row r="1806" spans="1:15" x14ac:dyDescent="0.35">
      <c r="A1806" s="116"/>
      <c r="B1806" s="116"/>
      <c r="C1806" s="116"/>
      <c r="D1806" s="116"/>
      <c r="E1806" s="116"/>
      <c r="F1806" s="116"/>
      <c r="G1806" s="136"/>
      <c r="H1806" s="116"/>
      <c r="I1806" s="116"/>
      <c r="J1806" s="116"/>
      <c r="K1806" s="116"/>
      <c r="L1806" s="116"/>
      <c r="M1806" s="116"/>
    </row>
    <row r="1807" spans="1:15" x14ac:dyDescent="0.35">
      <c r="A1807" s="116"/>
      <c r="B1807" s="116"/>
      <c r="C1807" s="116"/>
      <c r="D1807" s="116"/>
      <c r="E1807" s="116"/>
      <c r="F1807" s="116"/>
      <c r="G1807" s="136"/>
      <c r="H1807" s="116"/>
      <c r="I1807" s="116"/>
      <c r="J1807" s="116"/>
      <c r="K1807" s="116"/>
      <c r="L1807" s="116"/>
      <c r="M1807" s="116"/>
      <c r="N1807" s="31"/>
      <c r="O1807" s="31"/>
    </row>
    <row r="1808" spans="1:15" x14ac:dyDescent="0.35">
      <c r="A1808" s="116"/>
      <c r="B1808" s="116"/>
      <c r="C1808" s="116"/>
      <c r="D1808" s="116"/>
      <c r="E1808" s="116"/>
      <c r="F1808" s="116"/>
      <c r="G1808" s="136"/>
      <c r="H1808" s="116"/>
      <c r="I1808" s="116"/>
      <c r="J1808" s="116"/>
      <c r="K1808" s="116"/>
      <c r="L1808" s="116"/>
      <c r="M1808" s="116"/>
    </row>
    <row r="1809" spans="1:15" x14ac:dyDescent="0.35">
      <c r="A1809" s="116"/>
      <c r="B1809" s="116"/>
      <c r="C1809" s="116"/>
      <c r="D1809" s="116"/>
      <c r="E1809" s="116"/>
      <c r="F1809" s="116"/>
      <c r="G1809" s="136"/>
      <c r="H1809" s="116"/>
      <c r="I1809" s="116"/>
      <c r="J1809" s="116"/>
      <c r="K1809" s="116"/>
      <c r="L1809" s="116"/>
      <c r="M1809" s="116"/>
    </row>
    <row r="1810" spans="1:15" x14ac:dyDescent="0.35">
      <c r="A1810" s="116"/>
      <c r="B1810" s="116"/>
      <c r="C1810" s="116"/>
      <c r="D1810" s="116"/>
      <c r="E1810" s="116"/>
      <c r="F1810" s="116"/>
      <c r="G1810" s="136"/>
      <c r="H1810" s="116"/>
      <c r="I1810" s="116"/>
      <c r="J1810" s="116"/>
      <c r="K1810" s="116"/>
      <c r="L1810" s="116"/>
      <c r="M1810" s="116"/>
    </row>
    <row r="1811" spans="1:15" x14ac:dyDescent="0.35">
      <c r="A1811" s="116"/>
      <c r="B1811" s="116"/>
      <c r="C1811" s="116"/>
      <c r="D1811" s="116"/>
      <c r="E1811" s="116"/>
      <c r="F1811" s="116"/>
      <c r="G1811" s="136"/>
      <c r="H1811" s="116"/>
      <c r="I1811" s="116"/>
      <c r="J1811" s="116"/>
      <c r="K1811" s="116"/>
      <c r="L1811" s="116"/>
      <c r="M1811" s="116"/>
      <c r="N1811" s="116"/>
      <c r="O1811" s="116"/>
    </row>
    <row r="1812" spans="1:15" x14ac:dyDescent="0.35">
      <c r="A1812" s="116"/>
      <c r="B1812" s="116"/>
      <c r="C1812" s="116"/>
      <c r="D1812" s="116"/>
      <c r="E1812" s="116"/>
      <c r="F1812" s="116"/>
      <c r="G1812" s="136"/>
      <c r="H1812" s="116"/>
      <c r="I1812" s="116"/>
      <c r="J1812" s="116"/>
      <c r="K1812" s="116"/>
      <c r="L1812" s="116"/>
      <c r="M1812" s="116"/>
    </row>
    <row r="1813" spans="1:15" x14ac:dyDescent="0.35">
      <c r="A1813" s="116"/>
      <c r="B1813" s="116"/>
      <c r="C1813" s="116"/>
      <c r="D1813" s="116"/>
      <c r="E1813" s="116"/>
      <c r="F1813" s="116"/>
      <c r="G1813" s="136"/>
      <c r="H1813" s="116"/>
      <c r="I1813" s="116"/>
      <c r="J1813" s="116"/>
      <c r="K1813" s="116"/>
      <c r="L1813" s="116"/>
      <c r="M1813" s="116"/>
    </row>
    <row r="1814" spans="1:15" x14ac:dyDescent="0.35">
      <c r="A1814" s="116"/>
      <c r="B1814" s="116"/>
      <c r="C1814" s="116"/>
      <c r="D1814" s="116"/>
      <c r="E1814" s="116"/>
      <c r="F1814" s="116"/>
      <c r="G1814" s="136"/>
      <c r="H1814" s="116"/>
      <c r="I1814" s="116"/>
      <c r="J1814" s="116"/>
      <c r="K1814" s="116"/>
      <c r="L1814" s="116"/>
      <c r="M1814" s="116"/>
    </row>
    <row r="1815" spans="1:15" x14ac:dyDescent="0.35">
      <c r="A1815" s="116"/>
      <c r="B1815" s="116"/>
      <c r="C1815" s="116"/>
      <c r="D1815" s="116"/>
      <c r="E1815" s="116"/>
      <c r="F1815" s="116"/>
      <c r="G1815" s="136"/>
      <c r="H1815" s="116"/>
      <c r="I1815" s="116"/>
      <c r="J1815" s="116"/>
      <c r="K1815" s="116"/>
      <c r="L1815" s="116"/>
      <c r="M1815" s="116"/>
      <c r="N1815" s="31"/>
      <c r="O1815" s="31"/>
    </row>
    <row r="1816" spans="1:15" x14ac:dyDescent="0.35">
      <c r="A1816" s="116"/>
      <c r="B1816" s="116"/>
      <c r="C1816" s="116"/>
      <c r="D1816" s="116"/>
      <c r="E1816" s="116"/>
      <c r="F1816" s="116"/>
      <c r="G1816" s="136"/>
      <c r="H1816" s="116"/>
      <c r="I1816" s="116"/>
      <c r="J1816" s="116"/>
      <c r="K1816" s="116"/>
      <c r="L1816" s="116"/>
      <c r="M1816" s="116"/>
      <c r="N1816" s="31"/>
      <c r="O1816" s="31"/>
    </row>
    <row r="1817" spans="1:15" x14ac:dyDescent="0.35">
      <c r="A1817" s="116"/>
      <c r="B1817" s="116"/>
      <c r="C1817" s="116"/>
      <c r="D1817" s="116"/>
      <c r="E1817" s="116"/>
      <c r="F1817" s="116"/>
      <c r="G1817" s="136"/>
      <c r="H1817" s="116"/>
      <c r="I1817" s="116"/>
      <c r="J1817" s="116"/>
      <c r="K1817" s="116"/>
      <c r="L1817" s="116"/>
      <c r="M1817" s="116"/>
      <c r="N1817" s="31"/>
      <c r="O1817" s="31"/>
    </row>
    <row r="1818" spans="1:15" x14ac:dyDescent="0.35">
      <c r="A1818" s="116"/>
      <c r="B1818" s="116"/>
      <c r="C1818" s="116"/>
      <c r="D1818" s="116"/>
      <c r="E1818" s="116"/>
      <c r="F1818" s="116"/>
      <c r="G1818" s="136"/>
      <c r="H1818" s="116"/>
      <c r="I1818" s="116"/>
      <c r="J1818" s="116"/>
      <c r="K1818" s="116"/>
      <c r="L1818" s="116"/>
      <c r="M1818" s="116"/>
    </row>
    <row r="1819" spans="1:15" x14ac:dyDescent="0.35">
      <c r="A1819" s="116"/>
      <c r="B1819" s="116"/>
      <c r="C1819" s="116"/>
      <c r="D1819" s="116"/>
      <c r="E1819" s="116"/>
      <c r="F1819" s="116"/>
      <c r="G1819" s="136"/>
      <c r="H1819" s="116"/>
      <c r="I1819" s="116"/>
      <c r="J1819" s="116"/>
      <c r="K1819" s="116"/>
      <c r="L1819" s="116"/>
      <c r="M1819" s="116"/>
      <c r="N1819" s="116"/>
      <c r="O1819" s="116"/>
    </row>
    <row r="1820" spans="1:15" x14ac:dyDescent="0.35">
      <c r="A1820" s="116"/>
      <c r="B1820" s="116"/>
      <c r="C1820" s="116"/>
      <c r="D1820" s="116"/>
      <c r="E1820" s="116"/>
      <c r="F1820" s="116"/>
      <c r="G1820" s="136"/>
      <c r="H1820" s="116"/>
      <c r="I1820" s="116"/>
      <c r="J1820" s="116"/>
      <c r="K1820" s="116"/>
      <c r="L1820" s="116"/>
      <c r="M1820" s="116"/>
      <c r="N1820" s="116"/>
      <c r="O1820" s="116"/>
    </row>
    <row r="1821" spans="1:15" x14ac:dyDescent="0.35">
      <c r="A1821" s="116"/>
      <c r="B1821" s="116"/>
      <c r="C1821" s="116"/>
      <c r="D1821" s="116"/>
      <c r="E1821" s="116"/>
      <c r="F1821" s="116"/>
      <c r="G1821" s="136"/>
      <c r="H1821" s="116"/>
      <c r="I1821" s="116"/>
      <c r="J1821" s="116"/>
      <c r="K1821" s="116"/>
      <c r="L1821" s="116"/>
      <c r="M1821" s="116"/>
      <c r="N1821" s="116"/>
      <c r="O1821" s="116"/>
    </row>
    <row r="1822" spans="1:15" x14ac:dyDescent="0.35">
      <c r="A1822" s="116"/>
      <c r="B1822" s="116"/>
      <c r="C1822" s="116"/>
      <c r="D1822" s="116"/>
      <c r="E1822" s="116"/>
      <c r="F1822" s="116"/>
      <c r="G1822" s="136"/>
      <c r="H1822" s="116"/>
      <c r="I1822" s="116"/>
      <c r="J1822" s="116"/>
      <c r="K1822" s="116"/>
      <c r="L1822" s="116"/>
      <c r="M1822" s="116"/>
      <c r="N1822" s="116"/>
      <c r="O1822" s="116"/>
    </row>
    <row r="1823" spans="1:15" x14ac:dyDescent="0.35">
      <c r="A1823" s="116"/>
      <c r="B1823" s="116"/>
      <c r="C1823" s="116"/>
      <c r="D1823" s="116"/>
      <c r="E1823" s="116"/>
      <c r="F1823" s="116"/>
      <c r="G1823" s="136"/>
      <c r="H1823" s="116"/>
      <c r="I1823" s="116"/>
      <c r="J1823" s="116"/>
      <c r="K1823" s="116"/>
      <c r="L1823" s="116"/>
      <c r="M1823" s="116"/>
      <c r="N1823" s="116"/>
      <c r="O1823" s="116"/>
    </row>
    <row r="1824" spans="1:15" x14ac:dyDescent="0.35">
      <c r="A1824" s="116"/>
      <c r="B1824" s="116"/>
      <c r="C1824" s="116"/>
      <c r="D1824" s="116"/>
      <c r="E1824" s="116"/>
      <c r="F1824" s="116"/>
      <c r="G1824" s="136"/>
      <c r="H1824" s="116"/>
      <c r="I1824" s="116"/>
      <c r="J1824" s="116"/>
      <c r="K1824" s="116"/>
      <c r="L1824" s="116"/>
      <c r="M1824" s="116"/>
      <c r="N1824" s="116"/>
      <c r="O1824" s="116"/>
    </row>
  </sheetData>
  <autoFilter ref="A7:AF1824" xr:uid="{A9A73452-DFDE-4253-BABE-9313CDFBA6FE}">
    <sortState xmlns:xlrd2="http://schemas.microsoft.com/office/spreadsheetml/2017/richdata2" ref="A8:AF1824">
      <sortCondition descending="1" ref="Q7:Q1824"/>
    </sortState>
  </autoFilter>
  <sortState xmlns:xlrd2="http://schemas.microsoft.com/office/spreadsheetml/2017/richdata2" ref="A7:Q310">
    <sortCondition descending="1" ref="Q7:Q310"/>
  </sortState>
  <mergeCells count="1">
    <mergeCell ref="AD6:AE6"/>
  </mergeCells>
  <phoneticPr fontId="18"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A9C09-B9E7-4088-B585-A67F84CF76BE}">
  <sheetPr>
    <tabColor rgb="FF92D050"/>
  </sheetPr>
  <dimension ref="A1:AF1824"/>
  <sheetViews>
    <sheetView workbookViewId="0">
      <pane ySplit="7" topLeftCell="A9" activePane="bottomLeft" state="frozen"/>
      <selection pane="bottomLeft" activeCell="N8" sqref="M8:N24"/>
    </sheetView>
  </sheetViews>
  <sheetFormatPr defaultRowHeight="14.5" x14ac:dyDescent="0.35"/>
  <cols>
    <col min="3" max="3" width="10.7265625" customWidth="1"/>
    <col min="4" max="4" width="10.1796875" style="3" bestFit="1" customWidth="1"/>
    <col min="5" max="5" width="10.7265625" style="19" bestFit="1" customWidth="1"/>
    <col min="6" max="6" width="6.1796875" customWidth="1"/>
    <col min="7" max="7" width="16.54296875" style="55" customWidth="1"/>
    <col min="8" max="8" width="18.453125" style="48" customWidth="1"/>
    <col min="9" max="9" width="24" style="48" customWidth="1"/>
    <col min="10" max="10" width="8" customWidth="1"/>
    <col min="11" max="11" width="18.1796875" style="48" customWidth="1"/>
    <col min="12" max="12" width="9.7265625" style="48" customWidth="1"/>
    <col min="13" max="13" width="13.81640625" style="48" customWidth="1"/>
    <col min="14" max="14" width="4.1796875" customWidth="1"/>
    <col min="15" max="15" width="7.26953125" customWidth="1"/>
    <col min="16" max="16" width="3.54296875" style="5" customWidth="1"/>
    <col min="17" max="17" width="10.1796875" style="3" bestFit="1" customWidth="1"/>
    <col min="18" max="18" width="5.453125" style="48" customWidth="1"/>
    <col min="19" max="19" width="6" style="48" customWidth="1"/>
    <col min="22" max="22" width="9.1796875" style="3" bestFit="1" customWidth="1"/>
    <col min="30" max="30" width="9.1796875" bestFit="1" customWidth="1"/>
  </cols>
  <sheetData>
    <row r="1" spans="1:32" x14ac:dyDescent="0.35">
      <c r="A1" t="s">
        <v>59</v>
      </c>
      <c r="C1">
        <v>5190002000</v>
      </c>
    </row>
    <row r="2" spans="1:32" x14ac:dyDescent="0.35">
      <c r="A2" t="s">
        <v>60</v>
      </c>
      <c r="C2" t="str">
        <f>D8</f>
        <v>Donations</v>
      </c>
      <c r="F2" t="s">
        <v>98</v>
      </c>
    </row>
    <row r="3" spans="1:32" x14ac:dyDescent="0.35">
      <c r="A3" t="s">
        <v>61</v>
      </c>
      <c r="C3" s="22">
        <v>9848.869999999999</v>
      </c>
      <c r="F3" t="s">
        <v>305</v>
      </c>
      <c r="T3" s="24" t="s">
        <v>0</v>
      </c>
      <c r="U3" s="24"/>
      <c r="V3" s="3">
        <f>SUMIF($A$10:$A$23974,"AU001",V8:V23972)</f>
        <v>0</v>
      </c>
      <c r="AC3" t="s">
        <v>0</v>
      </c>
      <c r="AD3" s="3">
        <f>SUMIF($A$8:$A$100000,"AU001",$AD$8:$AD$100000)</f>
        <v>0</v>
      </c>
      <c r="AE3" s="3">
        <f>SUMIF($A$8:$A$100000,"AU001",$AE$8:$AE$100000)</f>
        <v>0</v>
      </c>
    </row>
    <row r="4" spans="1:32" x14ac:dyDescent="0.35">
      <c r="A4" t="s">
        <v>36</v>
      </c>
      <c r="C4" s="115">
        <f>SUM(E:E)</f>
        <v>9848.869999999999</v>
      </c>
      <c r="F4" t="s">
        <v>306</v>
      </c>
      <c r="T4" s="24" t="s">
        <v>27</v>
      </c>
      <c r="U4" s="24"/>
      <c r="V4" s="3">
        <f>SUMIF($A$10:$A$23975,"AU052",V8:V23973)</f>
        <v>0</v>
      </c>
      <c r="AC4" t="s">
        <v>27</v>
      </c>
      <c r="AD4" s="3">
        <f>SUMIF($A$8:$A$100000,"AU052",$AD$8:$AD$100000)</f>
        <v>0</v>
      </c>
      <c r="AE4" s="3">
        <f>SUMIF($A$8:$A$100000,"AU052",$AE$8:$AE$100000)</f>
        <v>0</v>
      </c>
    </row>
    <row r="5" spans="1:32" ht="15" thickBot="1" x14ac:dyDescent="0.4">
      <c r="A5" t="s">
        <v>62</v>
      </c>
      <c r="C5" s="3">
        <f>C3-C4</f>
        <v>0</v>
      </c>
      <c r="Q5" s="28"/>
      <c r="R5" s="50"/>
      <c r="V5" s="3">
        <f>V312</f>
        <v>0</v>
      </c>
    </row>
    <row r="6" spans="1:32" ht="15" thickBot="1" x14ac:dyDescent="0.4">
      <c r="F6" s="19"/>
      <c r="AD6" s="207" t="s">
        <v>35</v>
      </c>
      <c r="AE6" s="208"/>
    </row>
    <row r="7" spans="1:32" ht="87.5" thickBot="1" x14ac:dyDescent="0.4">
      <c r="A7" s="138" t="s">
        <v>63</v>
      </c>
      <c r="B7" s="138" t="s">
        <v>313</v>
      </c>
      <c r="C7" s="138" t="s">
        <v>64</v>
      </c>
      <c r="D7" s="138" t="s">
        <v>65</v>
      </c>
      <c r="E7" s="138" t="s">
        <v>66</v>
      </c>
      <c r="F7" s="138" t="s">
        <v>67</v>
      </c>
      <c r="G7" s="101" t="s">
        <v>68</v>
      </c>
      <c r="H7" s="138" t="s">
        <v>69</v>
      </c>
      <c r="I7" s="138" t="s">
        <v>70</v>
      </c>
      <c r="J7" s="138" t="s">
        <v>71</v>
      </c>
      <c r="K7" s="169" t="s">
        <v>72</v>
      </c>
      <c r="L7" s="169" t="s">
        <v>73</v>
      </c>
      <c r="M7" s="169" t="s">
        <v>74</v>
      </c>
      <c r="N7" s="138" t="s">
        <v>75</v>
      </c>
      <c r="O7" s="138" t="s">
        <v>304</v>
      </c>
      <c r="Q7" s="29" t="s">
        <v>95</v>
      </c>
      <c r="R7" s="25" t="s">
        <v>76</v>
      </c>
      <c r="S7" s="8" t="s">
        <v>37</v>
      </c>
      <c r="T7" s="7" t="s">
        <v>38</v>
      </c>
      <c r="U7" s="7" t="s">
        <v>417</v>
      </c>
      <c r="V7" s="57" t="s">
        <v>39</v>
      </c>
      <c r="W7" s="9" t="s">
        <v>40</v>
      </c>
      <c r="X7" s="10" t="s">
        <v>41</v>
      </c>
      <c r="Y7" s="11" t="s">
        <v>42</v>
      </c>
      <c r="Z7" s="12" t="s">
        <v>43</v>
      </c>
      <c r="AA7" s="13" t="s">
        <v>44</v>
      </c>
      <c r="AB7" s="13" t="s">
        <v>45</v>
      </c>
      <c r="AC7" s="13" t="s">
        <v>46</v>
      </c>
      <c r="AD7" s="14" t="s">
        <v>47</v>
      </c>
      <c r="AE7" s="14" t="s">
        <v>48</v>
      </c>
      <c r="AF7" s="15" t="s">
        <v>49</v>
      </c>
    </row>
    <row r="8" spans="1:32" ht="43.5" x14ac:dyDescent="0.35">
      <c r="A8" s="137" t="s">
        <v>0</v>
      </c>
      <c r="B8" s="137" t="s">
        <v>315</v>
      </c>
      <c r="C8" s="137">
        <v>5190002000</v>
      </c>
      <c r="D8" s="137" t="s">
        <v>33</v>
      </c>
      <c r="E8" s="137">
        <v>0</v>
      </c>
      <c r="F8" s="137" t="s">
        <v>77</v>
      </c>
      <c r="G8" s="102">
        <v>45665</v>
      </c>
      <c r="H8" s="137" t="s">
        <v>78</v>
      </c>
      <c r="I8" s="137" t="s">
        <v>2458</v>
      </c>
      <c r="J8" s="137"/>
      <c r="K8" s="170" t="s">
        <v>2459</v>
      </c>
      <c r="L8" s="170">
        <v>241211308705</v>
      </c>
      <c r="M8" s="170" t="s">
        <v>2460</v>
      </c>
      <c r="N8" s="137"/>
      <c r="O8" s="137"/>
      <c r="Q8" s="3">
        <f t="shared" ref="Q8:Q21" si="0">ABS(E8)</f>
        <v>0</v>
      </c>
    </row>
    <row r="9" spans="1:32" ht="43.5" x14ac:dyDescent="0.35">
      <c r="A9" s="137" t="s">
        <v>0</v>
      </c>
      <c r="B9" s="137" t="s">
        <v>477</v>
      </c>
      <c r="C9" s="137">
        <v>5190002000</v>
      </c>
      <c r="D9" s="137" t="s">
        <v>33</v>
      </c>
      <c r="E9" s="137">
        <v>7928.87</v>
      </c>
      <c r="F9" s="137" t="s">
        <v>77</v>
      </c>
      <c r="G9" s="102">
        <v>45691</v>
      </c>
      <c r="H9" s="137" t="s">
        <v>78</v>
      </c>
      <c r="I9" s="137" t="s">
        <v>2461</v>
      </c>
      <c r="J9" s="137"/>
      <c r="K9" s="170" t="s">
        <v>2462</v>
      </c>
      <c r="L9" s="170">
        <v>339056</v>
      </c>
      <c r="M9" s="170" t="s">
        <v>2463</v>
      </c>
      <c r="N9" s="137"/>
      <c r="O9" s="137"/>
      <c r="Q9" s="3">
        <f t="shared" si="0"/>
        <v>7928.87</v>
      </c>
    </row>
    <row r="10" spans="1:32" x14ac:dyDescent="0.35">
      <c r="A10" s="137" t="s">
        <v>27</v>
      </c>
      <c r="B10" s="137" t="s">
        <v>328</v>
      </c>
      <c r="C10" s="137">
        <v>5190002000</v>
      </c>
      <c r="D10" s="137" t="s">
        <v>33</v>
      </c>
      <c r="E10" s="137">
        <v>225</v>
      </c>
      <c r="F10" s="137" t="s">
        <v>77</v>
      </c>
      <c r="G10" s="102">
        <v>45671</v>
      </c>
      <c r="H10" s="137" t="s">
        <v>2464</v>
      </c>
      <c r="I10" s="137" t="s">
        <v>2465</v>
      </c>
      <c r="J10" s="137"/>
      <c r="K10" s="170"/>
      <c r="L10" s="170"/>
      <c r="M10" s="170"/>
      <c r="N10" s="137"/>
      <c r="O10" s="137"/>
      <c r="Q10" s="3">
        <f t="shared" si="0"/>
        <v>225</v>
      </c>
    </row>
    <row r="11" spans="1:32" x14ac:dyDescent="0.35">
      <c r="A11" s="137" t="s">
        <v>27</v>
      </c>
      <c r="B11" s="137" t="s">
        <v>328</v>
      </c>
      <c r="C11" s="137">
        <v>5190002000</v>
      </c>
      <c r="D11" s="137" t="s">
        <v>33</v>
      </c>
      <c r="E11" s="137">
        <v>210</v>
      </c>
      <c r="F11" s="137" t="s">
        <v>77</v>
      </c>
      <c r="G11" s="102">
        <v>45671</v>
      </c>
      <c r="H11" s="137" t="s">
        <v>2464</v>
      </c>
      <c r="I11" s="137" t="s">
        <v>2466</v>
      </c>
      <c r="J11" s="137"/>
      <c r="K11" s="170"/>
      <c r="L11" s="170"/>
      <c r="M11" s="170"/>
      <c r="N11" s="137"/>
      <c r="O11" s="137"/>
      <c r="Q11" s="3">
        <f t="shared" si="0"/>
        <v>210</v>
      </c>
    </row>
    <row r="12" spans="1:32" x14ac:dyDescent="0.35">
      <c r="A12" s="137" t="s">
        <v>27</v>
      </c>
      <c r="B12" s="137" t="s">
        <v>328</v>
      </c>
      <c r="C12" s="137">
        <v>5190002000</v>
      </c>
      <c r="D12" s="137" t="s">
        <v>33</v>
      </c>
      <c r="E12" s="137">
        <v>50</v>
      </c>
      <c r="F12" s="137" t="s">
        <v>77</v>
      </c>
      <c r="G12" s="102">
        <v>45671</v>
      </c>
      <c r="H12" s="137" t="s">
        <v>2464</v>
      </c>
      <c r="I12" s="137" t="s">
        <v>2467</v>
      </c>
      <c r="J12" s="137"/>
      <c r="K12" s="170"/>
      <c r="L12" s="170"/>
      <c r="M12" s="170"/>
      <c r="Q12" s="3">
        <f t="shared" si="0"/>
        <v>50</v>
      </c>
    </row>
    <row r="13" spans="1:32" x14ac:dyDescent="0.35">
      <c r="A13" s="137" t="s">
        <v>27</v>
      </c>
      <c r="B13" s="137" t="s">
        <v>328</v>
      </c>
      <c r="C13" s="137">
        <v>5190002000</v>
      </c>
      <c r="D13" s="137" t="s">
        <v>33</v>
      </c>
      <c r="E13" s="137">
        <v>100</v>
      </c>
      <c r="F13" s="137" t="s">
        <v>77</v>
      </c>
      <c r="G13" s="102">
        <v>45671</v>
      </c>
      <c r="H13" s="137" t="s">
        <v>2464</v>
      </c>
      <c r="I13" s="137" t="s">
        <v>2468</v>
      </c>
      <c r="J13" s="137"/>
      <c r="K13" s="170"/>
      <c r="L13" s="170"/>
      <c r="M13" s="170"/>
      <c r="N13" s="137"/>
      <c r="O13" s="137"/>
      <c r="Q13" s="3">
        <f t="shared" si="0"/>
        <v>100</v>
      </c>
    </row>
    <row r="14" spans="1:32" x14ac:dyDescent="0.35">
      <c r="A14" s="137" t="s">
        <v>27</v>
      </c>
      <c r="B14" s="137" t="s">
        <v>328</v>
      </c>
      <c r="C14" s="137">
        <v>5190002000</v>
      </c>
      <c r="D14" s="137" t="s">
        <v>33</v>
      </c>
      <c r="E14" s="137">
        <v>225</v>
      </c>
      <c r="F14" s="137" t="s">
        <v>77</v>
      </c>
      <c r="G14" s="102">
        <v>45702</v>
      </c>
      <c r="H14" s="137" t="s">
        <v>2469</v>
      </c>
      <c r="I14" s="137" t="s">
        <v>2470</v>
      </c>
      <c r="J14" s="137"/>
      <c r="K14" s="170"/>
      <c r="L14" s="170"/>
      <c r="M14" s="170"/>
      <c r="Q14" s="3">
        <f t="shared" si="0"/>
        <v>225</v>
      </c>
    </row>
    <row r="15" spans="1:32" x14ac:dyDescent="0.35">
      <c r="A15" s="137" t="s">
        <v>27</v>
      </c>
      <c r="B15" s="137" t="s">
        <v>328</v>
      </c>
      <c r="C15" s="137">
        <v>5190002000</v>
      </c>
      <c r="D15" s="137" t="s">
        <v>33</v>
      </c>
      <c r="E15" s="137">
        <v>210</v>
      </c>
      <c r="F15" s="137" t="s">
        <v>77</v>
      </c>
      <c r="G15" s="102">
        <v>45702</v>
      </c>
      <c r="H15" s="137" t="s">
        <v>2469</v>
      </c>
      <c r="I15" s="137" t="s">
        <v>2471</v>
      </c>
      <c r="J15" s="137"/>
      <c r="K15" s="170"/>
      <c r="L15" s="170"/>
      <c r="M15" s="170"/>
      <c r="N15" s="137"/>
      <c r="O15" s="137"/>
      <c r="Q15" s="3">
        <f t="shared" si="0"/>
        <v>210</v>
      </c>
    </row>
    <row r="16" spans="1:32" x14ac:dyDescent="0.35">
      <c r="A16" s="137" t="s">
        <v>27</v>
      </c>
      <c r="B16" s="137" t="s">
        <v>328</v>
      </c>
      <c r="C16" s="137">
        <v>5190002000</v>
      </c>
      <c r="D16" s="137" t="s">
        <v>33</v>
      </c>
      <c r="E16" s="137">
        <v>50</v>
      </c>
      <c r="F16" s="137" t="s">
        <v>77</v>
      </c>
      <c r="G16" s="102">
        <v>45702</v>
      </c>
      <c r="H16" s="137" t="s">
        <v>2469</v>
      </c>
      <c r="I16" s="137" t="s">
        <v>2472</v>
      </c>
      <c r="J16" s="137"/>
      <c r="K16" s="170"/>
      <c r="L16" s="170"/>
      <c r="M16" s="170"/>
      <c r="N16" s="137"/>
      <c r="O16" s="137"/>
      <c r="Q16" s="3">
        <f t="shared" si="0"/>
        <v>50</v>
      </c>
    </row>
    <row r="17" spans="1:17" x14ac:dyDescent="0.35">
      <c r="A17" s="137" t="s">
        <v>27</v>
      </c>
      <c r="B17" s="137" t="s">
        <v>328</v>
      </c>
      <c r="C17" s="137">
        <v>5190002000</v>
      </c>
      <c r="D17" s="137" t="s">
        <v>33</v>
      </c>
      <c r="E17" s="137">
        <v>100</v>
      </c>
      <c r="F17" s="137" t="s">
        <v>77</v>
      </c>
      <c r="G17" s="102">
        <v>45702</v>
      </c>
      <c r="H17" s="137" t="s">
        <v>2469</v>
      </c>
      <c r="I17" s="137" t="s">
        <v>2473</v>
      </c>
      <c r="J17" s="137"/>
      <c r="K17" s="170"/>
      <c r="L17" s="170"/>
      <c r="M17" s="170"/>
      <c r="N17" s="137"/>
      <c r="O17" s="137"/>
      <c r="Q17" s="3">
        <f t="shared" si="0"/>
        <v>100</v>
      </c>
    </row>
    <row r="18" spans="1:17" x14ac:dyDescent="0.35">
      <c r="A18" s="137" t="s">
        <v>27</v>
      </c>
      <c r="B18" s="137" t="s">
        <v>328</v>
      </c>
      <c r="C18" s="137">
        <v>5190002000</v>
      </c>
      <c r="D18" s="137" t="s">
        <v>33</v>
      </c>
      <c r="E18" s="137">
        <v>270</v>
      </c>
      <c r="F18" s="137" t="s">
        <v>77</v>
      </c>
      <c r="G18" s="102">
        <v>45730</v>
      </c>
      <c r="H18" s="137" t="s">
        <v>2474</v>
      </c>
      <c r="I18" s="137" t="s">
        <v>2475</v>
      </c>
      <c r="J18" s="137"/>
      <c r="K18" s="170"/>
      <c r="L18" s="170"/>
      <c r="M18" s="170"/>
      <c r="N18" s="137"/>
      <c r="O18" s="137"/>
      <c r="Q18" s="3">
        <f t="shared" si="0"/>
        <v>270</v>
      </c>
    </row>
    <row r="19" spans="1:17" x14ac:dyDescent="0.35">
      <c r="A19" s="137" t="s">
        <v>27</v>
      </c>
      <c r="B19" s="137" t="s">
        <v>328</v>
      </c>
      <c r="C19" s="137">
        <v>5190002000</v>
      </c>
      <c r="D19" s="137" t="s">
        <v>33</v>
      </c>
      <c r="E19" s="137">
        <v>240</v>
      </c>
      <c r="F19" s="137" t="s">
        <v>77</v>
      </c>
      <c r="G19" s="102">
        <v>45730</v>
      </c>
      <c r="H19" s="137" t="s">
        <v>2474</v>
      </c>
      <c r="I19" s="137" t="s">
        <v>2476</v>
      </c>
      <c r="J19" s="137"/>
      <c r="K19" s="170"/>
      <c r="L19" s="170"/>
      <c r="M19" s="170"/>
      <c r="N19" s="137"/>
      <c r="O19" s="137"/>
      <c r="Q19" s="3">
        <f t="shared" si="0"/>
        <v>240</v>
      </c>
    </row>
    <row r="20" spans="1:17" x14ac:dyDescent="0.35">
      <c r="A20" s="137" t="s">
        <v>27</v>
      </c>
      <c r="B20" s="137" t="s">
        <v>328</v>
      </c>
      <c r="C20" s="137">
        <v>5190002000</v>
      </c>
      <c r="D20" s="137" t="s">
        <v>33</v>
      </c>
      <c r="E20" s="137">
        <v>95</v>
      </c>
      <c r="F20" s="137" t="s">
        <v>77</v>
      </c>
      <c r="G20" s="102">
        <v>45730</v>
      </c>
      <c r="H20" s="137" t="s">
        <v>2474</v>
      </c>
      <c r="I20" s="137" t="s">
        <v>2477</v>
      </c>
      <c r="J20" s="137"/>
      <c r="K20" s="170"/>
      <c r="L20" s="170"/>
      <c r="M20" s="170"/>
      <c r="N20" s="137"/>
      <c r="O20" s="137"/>
      <c r="Q20" s="3">
        <f t="shared" si="0"/>
        <v>95</v>
      </c>
    </row>
    <row r="21" spans="1:17" x14ac:dyDescent="0.35">
      <c r="A21" s="137" t="s">
        <v>27</v>
      </c>
      <c r="B21" s="137" t="s">
        <v>328</v>
      </c>
      <c r="C21" s="137">
        <v>5190002000</v>
      </c>
      <c r="D21" s="137" t="s">
        <v>33</v>
      </c>
      <c r="E21" s="137">
        <v>145</v>
      </c>
      <c r="F21" s="137" t="s">
        <v>77</v>
      </c>
      <c r="G21" s="102">
        <v>45730</v>
      </c>
      <c r="H21" s="137" t="s">
        <v>2474</v>
      </c>
      <c r="I21" s="137" t="s">
        <v>2478</v>
      </c>
      <c r="J21" s="137"/>
      <c r="K21" s="170"/>
      <c r="L21" s="170"/>
      <c r="M21" s="170"/>
      <c r="Q21" s="3">
        <f t="shared" si="0"/>
        <v>145</v>
      </c>
    </row>
    <row r="22" spans="1:17" x14ac:dyDescent="0.35">
      <c r="A22" s="137"/>
      <c r="B22" s="137"/>
      <c r="C22" s="137"/>
      <c r="D22" s="137"/>
      <c r="E22" s="137"/>
      <c r="F22" s="137"/>
      <c r="G22" s="102"/>
      <c r="H22" s="137"/>
      <c r="I22" s="137"/>
      <c r="J22" s="137"/>
      <c r="K22" s="170"/>
      <c r="L22" s="170"/>
      <c r="M22" s="170"/>
      <c r="N22" s="137"/>
      <c r="O22" s="137"/>
    </row>
    <row r="23" spans="1:17" x14ac:dyDescent="0.35">
      <c r="A23" s="137"/>
      <c r="B23" s="137"/>
      <c r="C23" s="137"/>
      <c r="D23" s="137"/>
      <c r="E23" s="137"/>
      <c r="F23" s="137"/>
      <c r="G23" s="102"/>
      <c r="H23" s="137"/>
      <c r="I23" s="137"/>
      <c r="J23" s="137"/>
      <c r="K23" s="170"/>
      <c r="L23" s="170"/>
      <c r="M23" s="170"/>
      <c r="N23" s="137"/>
      <c r="O23" s="137"/>
    </row>
    <row r="24" spans="1:17" x14ac:dyDescent="0.35">
      <c r="A24" s="137"/>
      <c r="B24" s="137"/>
      <c r="C24" s="137"/>
      <c r="D24" s="137"/>
      <c r="E24" s="137"/>
      <c r="F24" s="137"/>
      <c r="G24" s="102"/>
      <c r="H24" s="137"/>
      <c r="I24" s="137"/>
      <c r="J24" s="137"/>
      <c r="K24" s="170"/>
      <c r="L24" s="170"/>
      <c r="M24" s="170"/>
      <c r="N24" s="137"/>
      <c r="O24" s="137"/>
    </row>
    <row r="25" spans="1:17" x14ac:dyDescent="0.35">
      <c r="A25" s="137"/>
      <c r="B25" s="137"/>
      <c r="C25" s="137"/>
      <c r="D25" s="137"/>
      <c r="E25" s="137"/>
      <c r="F25" s="137"/>
      <c r="G25" s="102"/>
      <c r="H25" s="137"/>
      <c r="I25" s="137"/>
      <c r="J25" s="137"/>
      <c r="K25" s="170"/>
      <c r="L25" s="170"/>
      <c r="M25" s="170"/>
      <c r="N25" s="137"/>
      <c r="O25" s="137"/>
    </row>
    <row r="26" spans="1:17" x14ac:dyDescent="0.35">
      <c r="A26" s="137"/>
      <c r="B26" s="137"/>
      <c r="C26" s="137"/>
      <c r="D26" s="137"/>
      <c r="E26" s="137"/>
      <c r="F26" s="137"/>
      <c r="G26" s="102"/>
      <c r="H26" s="137"/>
      <c r="I26" s="137"/>
      <c r="J26" s="137"/>
      <c r="K26" s="170"/>
      <c r="L26" s="170"/>
      <c r="M26" s="170"/>
      <c r="N26" s="137"/>
      <c r="O26" s="137"/>
    </row>
    <row r="27" spans="1:17" x14ac:dyDescent="0.35">
      <c r="A27" s="137"/>
      <c r="B27" s="137"/>
      <c r="C27" s="137"/>
      <c r="D27" s="137"/>
      <c r="E27" s="137"/>
      <c r="F27" s="137"/>
      <c r="G27" s="102"/>
      <c r="H27" s="137"/>
      <c r="I27" s="137"/>
      <c r="J27" s="137"/>
      <c r="K27" s="170"/>
      <c r="L27" s="170"/>
      <c r="M27" s="170"/>
      <c r="N27" s="137"/>
      <c r="O27" s="137"/>
    </row>
    <row r="28" spans="1:17" x14ac:dyDescent="0.35">
      <c r="A28" s="137"/>
      <c r="B28" s="137"/>
      <c r="C28" s="137"/>
      <c r="D28" s="137"/>
      <c r="E28" s="137"/>
      <c r="F28" s="137"/>
      <c r="G28" s="102"/>
      <c r="H28" s="137"/>
      <c r="I28" s="137"/>
      <c r="J28" s="137"/>
      <c r="K28" s="170"/>
      <c r="L28" s="170"/>
      <c r="M28" s="170"/>
      <c r="N28" s="137"/>
      <c r="O28" s="137"/>
    </row>
    <row r="29" spans="1:17" x14ac:dyDescent="0.35">
      <c r="A29" s="137"/>
      <c r="B29" s="137"/>
      <c r="C29" s="137"/>
      <c r="D29" s="137"/>
      <c r="E29" s="137"/>
      <c r="F29" s="137"/>
      <c r="G29" s="102"/>
      <c r="H29" s="137"/>
      <c r="I29" s="137"/>
      <c r="J29" s="137"/>
      <c r="K29" s="170"/>
      <c r="L29" s="170"/>
      <c r="M29" s="170"/>
      <c r="N29" s="137"/>
      <c r="O29" s="137"/>
    </row>
    <row r="30" spans="1:17" x14ac:dyDescent="0.35">
      <c r="A30" s="137"/>
      <c r="B30" s="137"/>
      <c r="C30" s="137"/>
      <c r="D30" s="137"/>
      <c r="E30" s="137"/>
      <c r="F30" s="137"/>
      <c r="G30" s="102"/>
      <c r="H30" s="137"/>
      <c r="I30" s="137"/>
      <c r="J30" s="137"/>
      <c r="K30" s="170"/>
      <c r="L30" s="170"/>
      <c r="M30" s="170"/>
      <c r="N30" s="137"/>
      <c r="O30" s="137"/>
    </row>
    <row r="31" spans="1:17" x14ac:dyDescent="0.35">
      <c r="A31" s="137"/>
      <c r="B31" s="137"/>
      <c r="C31" s="137"/>
      <c r="D31" s="137"/>
      <c r="E31" s="137"/>
      <c r="F31" s="137"/>
      <c r="G31" s="102"/>
      <c r="H31" s="137"/>
      <c r="I31" s="137"/>
      <c r="J31" s="137"/>
      <c r="K31" s="170"/>
      <c r="L31" s="170"/>
      <c r="M31" s="170"/>
      <c r="N31" s="137"/>
      <c r="O31" s="137"/>
    </row>
    <row r="32" spans="1:17" x14ac:dyDescent="0.35">
      <c r="A32" s="137"/>
      <c r="B32" s="137"/>
      <c r="C32" s="137"/>
      <c r="D32" s="137"/>
      <c r="E32" s="137"/>
      <c r="F32" s="137"/>
      <c r="G32" s="102"/>
      <c r="H32" s="137"/>
      <c r="I32" s="137"/>
      <c r="J32" s="137"/>
      <c r="K32" s="170"/>
      <c r="L32" s="170"/>
      <c r="M32" s="170"/>
      <c r="N32" s="137"/>
      <c r="O32" s="137"/>
    </row>
    <row r="33" spans="1:30" x14ac:dyDescent="0.35">
      <c r="A33" s="137"/>
      <c r="B33" s="137"/>
      <c r="C33" s="137"/>
      <c r="D33" s="137"/>
      <c r="E33" s="137"/>
      <c r="F33" s="137"/>
      <c r="G33" s="102"/>
      <c r="H33" s="137"/>
      <c r="I33" s="137"/>
      <c r="J33" s="137"/>
      <c r="K33" s="170"/>
      <c r="L33" s="170"/>
      <c r="M33" s="170"/>
      <c r="N33" s="137"/>
      <c r="O33" s="137"/>
    </row>
    <row r="34" spans="1:30" x14ac:dyDescent="0.35">
      <c r="A34" s="137"/>
      <c r="B34" s="137"/>
      <c r="C34" s="137"/>
      <c r="D34" s="137"/>
      <c r="E34" s="137"/>
      <c r="F34" s="137"/>
      <c r="G34" s="102"/>
      <c r="H34" s="137"/>
      <c r="I34" s="137"/>
      <c r="J34" s="137"/>
      <c r="K34" s="170"/>
      <c r="L34" s="170"/>
      <c r="M34" s="170"/>
      <c r="N34" s="137"/>
      <c r="O34" s="137"/>
    </row>
    <row r="35" spans="1:30" x14ac:dyDescent="0.35">
      <c r="A35" s="137"/>
      <c r="B35" s="137"/>
      <c r="C35" s="137"/>
      <c r="D35" s="137"/>
      <c r="E35" s="137"/>
      <c r="F35" s="137"/>
      <c r="G35" s="102"/>
      <c r="H35" s="137"/>
      <c r="I35" s="137"/>
      <c r="J35" s="137"/>
      <c r="K35" s="170"/>
      <c r="L35" s="170"/>
      <c r="M35" s="170"/>
      <c r="N35" s="137"/>
      <c r="O35" s="137"/>
    </row>
    <row r="36" spans="1:30" x14ac:dyDescent="0.35">
      <c r="A36" s="137"/>
      <c r="B36" s="137"/>
      <c r="C36" s="137"/>
      <c r="D36" s="137"/>
      <c r="E36" s="137"/>
      <c r="F36" s="137"/>
      <c r="G36" s="102"/>
      <c r="H36" s="137"/>
      <c r="I36" s="137"/>
      <c r="J36" s="137"/>
      <c r="K36" s="170"/>
      <c r="L36" s="170"/>
      <c r="M36" s="170"/>
      <c r="N36" s="137"/>
      <c r="O36" s="137"/>
      <c r="AD36" s="26"/>
    </row>
    <row r="37" spans="1:30" x14ac:dyDescent="0.35">
      <c r="A37" s="137"/>
      <c r="B37" s="137"/>
      <c r="C37" s="137"/>
      <c r="D37" s="137"/>
      <c r="E37" s="137"/>
      <c r="F37" s="137"/>
      <c r="G37" s="102"/>
      <c r="H37" s="137"/>
      <c r="I37" s="137"/>
      <c r="J37" s="137"/>
      <c r="K37" s="170"/>
      <c r="L37" s="170"/>
      <c r="M37" s="170"/>
      <c r="N37" s="31"/>
      <c r="O37" s="31"/>
    </row>
    <row r="38" spans="1:30" x14ac:dyDescent="0.35">
      <c r="A38" s="137"/>
      <c r="B38" s="137"/>
      <c r="C38" s="137"/>
      <c r="D38" s="137"/>
      <c r="E38" s="137"/>
      <c r="F38" s="137"/>
      <c r="G38" s="102"/>
      <c r="H38" s="137"/>
      <c r="I38" s="137"/>
      <c r="J38" s="137"/>
      <c r="K38" s="170"/>
      <c r="L38" s="170"/>
      <c r="M38" s="170"/>
      <c r="N38" s="137"/>
      <c r="O38" s="137"/>
    </row>
    <row r="39" spans="1:30" x14ac:dyDescent="0.35">
      <c r="A39" s="137"/>
      <c r="B39" s="137"/>
      <c r="C39" s="137"/>
      <c r="D39" s="137"/>
      <c r="E39" s="137"/>
      <c r="F39" s="137"/>
      <c r="G39" s="102"/>
      <c r="H39" s="137"/>
      <c r="I39" s="137"/>
      <c r="J39" s="137"/>
      <c r="K39" s="170"/>
      <c r="L39" s="170"/>
      <c r="M39" s="170"/>
    </row>
    <row r="40" spans="1:30" x14ac:dyDescent="0.35">
      <c r="A40" s="137"/>
      <c r="B40" s="137"/>
      <c r="C40" s="137"/>
      <c r="D40" s="137"/>
      <c r="E40" s="137"/>
      <c r="F40" s="137"/>
      <c r="G40" s="102"/>
      <c r="H40" s="137"/>
      <c r="I40" s="137"/>
      <c r="J40" s="137"/>
      <c r="K40" s="170"/>
      <c r="L40" s="170"/>
      <c r="M40" s="170"/>
      <c r="N40" s="137"/>
      <c r="O40" s="137"/>
    </row>
    <row r="41" spans="1:30" x14ac:dyDescent="0.35">
      <c r="A41" s="137"/>
      <c r="B41" s="137"/>
      <c r="C41" s="137"/>
      <c r="D41" s="137"/>
      <c r="E41" s="137"/>
      <c r="F41" s="137"/>
      <c r="G41" s="102"/>
      <c r="H41" s="137"/>
      <c r="I41" s="137"/>
      <c r="J41" s="137"/>
      <c r="K41" s="170"/>
      <c r="L41" s="170"/>
      <c r="M41" s="170"/>
      <c r="N41" s="137"/>
      <c r="O41" s="137"/>
    </row>
    <row r="42" spans="1:30" x14ac:dyDescent="0.35">
      <c r="A42" s="137"/>
      <c r="B42" s="137"/>
      <c r="C42" s="137"/>
      <c r="D42" s="137"/>
      <c r="E42" s="137"/>
      <c r="F42" s="137"/>
      <c r="G42" s="102"/>
      <c r="H42" s="137"/>
      <c r="I42" s="137"/>
      <c r="J42" s="137"/>
      <c r="K42" s="170"/>
      <c r="L42" s="170"/>
      <c r="M42" s="170"/>
      <c r="N42" s="137"/>
      <c r="O42" s="137"/>
    </row>
    <row r="43" spans="1:30" x14ac:dyDescent="0.35">
      <c r="A43" s="137"/>
      <c r="B43" s="137"/>
      <c r="C43" s="137"/>
      <c r="D43" s="137"/>
      <c r="E43" s="137"/>
      <c r="F43" s="137"/>
      <c r="G43" s="102"/>
      <c r="H43" s="137"/>
      <c r="I43" s="137"/>
      <c r="J43" s="137"/>
      <c r="K43" s="170"/>
      <c r="L43" s="170"/>
      <c r="M43" s="170"/>
      <c r="N43" s="137"/>
      <c r="O43" s="137"/>
    </row>
    <row r="44" spans="1:30" x14ac:dyDescent="0.35">
      <c r="A44" s="137"/>
      <c r="B44" s="137"/>
      <c r="C44" s="137"/>
      <c r="D44" s="137"/>
      <c r="E44" s="137"/>
      <c r="F44" s="137"/>
      <c r="G44" s="102"/>
      <c r="H44" s="137"/>
      <c r="I44" s="137"/>
      <c r="J44" s="137"/>
      <c r="K44" s="170"/>
      <c r="L44" s="170"/>
      <c r="M44" s="170"/>
      <c r="N44" s="137"/>
      <c r="O44" s="137"/>
    </row>
    <row r="45" spans="1:30" x14ac:dyDescent="0.35">
      <c r="A45" s="137"/>
      <c r="B45" s="137"/>
      <c r="C45" s="137"/>
      <c r="D45" s="137"/>
      <c r="E45" s="137"/>
      <c r="F45" s="137"/>
      <c r="G45" s="102"/>
      <c r="H45" s="137"/>
      <c r="I45" s="137"/>
      <c r="J45" s="137"/>
      <c r="K45" s="170"/>
      <c r="L45" s="170"/>
      <c r="M45" s="170"/>
      <c r="N45" s="137"/>
      <c r="O45" s="137"/>
    </row>
    <row r="46" spans="1:30" x14ac:dyDescent="0.35">
      <c r="A46" s="137"/>
      <c r="B46" s="137"/>
      <c r="C46" s="137"/>
      <c r="D46" s="137"/>
      <c r="E46" s="137"/>
      <c r="F46" s="137"/>
      <c r="G46" s="102"/>
      <c r="H46" s="137"/>
      <c r="I46" s="137"/>
      <c r="J46" s="137"/>
      <c r="K46" s="170"/>
      <c r="L46" s="170"/>
      <c r="M46" s="170"/>
      <c r="N46" s="137"/>
      <c r="O46" s="137"/>
    </row>
    <row r="47" spans="1:30" x14ac:dyDescent="0.35">
      <c r="A47" s="137"/>
      <c r="B47" s="137"/>
      <c r="C47" s="137"/>
      <c r="D47" s="137"/>
      <c r="E47" s="137"/>
      <c r="F47" s="137"/>
      <c r="G47" s="102"/>
      <c r="H47" s="137"/>
      <c r="I47" s="137"/>
      <c r="J47" s="137"/>
      <c r="K47" s="170"/>
      <c r="L47" s="170"/>
      <c r="M47" s="170"/>
      <c r="N47" s="137"/>
      <c r="O47" s="137"/>
    </row>
    <row r="48" spans="1:30" x14ac:dyDescent="0.35">
      <c r="A48" s="137"/>
      <c r="B48" s="137"/>
      <c r="C48" s="137"/>
      <c r="D48" s="137"/>
      <c r="E48" s="137"/>
      <c r="F48" s="137"/>
      <c r="G48" s="102"/>
      <c r="H48" s="137"/>
      <c r="I48" s="137"/>
      <c r="J48" s="137"/>
      <c r="K48" s="170"/>
      <c r="L48" s="170"/>
      <c r="M48" s="170"/>
      <c r="N48" s="137"/>
      <c r="O48" s="137"/>
    </row>
    <row r="49" spans="1:30" x14ac:dyDescent="0.35">
      <c r="A49" s="137"/>
      <c r="B49" s="137"/>
      <c r="C49" s="137"/>
      <c r="D49" s="137"/>
      <c r="E49" s="137"/>
      <c r="F49" s="137"/>
      <c r="G49" s="102"/>
      <c r="H49" s="137"/>
      <c r="I49" s="137"/>
      <c r="J49" s="137"/>
      <c r="K49" s="170"/>
      <c r="L49" s="170"/>
      <c r="M49" s="170"/>
      <c r="N49" s="137"/>
      <c r="O49" s="137"/>
    </row>
    <row r="50" spans="1:30" x14ac:dyDescent="0.35">
      <c r="A50" s="137"/>
      <c r="B50" s="137"/>
      <c r="C50" s="137"/>
      <c r="D50" s="137"/>
      <c r="E50" s="137"/>
      <c r="F50" s="137"/>
      <c r="G50" s="102"/>
      <c r="H50" s="137"/>
      <c r="I50" s="137"/>
      <c r="J50" s="137"/>
      <c r="K50" s="170"/>
      <c r="L50" s="170"/>
      <c r="M50" s="170"/>
      <c r="N50" s="137"/>
      <c r="O50" s="137"/>
    </row>
    <row r="51" spans="1:30" x14ac:dyDescent="0.35">
      <c r="A51" s="137"/>
      <c r="B51" s="137"/>
      <c r="C51" s="137"/>
      <c r="D51" s="137"/>
      <c r="E51" s="137"/>
      <c r="F51" s="137"/>
      <c r="G51" s="102"/>
      <c r="H51" s="137"/>
      <c r="I51" s="137"/>
      <c r="J51" s="137"/>
      <c r="K51" s="170"/>
      <c r="L51" s="170"/>
      <c r="M51" s="170"/>
      <c r="N51" s="137"/>
      <c r="O51" s="137"/>
      <c r="AD51" s="26"/>
    </row>
    <row r="52" spans="1:30" x14ac:dyDescent="0.35">
      <c r="A52" s="137"/>
      <c r="B52" s="137"/>
      <c r="C52" s="137"/>
      <c r="D52" s="137"/>
      <c r="E52" s="137"/>
      <c r="F52" s="137"/>
      <c r="G52" s="102"/>
      <c r="H52" s="137"/>
      <c r="I52" s="137"/>
      <c r="J52" s="137"/>
      <c r="K52" s="170"/>
      <c r="L52" s="170"/>
      <c r="M52" s="170"/>
      <c r="N52" s="137"/>
      <c r="O52" s="137"/>
    </row>
    <row r="53" spans="1:30" x14ac:dyDescent="0.35">
      <c r="A53" s="137"/>
      <c r="B53" s="137"/>
      <c r="C53" s="137"/>
      <c r="D53" s="137"/>
      <c r="E53" s="137"/>
      <c r="F53" s="137"/>
      <c r="G53" s="102"/>
      <c r="H53" s="137"/>
      <c r="I53" s="137"/>
      <c r="J53" s="137"/>
      <c r="K53" s="170"/>
      <c r="L53" s="170"/>
      <c r="M53" s="170"/>
      <c r="N53" s="137"/>
      <c r="O53" s="137"/>
    </row>
    <row r="54" spans="1:30" x14ac:dyDescent="0.35">
      <c r="A54" s="137"/>
      <c r="B54" s="137"/>
      <c r="C54" s="137"/>
      <c r="D54" s="137"/>
      <c r="E54" s="137"/>
      <c r="F54" s="137"/>
      <c r="G54" s="102"/>
      <c r="H54" s="137"/>
      <c r="I54" s="137"/>
      <c r="J54" s="137"/>
      <c r="K54" s="170"/>
      <c r="L54" s="170"/>
      <c r="M54" s="170"/>
      <c r="N54" s="137"/>
      <c r="O54" s="137"/>
    </row>
    <row r="55" spans="1:30" x14ac:dyDescent="0.35">
      <c r="A55" s="137"/>
      <c r="B55" s="137"/>
      <c r="C55" s="137"/>
      <c r="D55" s="137"/>
      <c r="E55" s="137"/>
      <c r="F55" s="137"/>
      <c r="G55" s="102"/>
      <c r="H55" s="137"/>
      <c r="I55" s="137"/>
      <c r="J55" s="137"/>
      <c r="K55" s="170"/>
      <c r="L55" s="170"/>
      <c r="M55" s="170"/>
      <c r="N55" s="137"/>
      <c r="O55" s="137"/>
    </row>
    <row r="56" spans="1:30" x14ac:dyDescent="0.35">
      <c r="A56" s="137"/>
      <c r="B56" s="137"/>
      <c r="C56" s="137"/>
      <c r="D56" s="137"/>
      <c r="E56" s="137"/>
      <c r="F56" s="137"/>
      <c r="G56" s="102"/>
      <c r="H56" s="137"/>
      <c r="I56" s="137"/>
      <c r="J56" s="137"/>
      <c r="K56" s="170"/>
      <c r="L56" s="170"/>
      <c r="M56" s="170"/>
      <c r="N56" s="137"/>
      <c r="O56" s="137"/>
    </row>
    <row r="57" spans="1:30" x14ac:dyDescent="0.35">
      <c r="A57" s="137"/>
      <c r="B57" s="137"/>
      <c r="C57" s="137"/>
      <c r="D57" s="137"/>
      <c r="E57" s="137"/>
      <c r="F57" s="137"/>
      <c r="G57" s="102"/>
      <c r="H57" s="137"/>
      <c r="I57" s="137"/>
      <c r="J57" s="137"/>
      <c r="K57" s="170"/>
      <c r="L57" s="170"/>
      <c r="M57" s="170"/>
      <c r="N57" s="137"/>
      <c r="O57" s="137"/>
    </row>
    <row r="58" spans="1:30" x14ac:dyDescent="0.35">
      <c r="A58" s="137"/>
      <c r="B58" s="137"/>
      <c r="C58" s="137"/>
      <c r="D58" s="137"/>
      <c r="E58" s="137"/>
      <c r="F58" s="137"/>
      <c r="G58" s="102"/>
      <c r="H58" s="137"/>
      <c r="I58" s="137"/>
      <c r="J58" s="137"/>
      <c r="K58" s="170"/>
      <c r="L58" s="170"/>
      <c r="M58" s="170"/>
      <c r="N58" s="137"/>
      <c r="O58" s="137"/>
    </row>
    <row r="59" spans="1:30" x14ac:dyDescent="0.35">
      <c r="A59" s="137"/>
      <c r="B59" s="137"/>
      <c r="C59" s="137"/>
      <c r="D59" s="137"/>
      <c r="E59" s="137"/>
      <c r="F59" s="137"/>
      <c r="G59" s="102"/>
      <c r="H59" s="137"/>
      <c r="I59" s="137"/>
      <c r="J59" s="137"/>
      <c r="K59" s="170"/>
      <c r="L59" s="170"/>
      <c r="M59" s="170"/>
      <c r="N59" s="137"/>
      <c r="O59" s="137"/>
    </row>
    <row r="60" spans="1:30" x14ac:dyDescent="0.35">
      <c r="A60" s="137"/>
      <c r="B60" s="137"/>
      <c r="C60" s="137"/>
      <c r="D60" s="137"/>
      <c r="E60" s="137"/>
      <c r="F60" s="137"/>
      <c r="G60" s="102"/>
      <c r="H60" s="137"/>
      <c r="I60" s="137"/>
      <c r="J60" s="137"/>
      <c r="K60" s="170"/>
      <c r="L60" s="170"/>
      <c r="M60" s="170"/>
      <c r="N60" s="137"/>
      <c r="O60" s="137"/>
    </row>
    <row r="61" spans="1:30" x14ac:dyDescent="0.35">
      <c r="A61" s="137"/>
      <c r="B61" s="137"/>
      <c r="C61" s="137"/>
      <c r="D61" s="137"/>
      <c r="E61" s="137"/>
      <c r="F61" s="137"/>
      <c r="G61" s="102"/>
      <c r="H61" s="137"/>
      <c r="I61" s="137"/>
      <c r="J61" s="137"/>
      <c r="K61" s="170"/>
      <c r="L61" s="170"/>
      <c r="M61" s="170"/>
      <c r="N61" s="137"/>
      <c r="O61" s="137"/>
    </row>
    <row r="62" spans="1:30" x14ac:dyDescent="0.35">
      <c r="A62" s="137"/>
      <c r="B62" s="137"/>
      <c r="C62" s="137"/>
      <c r="D62" s="137"/>
      <c r="E62" s="137"/>
      <c r="F62" s="137"/>
      <c r="G62" s="102"/>
      <c r="H62" s="137"/>
      <c r="I62" s="137"/>
      <c r="J62" s="137"/>
      <c r="K62" s="170"/>
      <c r="L62" s="170"/>
      <c r="M62" s="170"/>
      <c r="N62" s="137"/>
      <c r="O62" s="137"/>
      <c r="U62" s="3"/>
    </row>
    <row r="63" spans="1:30" x14ac:dyDescent="0.35">
      <c r="A63" s="137"/>
      <c r="B63" s="137"/>
      <c r="C63" s="137"/>
      <c r="D63" s="137"/>
      <c r="E63" s="137"/>
      <c r="F63" s="137"/>
      <c r="G63" s="102"/>
      <c r="H63" s="137"/>
      <c r="I63" s="137"/>
      <c r="J63" s="137"/>
      <c r="K63" s="170"/>
      <c r="L63" s="170"/>
      <c r="M63" s="170"/>
      <c r="N63" s="137"/>
      <c r="O63" s="137"/>
    </row>
    <row r="64" spans="1:30" x14ac:dyDescent="0.35">
      <c r="A64" s="137"/>
      <c r="B64" s="137"/>
      <c r="C64" s="137"/>
      <c r="D64" s="137"/>
      <c r="E64" s="137"/>
      <c r="F64" s="137"/>
      <c r="G64" s="102"/>
      <c r="H64" s="137"/>
      <c r="I64" s="137"/>
      <c r="J64" s="137"/>
      <c r="K64" s="170"/>
      <c r="L64" s="170"/>
      <c r="M64" s="170"/>
      <c r="N64" s="137"/>
      <c r="O64" s="137"/>
    </row>
    <row r="65" spans="1:30" x14ac:dyDescent="0.35">
      <c r="A65" s="137"/>
      <c r="B65" s="137"/>
      <c r="C65" s="137"/>
      <c r="D65" s="137"/>
      <c r="E65" s="137"/>
      <c r="F65" s="137"/>
      <c r="G65" s="102"/>
      <c r="H65" s="137"/>
      <c r="I65" s="137"/>
      <c r="J65" s="137"/>
      <c r="K65" s="170"/>
      <c r="L65" s="170"/>
      <c r="M65" s="170"/>
      <c r="N65" s="137"/>
      <c r="O65" s="137"/>
    </row>
    <row r="66" spans="1:30" x14ac:dyDescent="0.35">
      <c r="A66" s="137"/>
      <c r="B66" s="137"/>
      <c r="C66" s="137"/>
      <c r="D66" s="137"/>
      <c r="E66" s="137"/>
      <c r="F66" s="137"/>
      <c r="G66" s="102"/>
      <c r="H66" s="137"/>
      <c r="I66" s="137"/>
      <c r="J66" s="137"/>
      <c r="K66" s="170"/>
      <c r="L66" s="170"/>
      <c r="M66" s="170"/>
      <c r="N66" s="137"/>
      <c r="O66" s="137"/>
    </row>
    <row r="67" spans="1:30" x14ac:dyDescent="0.35">
      <c r="A67" s="137"/>
      <c r="B67" s="137"/>
      <c r="C67" s="137"/>
      <c r="D67" s="137"/>
      <c r="E67" s="137"/>
      <c r="F67" s="137"/>
      <c r="G67" s="102"/>
      <c r="H67" s="137"/>
      <c r="I67" s="137"/>
      <c r="J67" s="137"/>
      <c r="K67" s="170"/>
      <c r="L67" s="170"/>
      <c r="M67" s="170"/>
      <c r="N67" s="137"/>
      <c r="O67" s="137"/>
    </row>
    <row r="68" spans="1:30" x14ac:dyDescent="0.35">
      <c r="A68" s="137"/>
      <c r="B68" s="137"/>
      <c r="C68" s="137"/>
      <c r="D68" s="137"/>
      <c r="E68" s="137"/>
      <c r="F68" s="137"/>
      <c r="G68" s="102"/>
      <c r="H68" s="137"/>
      <c r="I68" s="137"/>
      <c r="J68" s="137"/>
      <c r="K68" s="170"/>
      <c r="L68" s="170"/>
      <c r="M68" s="170"/>
      <c r="N68" s="137"/>
      <c r="O68" s="137"/>
    </row>
    <row r="69" spans="1:30" x14ac:dyDescent="0.35">
      <c r="A69" s="137"/>
      <c r="B69" s="137"/>
      <c r="C69" s="137"/>
      <c r="D69" s="137"/>
      <c r="E69" s="137"/>
      <c r="F69" s="137"/>
      <c r="G69" s="102"/>
      <c r="H69" s="137"/>
      <c r="I69" s="137"/>
      <c r="J69" s="137"/>
      <c r="K69" s="170"/>
      <c r="L69" s="170"/>
      <c r="M69" s="170"/>
      <c r="N69" s="137"/>
      <c r="O69" s="137"/>
      <c r="AD69" s="26"/>
    </row>
    <row r="70" spans="1:30" x14ac:dyDescent="0.35">
      <c r="A70" s="137"/>
      <c r="B70" s="137"/>
      <c r="C70" s="137"/>
      <c r="D70" s="137"/>
      <c r="E70" s="137"/>
      <c r="F70" s="137"/>
      <c r="G70" s="102"/>
      <c r="H70" s="137"/>
      <c r="I70" s="137"/>
      <c r="J70" s="137"/>
      <c r="K70" s="170"/>
      <c r="L70" s="170"/>
      <c r="M70" s="170"/>
    </row>
    <row r="71" spans="1:30" x14ac:dyDescent="0.35">
      <c r="A71" s="137"/>
      <c r="B71" s="137"/>
      <c r="C71" s="137"/>
      <c r="D71" s="137"/>
      <c r="E71" s="137"/>
      <c r="F71" s="137"/>
      <c r="G71" s="102"/>
      <c r="H71" s="137"/>
      <c r="I71" s="137"/>
      <c r="J71" s="137"/>
      <c r="K71" s="170"/>
      <c r="L71" s="170"/>
      <c r="M71" s="170"/>
      <c r="N71" s="137"/>
      <c r="O71" s="137"/>
    </row>
    <row r="72" spans="1:30" x14ac:dyDescent="0.35">
      <c r="A72" s="137"/>
      <c r="B72" s="137"/>
      <c r="C72" s="137"/>
      <c r="D72" s="137"/>
      <c r="E72" s="137"/>
      <c r="F72" s="137"/>
      <c r="G72" s="102"/>
      <c r="H72" s="137"/>
      <c r="I72" s="137"/>
      <c r="J72" s="137"/>
      <c r="K72" s="170"/>
      <c r="L72" s="170"/>
      <c r="M72" s="170"/>
      <c r="N72" s="137"/>
      <c r="O72" s="137"/>
      <c r="AD72" s="26"/>
    </row>
    <row r="73" spans="1:30" x14ac:dyDescent="0.35">
      <c r="A73" s="137"/>
      <c r="B73" s="137"/>
      <c r="C73" s="137"/>
      <c r="D73" s="137"/>
      <c r="E73" s="137"/>
      <c r="F73" s="137"/>
      <c r="G73" s="102"/>
      <c r="H73" s="137"/>
      <c r="I73" s="137"/>
      <c r="J73" s="137"/>
      <c r="K73" s="170"/>
      <c r="L73" s="170"/>
      <c r="M73" s="170"/>
      <c r="N73" s="137"/>
      <c r="O73" s="137"/>
    </row>
    <row r="74" spans="1:30" x14ac:dyDescent="0.35">
      <c r="A74" s="137"/>
      <c r="B74" s="137"/>
      <c r="C74" s="137"/>
      <c r="D74" s="137"/>
      <c r="E74" s="137"/>
      <c r="F74" s="137"/>
      <c r="G74" s="102"/>
      <c r="H74" s="137"/>
      <c r="I74" s="137"/>
      <c r="J74" s="137"/>
      <c r="K74" s="170"/>
      <c r="L74" s="170"/>
      <c r="M74" s="170"/>
      <c r="N74" s="137"/>
      <c r="O74" s="137"/>
    </row>
    <row r="75" spans="1:30" x14ac:dyDescent="0.35">
      <c r="A75" s="137"/>
      <c r="B75" s="137"/>
      <c r="C75" s="137"/>
      <c r="D75" s="137"/>
      <c r="E75" s="137"/>
      <c r="F75" s="137"/>
      <c r="G75" s="102"/>
      <c r="H75" s="137"/>
      <c r="I75" s="137"/>
      <c r="J75" s="137"/>
      <c r="K75" s="170"/>
      <c r="L75" s="170"/>
      <c r="M75" s="170"/>
    </row>
    <row r="76" spans="1:30" x14ac:dyDescent="0.35">
      <c r="A76" s="137"/>
      <c r="B76" s="137"/>
      <c r="C76" s="137"/>
      <c r="D76" s="137"/>
      <c r="E76" s="137"/>
      <c r="F76" s="137"/>
      <c r="G76" s="102"/>
      <c r="H76" s="137"/>
      <c r="I76" s="137"/>
      <c r="J76" s="137"/>
      <c r="K76" s="170"/>
      <c r="L76" s="170"/>
      <c r="M76" s="170"/>
      <c r="N76" s="137"/>
      <c r="O76" s="137"/>
    </row>
    <row r="77" spans="1:30" x14ac:dyDescent="0.35">
      <c r="A77" s="137"/>
      <c r="B77" s="137"/>
      <c r="C77" s="137"/>
      <c r="D77" s="137"/>
      <c r="E77" s="137"/>
      <c r="F77" s="137"/>
      <c r="G77" s="102"/>
      <c r="H77" s="137"/>
      <c r="I77" s="137"/>
      <c r="J77" s="137"/>
      <c r="K77" s="170"/>
      <c r="L77" s="170"/>
      <c r="M77" s="170"/>
      <c r="N77" s="137"/>
      <c r="O77" s="137"/>
    </row>
    <row r="78" spans="1:30" x14ac:dyDescent="0.35">
      <c r="A78" s="137"/>
      <c r="B78" s="137"/>
      <c r="C78" s="137"/>
      <c r="D78" s="137"/>
      <c r="E78" s="137"/>
      <c r="F78" s="137"/>
      <c r="G78" s="102"/>
      <c r="H78" s="137"/>
      <c r="I78" s="137"/>
      <c r="J78" s="137"/>
      <c r="K78" s="170"/>
      <c r="L78" s="170"/>
      <c r="M78" s="170"/>
      <c r="N78" s="137"/>
      <c r="O78" s="137"/>
    </row>
    <row r="79" spans="1:30" x14ac:dyDescent="0.35">
      <c r="A79" s="137"/>
      <c r="B79" s="137"/>
      <c r="C79" s="137"/>
      <c r="D79" s="137"/>
      <c r="E79" s="137"/>
      <c r="F79" s="137"/>
      <c r="G79" s="102"/>
      <c r="H79" s="137"/>
      <c r="I79" s="137"/>
      <c r="J79" s="137"/>
      <c r="K79" s="170"/>
      <c r="L79" s="170"/>
      <c r="M79" s="170"/>
      <c r="N79" s="137"/>
      <c r="O79" s="137"/>
    </row>
    <row r="80" spans="1:30" x14ac:dyDescent="0.35">
      <c r="A80" s="137"/>
      <c r="B80" s="137"/>
      <c r="C80" s="137"/>
      <c r="D80" s="137"/>
      <c r="E80" s="137"/>
      <c r="F80" s="137"/>
      <c r="G80" s="102"/>
      <c r="H80" s="137"/>
      <c r="I80" s="137"/>
      <c r="J80" s="137"/>
      <c r="K80" s="170"/>
      <c r="L80" s="170"/>
      <c r="M80" s="170"/>
      <c r="N80" s="137"/>
      <c r="O80" s="137"/>
    </row>
    <row r="81" spans="1:21" x14ac:dyDescent="0.35">
      <c r="A81" s="137"/>
      <c r="B81" s="137"/>
      <c r="C81" s="137"/>
      <c r="D81" s="137"/>
      <c r="E81" s="137"/>
      <c r="F81" s="137"/>
      <c r="G81" s="102"/>
      <c r="H81" s="137"/>
      <c r="I81" s="137"/>
      <c r="J81" s="137"/>
      <c r="K81" s="170"/>
      <c r="L81" s="170"/>
      <c r="M81" s="170"/>
      <c r="N81" s="31"/>
      <c r="O81" s="31"/>
    </row>
    <row r="82" spans="1:21" x14ac:dyDescent="0.35">
      <c r="A82" s="137"/>
      <c r="B82" s="137"/>
      <c r="C82" s="137"/>
      <c r="D82" s="137"/>
      <c r="E82" s="137"/>
      <c r="F82" s="137"/>
      <c r="G82" s="102"/>
      <c r="H82" s="137"/>
      <c r="I82" s="137"/>
      <c r="J82" s="137"/>
      <c r="K82" s="170"/>
      <c r="L82" s="170"/>
      <c r="M82" s="170"/>
    </row>
    <row r="83" spans="1:21" x14ac:dyDescent="0.35">
      <c r="A83" s="137"/>
      <c r="B83" s="137"/>
      <c r="C83" s="137"/>
      <c r="D83" s="137"/>
      <c r="E83" s="137"/>
      <c r="F83" s="137"/>
      <c r="G83" s="102"/>
      <c r="H83" s="137"/>
      <c r="I83" s="137"/>
      <c r="J83" s="137"/>
      <c r="K83" s="170"/>
      <c r="L83" s="170"/>
      <c r="M83" s="170"/>
      <c r="N83" s="137"/>
      <c r="O83" s="137"/>
    </row>
    <row r="84" spans="1:21" x14ac:dyDescent="0.35">
      <c r="A84" s="137"/>
      <c r="B84" s="137"/>
      <c r="C84" s="137"/>
      <c r="D84" s="137"/>
      <c r="E84" s="137"/>
      <c r="F84" s="137"/>
      <c r="G84" s="102"/>
      <c r="H84" s="137"/>
      <c r="I84" s="137"/>
      <c r="J84" s="137"/>
      <c r="K84" s="170"/>
      <c r="L84" s="170"/>
      <c r="M84" s="170"/>
      <c r="N84" s="137"/>
      <c r="O84" s="137"/>
    </row>
    <row r="85" spans="1:21" x14ac:dyDescent="0.35">
      <c r="A85" s="137"/>
      <c r="B85" s="137"/>
      <c r="C85" s="137"/>
      <c r="D85" s="137"/>
      <c r="E85" s="137"/>
      <c r="F85" s="137"/>
      <c r="G85" s="102"/>
      <c r="H85" s="137"/>
      <c r="I85" s="137"/>
      <c r="J85" s="137"/>
      <c r="K85" s="170"/>
      <c r="L85" s="170"/>
      <c r="M85" s="170"/>
      <c r="N85" s="137"/>
      <c r="O85" s="137"/>
    </row>
    <row r="86" spans="1:21" x14ac:dyDescent="0.35">
      <c r="A86" s="137"/>
      <c r="B86" s="137"/>
      <c r="C86" s="137"/>
      <c r="D86" s="137"/>
      <c r="E86" s="137"/>
      <c r="F86" s="137"/>
      <c r="G86" s="102"/>
      <c r="H86" s="137"/>
      <c r="I86" s="137"/>
      <c r="J86" s="137"/>
      <c r="K86" s="170"/>
      <c r="L86" s="170"/>
      <c r="M86" s="170"/>
      <c r="N86" s="137"/>
      <c r="O86" s="137"/>
    </row>
    <row r="87" spans="1:21" x14ac:dyDescent="0.35">
      <c r="A87" s="137"/>
      <c r="B87" s="137"/>
      <c r="C87" s="137"/>
      <c r="D87" s="137"/>
      <c r="E87" s="137"/>
      <c r="F87" s="137"/>
      <c r="G87" s="102"/>
      <c r="H87" s="137"/>
      <c r="I87" s="137"/>
      <c r="J87" s="137"/>
      <c r="K87" s="170"/>
      <c r="L87" s="170"/>
      <c r="M87" s="170"/>
      <c r="N87" s="137"/>
      <c r="O87" s="137"/>
    </row>
    <row r="88" spans="1:21" x14ac:dyDescent="0.35">
      <c r="A88" s="137"/>
      <c r="B88" s="137"/>
      <c r="C88" s="137"/>
      <c r="D88" s="137"/>
      <c r="E88" s="137"/>
      <c r="F88" s="137"/>
      <c r="G88" s="102"/>
      <c r="H88" s="137"/>
      <c r="I88" s="137"/>
      <c r="J88" s="137"/>
      <c r="K88" s="170"/>
      <c r="L88" s="170"/>
      <c r="M88" s="170"/>
      <c r="N88" s="137"/>
      <c r="O88" s="137"/>
    </row>
    <row r="89" spans="1:21" x14ac:dyDescent="0.35">
      <c r="A89" s="137"/>
      <c r="B89" s="137"/>
      <c r="C89" s="137"/>
      <c r="D89" s="137"/>
      <c r="E89" s="137"/>
      <c r="F89" s="137"/>
      <c r="G89" s="102"/>
      <c r="H89" s="137"/>
      <c r="I89" s="137"/>
      <c r="J89" s="137"/>
      <c r="K89" s="170"/>
      <c r="L89" s="170"/>
      <c r="M89" s="170"/>
      <c r="N89" s="137"/>
      <c r="O89" s="137"/>
    </row>
    <row r="90" spans="1:21" x14ac:dyDescent="0.35">
      <c r="A90" s="137"/>
      <c r="B90" s="137"/>
      <c r="C90" s="137"/>
      <c r="D90" s="137"/>
      <c r="E90" s="137"/>
      <c r="F90" s="137"/>
      <c r="G90" s="102"/>
      <c r="H90" s="137"/>
      <c r="I90" s="137"/>
      <c r="J90" s="137"/>
      <c r="K90" s="170"/>
      <c r="L90" s="170"/>
      <c r="M90" s="170"/>
      <c r="N90" s="137"/>
      <c r="O90" s="137"/>
    </row>
    <row r="91" spans="1:21" x14ac:dyDescent="0.35">
      <c r="A91" s="137"/>
      <c r="B91" s="137"/>
      <c r="C91" s="137"/>
      <c r="D91" s="137"/>
      <c r="E91" s="137"/>
      <c r="F91" s="137"/>
      <c r="G91" s="102"/>
      <c r="H91" s="137"/>
      <c r="I91" s="137"/>
      <c r="J91" s="137"/>
      <c r="K91" s="170"/>
      <c r="L91" s="170"/>
      <c r="M91" s="170"/>
      <c r="N91" s="137"/>
      <c r="O91" s="137"/>
    </row>
    <row r="92" spans="1:21" x14ac:dyDescent="0.35">
      <c r="A92" s="137"/>
      <c r="B92" s="137"/>
      <c r="C92" s="137"/>
      <c r="D92" s="137"/>
      <c r="E92" s="137"/>
      <c r="F92" s="137"/>
      <c r="G92" s="102"/>
      <c r="H92" s="137"/>
      <c r="I92" s="137"/>
      <c r="J92" s="137"/>
      <c r="K92" s="170"/>
      <c r="L92" s="170"/>
      <c r="M92" s="170"/>
      <c r="N92" s="137"/>
      <c r="O92" s="137"/>
    </row>
    <row r="93" spans="1:21" x14ac:dyDescent="0.35">
      <c r="A93" s="137"/>
      <c r="B93" s="137"/>
      <c r="C93" s="137"/>
      <c r="D93" s="137"/>
      <c r="E93" s="137"/>
      <c r="F93" s="137"/>
      <c r="G93" s="102"/>
      <c r="H93" s="137"/>
      <c r="I93" s="137"/>
      <c r="J93" s="137"/>
      <c r="K93" s="170"/>
      <c r="L93" s="170"/>
      <c r="M93" s="170"/>
      <c r="N93" s="137"/>
      <c r="O93" s="137"/>
    </row>
    <row r="94" spans="1:21" x14ac:dyDescent="0.35">
      <c r="A94" s="137"/>
      <c r="B94" s="137"/>
      <c r="C94" s="137"/>
      <c r="D94" s="137"/>
      <c r="E94" s="137"/>
      <c r="F94" s="137"/>
      <c r="G94" s="102"/>
      <c r="H94" s="137"/>
      <c r="I94" s="137"/>
      <c r="J94" s="137"/>
      <c r="K94" s="170"/>
      <c r="L94" s="170"/>
      <c r="M94" s="170"/>
      <c r="N94" s="137"/>
      <c r="O94" s="137"/>
    </row>
    <row r="95" spans="1:21" x14ac:dyDescent="0.35">
      <c r="A95" s="137"/>
      <c r="B95" s="137"/>
      <c r="C95" s="137"/>
      <c r="D95" s="137"/>
      <c r="E95" s="137"/>
      <c r="F95" s="137"/>
      <c r="G95" s="102"/>
      <c r="H95" s="137"/>
      <c r="I95" s="137"/>
      <c r="J95" s="137"/>
      <c r="K95" s="170"/>
      <c r="L95" s="170"/>
      <c r="M95" s="170"/>
      <c r="N95" s="137"/>
      <c r="O95" s="137"/>
      <c r="U95" s="3"/>
    </row>
    <row r="96" spans="1:21" x14ac:dyDescent="0.35">
      <c r="A96" s="137"/>
      <c r="B96" s="137"/>
      <c r="C96" s="137"/>
      <c r="D96" s="137"/>
      <c r="E96" s="137"/>
      <c r="F96" s="137"/>
      <c r="G96" s="102"/>
      <c r="H96" s="137"/>
      <c r="I96" s="137"/>
      <c r="J96" s="137"/>
      <c r="K96" s="170"/>
      <c r="L96" s="170"/>
      <c r="M96" s="170"/>
      <c r="N96" s="137"/>
      <c r="O96" s="137"/>
    </row>
    <row r="97" spans="1:15" x14ac:dyDescent="0.35">
      <c r="A97" s="137"/>
      <c r="B97" s="137"/>
      <c r="C97" s="137"/>
      <c r="D97" s="137"/>
      <c r="E97" s="137"/>
      <c r="F97" s="137"/>
      <c r="G97" s="102"/>
      <c r="H97" s="137"/>
      <c r="I97" s="137"/>
      <c r="J97" s="137"/>
      <c r="K97" s="170"/>
      <c r="L97" s="170"/>
      <c r="M97" s="170"/>
      <c r="N97" s="137"/>
      <c r="O97" s="137"/>
    </row>
    <row r="98" spans="1:15" x14ac:dyDescent="0.35">
      <c r="A98" s="137"/>
      <c r="B98" s="137"/>
      <c r="C98" s="137"/>
      <c r="D98" s="137"/>
      <c r="E98" s="137"/>
      <c r="F98" s="137"/>
      <c r="G98" s="102"/>
      <c r="H98" s="137"/>
      <c r="I98" s="137"/>
      <c r="J98" s="137"/>
      <c r="K98" s="170"/>
      <c r="L98" s="170"/>
      <c r="M98" s="170"/>
      <c r="N98" s="137"/>
      <c r="O98" s="137"/>
    </row>
    <row r="99" spans="1:15" x14ac:dyDescent="0.35">
      <c r="A99" s="137"/>
      <c r="B99" s="137"/>
      <c r="C99" s="137"/>
      <c r="D99" s="137"/>
      <c r="E99" s="137"/>
      <c r="F99" s="137"/>
      <c r="G99" s="102"/>
      <c r="H99" s="137"/>
      <c r="I99" s="137"/>
      <c r="J99" s="137"/>
      <c r="K99" s="170"/>
      <c r="L99" s="170"/>
      <c r="M99" s="170"/>
      <c r="N99" s="137"/>
      <c r="O99" s="137"/>
    </row>
    <row r="100" spans="1:15" x14ac:dyDescent="0.35">
      <c r="A100" s="137"/>
      <c r="B100" s="137"/>
      <c r="C100" s="137"/>
      <c r="D100" s="137"/>
      <c r="E100" s="137"/>
      <c r="F100" s="137"/>
      <c r="G100" s="102"/>
      <c r="H100" s="137"/>
      <c r="I100" s="137"/>
      <c r="J100" s="137"/>
      <c r="K100" s="170"/>
      <c r="L100" s="170"/>
      <c r="M100" s="170"/>
      <c r="N100" s="137"/>
      <c r="O100" s="137"/>
    </row>
    <row r="101" spans="1:15" x14ac:dyDescent="0.35">
      <c r="A101" s="137"/>
      <c r="B101" s="137"/>
      <c r="C101" s="137"/>
      <c r="D101" s="137"/>
      <c r="E101" s="137"/>
      <c r="F101" s="137"/>
      <c r="G101" s="102"/>
      <c r="H101" s="137"/>
      <c r="I101" s="137"/>
      <c r="J101" s="137"/>
      <c r="K101" s="170"/>
      <c r="L101" s="170"/>
      <c r="M101" s="170"/>
      <c r="N101" s="137"/>
      <c r="O101" s="137"/>
    </row>
    <row r="102" spans="1:15" x14ac:dyDescent="0.35">
      <c r="A102" s="137"/>
      <c r="B102" s="137"/>
      <c r="C102" s="137"/>
      <c r="D102" s="137"/>
      <c r="E102" s="137"/>
      <c r="F102" s="137"/>
      <c r="G102" s="102"/>
      <c r="H102" s="137"/>
      <c r="I102" s="137"/>
      <c r="J102" s="137"/>
      <c r="K102" s="170"/>
      <c r="L102" s="170"/>
      <c r="M102" s="170"/>
      <c r="N102" s="137"/>
      <c r="O102" s="137"/>
    </row>
    <row r="103" spans="1:15" x14ac:dyDescent="0.35">
      <c r="A103" s="137"/>
      <c r="B103" s="137"/>
      <c r="C103" s="137"/>
      <c r="D103" s="137"/>
      <c r="E103" s="137"/>
      <c r="F103" s="137"/>
      <c r="G103" s="102"/>
      <c r="H103" s="137"/>
      <c r="I103" s="137"/>
      <c r="J103" s="137"/>
      <c r="K103" s="170"/>
      <c r="L103" s="170"/>
      <c r="M103" s="170"/>
      <c r="N103" s="137"/>
      <c r="O103" s="137"/>
    </row>
    <row r="104" spans="1:15" x14ac:dyDescent="0.35">
      <c r="A104" s="137"/>
      <c r="B104" s="137"/>
      <c r="C104" s="137"/>
      <c r="D104" s="137"/>
      <c r="E104" s="137"/>
      <c r="F104" s="137"/>
      <c r="G104" s="102"/>
      <c r="H104" s="137"/>
      <c r="I104" s="137"/>
      <c r="J104" s="137"/>
      <c r="K104" s="170"/>
      <c r="L104" s="170"/>
      <c r="M104" s="170"/>
      <c r="N104" s="137"/>
      <c r="O104" s="137"/>
    </row>
    <row r="105" spans="1:15" x14ac:dyDescent="0.35">
      <c r="A105" s="137"/>
      <c r="B105" s="137"/>
      <c r="C105" s="137"/>
      <c r="D105" s="137"/>
      <c r="E105" s="137"/>
      <c r="F105" s="137"/>
      <c r="G105" s="102"/>
      <c r="H105" s="137"/>
      <c r="I105" s="137"/>
      <c r="J105" s="137"/>
      <c r="K105" s="170"/>
      <c r="L105" s="170"/>
      <c r="M105" s="170"/>
      <c r="N105" s="137"/>
      <c r="O105" s="137"/>
    </row>
    <row r="106" spans="1:15" x14ac:dyDescent="0.35">
      <c r="A106" s="137"/>
      <c r="B106" s="137"/>
      <c r="C106" s="137"/>
      <c r="D106" s="137"/>
      <c r="E106" s="137"/>
      <c r="F106" s="137"/>
      <c r="G106" s="102"/>
      <c r="H106" s="137"/>
      <c r="I106" s="137"/>
      <c r="J106" s="137"/>
      <c r="K106" s="170"/>
      <c r="L106" s="170"/>
      <c r="M106" s="170"/>
      <c r="N106" s="137"/>
      <c r="O106" s="137"/>
    </row>
    <row r="107" spans="1:15" x14ac:dyDescent="0.35">
      <c r="A107" s="137"/>
      <c r="B107" s="137"/>
      <c r="C107" s="137"/>
      <c r="D107" s="137"/>
      <c r="E107" s="137"/>
      <c r="F107" s="137"/>
      <c r="G107" s="102"/>
      <c r="H107" s="137"/>
      <c r="I107" s="137"/>
      <c r="J107" s="137"/>
      <c r="K107" s="170"/>
      <c r="L107" s="170"/>
      <c r="M107" s="170"/>
      <c r="N107" s="137"/>
      <c r="O107" s="137"/>
    </row>
    <row r="108" spans="1:15" x14ac:dyDescent="0.35">
      <c r="A108" s="137"/>
      <c r="B108" s="137"/>
      <c r="C108" s="137"/>
      <c r="D108" s="137"/>
      <c r="E108" s="137"/>
      <c r="F108" s="137"/>
      <c r="G108" s="102"/>
      <c r="H108" s="137"/>
      <c r="I108" s="137"/>
      <c r="J108" s="137"/>
      <c r="K108" s="170"/>
      <c r="L108" s="170"/>
      <c r="M108" s="170"/>
      <c r="N108" s="137"/>
      <c r="O108" s="137"/>
    </row>
    <row r="109" spans="1:15" x14ac:dyDescent="0.35">
      <c r="A109" s="137"/>
      <c r="B109" s="137"/>
      <c r="C109" s="137"/>
      <c r="D109" s="137"/>
      <c r="E109" s="137"/>
      <c r="F109" s="137"/>
      <c r="G109" s="102"/>
      <c r="H109" s="137"/>
      <c r="I109" s="137"/>
      <c r="J109" s="137"/>
      <c r="K109" s="170"/>
      <c r="L109" s="170"/>
      <c r="M109" s="170"/>
    </row>
    <row r="110" spans="1:15" x14ac:dyDescent="0.35">
      <c r="A110" s="137"/>
      <c r="B110" s="137"/>
      <c r="C110" s="137"/>
      <c r="D110" s="137"/>
      <c r="E110" s="137"/>
      <c r="F110" s="137"/>
      <c r="G110" s="102"/>
      <c r="H110" s="137"/>
      <c r="I110" s="137"/>
      <c r="J110" s="137"/>
      <c r="K110" s="170"/>
      <c r="L110" s="170"/>
      <c r="M110" s="170"/>
      <c r="N110" s="137"/>
      <c r="O110" s="137"/>
    </row>
    <row r="111" spans="1:15" x14ac:dyDescent="0.35">
      <c r="A111" s="137"/>
      <c r="B111" s="137"/>
      <c r="C111" s="137"/>
      <c r="D111" s="137"/>
      <c r="E111" s="137"/>
      <c r="F111" s="137"/>
      <c r="G111" s="102"/>
      <c r="H111" s="137"/>
      <c r="I111" s="137"/>
      <c r="J111" s="137"/>
      <c r="K111" s="170"/>
      <c r="L111" s="170"/>
      <c r="M111" s="170"/>
      <c r="N111" s="137"/>
      <c r="O111" s="137"/>
    </row>
    <row r="112" spans="1:15" x14ac:dyDescent="0.35">
      <c r="A112" s="137"/>
      <c r="B112" s="137"/>
      <c r="C112" s="137"/>
      <c r="D112" s="137"/>
      <c r="E112" s="137"/>
      <c r="F112" s="137"/>
      <c r="G112" s="102"/>
      <c r="H112" s="137"/>
      <c r="I112" s="137"/>
      <c r="J112" s="137"/>
      <c r="K112" s="170"/>
      <c r="L112" s="170"/>
      <c r="M112" s="170"/>
      <c r="N112" s="137"/>
      <c r="O112" s="137"/>
    </row>
    <row r="113" spans="1:15" x14ac:dyDescent="0.35">
      <c r="A113" s="137"/>
      <c r="B113" s="137"/>
      <c r="C113" s="137"/>
      <c r="D113" s="137"/>
      <c r="E113" s="137"/>
      <c r="F113" s="137"/>
      <c r="G113" s="102"/>
      <c r="H113" s="137"/>
      <c r="I113" s="137"/>
      <c r="J113" s="137"/>
      <c r="K113" s="170"/>
      <c r="L113" s="170"/>
      <c r="M113" s="170"/>
      <c r="N113" s="137"/>
      <c r="O113" s="137"/>
    </row>
    <row r="114" spans="1:15" x14ac:dyDescent="0.35">
      <c r="A114" s="137"/>
      <c r="B114" s="137"/>
      <c r="C114" s="137"/>
      <c r="D114" s="137"/>
      <c r="E114" s="137"/>
      <c r="F114" s="137"/>
      <c r="G114" s="102"/>
      <c r="H114" s="137"/>
      <c r="I114" s="137"/>
      <c r="J114" s="137"/>
      <c r="K114" s="170"/>
      <c r="L114" s="170"/>
      <c r="M114" s="170"/>
      <c r="N114" s="137"/>
      <c r="O114" s="137"/>
    </row>
    <row r="115" spans="1:15" x14ac:dyDescent="0.35">
      <c r="A115" s="137"/>
      <c r="B115" s="137"/>
      <c r="C115" s="137"/>
      <c r="D115" s="137"/>
      <c r="E115" s="137"/>
      <c r="F115" s="137"/>
      <c r="G115" s="102"/>
      <c r="H115" s="137"/>
      <c r="I115" s="137"/>
      <c r="J115" s="137"/>
      <c r="K115" s="170"/>
      <c r="L115" s="170"/>
      <c r="M115" s="170"/>
      <c r="N115" s="137"/>
      <c r="O115" s="137"/>
    </row>
    <row r="116" spans="1:15" x14ac:dyDescent="0.35">
      <c r="A116" s="137"/>
      <c r="B116" s="137"/>
      <c r="C116" s="137"/>
      <c r="D116" s="137"/>
      <c r="E116" s="137"/>
      <c r="F116" s="137"/>
      <c r="G116" s="102"/>
      <c r="H116" s="137"/>
      <c r="I116" s="137"/>
      <c r="J116" s="137"/>
      <c r="K116" s="170"/>
      <c r="L116" s="170"/>
      <c r="M116" s="170"/>
      <c r="N116" s="137"/>
      <c r="O116" s="137"/>
    </row>
    <row r="117" spans="1:15" x14ac:dyDescent="0.35">
      <c r="A117" s="137"/>
      <c r="B117" s="137"/>
      <c r="C117" s="137"/>
      <c r="D117" s="137"/>
      <c r="E117" s="137"/>
      <c r="F117" s="137"/>
      <c r="G117" s="102"/>
      <c r="H117" s="137"/>
      <c r="I117" s="137"/>
      <c r="J117" s="137"/>
      <c r="K117" s="170"/>
      <c r="L117" s="170"/>
      <c r="M117" s="170"/>
      <c r="N117" s="137"/>
      <c r="O117" s="137"/>
    </row>
    <row r="118" spans="1:15" x14ac:dyDescent="0.35">
      <c r="A118" s="137"/>
      <c r="B118" s="137"/>
      <c r="C118" s="137"/>
      <c r="D118" s="137"/>
      <c r="E118" s="137"/>
      <c r="F118" s="137"/>
      <c r="G118" s="102"/>
      <c r="H118" s="137"/>
      <c r="I118" s="137"/>
      <c r="J118" s="137"/>
      <c r="K118" s="170"/>
      <c r="L118" s="170"/>
      <c r="M118" s="170"/>
      <c r="N118" s="137"/>
      <c r="O118" s="137"/>
    </row>
    <row r="119" spans="1:15" x14ac:dyDescent="0.35">
      <c r="A119" s="137"/>
      <c r="B119" s="137"/>
      <c r="C119" s="137"/>
      <c r="D119" s="137"/>
      <c r="E119" s="137"/>
      <c r="F119" s="137"/>
      <c r="G119" s="102"/>
      <c r="H119" s="137"/>
      <c r="I119" s="137"/>
      <c r="J119" s="137"/>
      <c r="K119" s="170"/>
      <c r="L119" s="170"/>
      <c r="M119" s="170"/>
    </row>
    <row r="120" spans="1:15" x14ac:dyDescent="0.35">
      <c r="A120" s="137"/>
      <c r="B120" s="137"/>
      <c r="C120" s="137"/>
      <c r="D120" s="137"/>
      <c r="E120" s="137"/>
      <c r="F120" s="137"/>
      <c r="G120" s="102"/>
      <c r="H120" s="137"/>
      <c r="I120" s="137"/>
      <c r="J120" s="137"/>
      <c r="K120" s="170"/>
      <c r="L120" s="170"/>
      <c r="M120" s="170"/>
      <c r="N120" s="137"/>
      <c r="O120" s="137"/>
    </row>
    <row r="121" spans="1:15" x14ac:dyDescent="0.35">
      <c r="A121" s="137"/>
      <c r="B121" s="137"/>
      <c r="C121" s="137"/>
      <c r="D121" s="137"/>
      <c r="E121" s="137"/>
      <c r="F121" s="137"/>
      <c r="G121" s="102"/>
      <c r="H121" s="137"/>
      <c r="I121" s="137"/>
      <c r="J121" s="137"/>
      <c r="K121" s="170"/>
      <c r="L121" s="170"/>
      <c r="M121" s="170"/>
      <c r="N121" s="137"/>
      <c r="O121" s="137"/>
    </row>
    <row r="122" spans="1:15" x14ac:dyDescent="0.35">
      <c r="A122" s="137"/>
      <c r="B122" s="137"/>
      <c r="C122" s="137"/>
      <c r="D122" s="137"/>
      <c r="E122" s="137"/>
      <c r="F122" s="137"/>
      <c r="G122" s="102"/>
      <c r="H122" s="137"/>
      <c r="I122" s="137"/>
      <c r="J122" s="137"/>
      <c r="K122" s="170"/>
      <c r="L122" s="170"/>
      <c r="M122" s="170"/>
    </row>
    <row r="123" spans="1:15" x14ac:dyDescent="0.35">
      <c r="A123" s="137"/>
      <c r="B123" s="137"/>
      <c r="C123" s="137"/>
      <c r="D123" s="137"/>
      <c r="E123" s="137"/>
      <c r="F123" s="137"/>
      <c r="G123" s="102"/>
      <c r="H123" s="137"/>
      <c r="I123" s="137"/>
      <c r="J123" s="137"/>
      <c r="K123" s="170"/>
      <c r="L123" s="170"/>
      <c r="M123" s="170"/>
      <c r="N123" s="137"/>
      <c r="O123" s="137"/>
    </row>
    <row r="124" spans="1:15" x14ac:dyDescent="0.35">
      <c r="A124" s="137"/>
      <c r="B124" s="137"/>
      <c r="C124" s="137"/>
      <c r="D124" s="137"/>
      <c r="E124" s="137"/>
      <c r="F124" s="137"/>
      <c r="G124" s="102"/>
      <c r="H124" s="137"/>
      <c r="I124" s="137"/>
      <c r="J124" s="137"/>
      <c r="K124" s="170"/>
      <c r="L124" s="170"/>
      <c r="M124" s="170"/>
    </row>
    <row r="125" spans="1:15" x14ac:dyDescent="0.35">
      <c r="A125" s="137"/>
      <c r="B125" s="137"/>
      <c r="C125" s="137"/>
      <c r="D125" s="137"/>
      <c r="E125" s="137"/>
      <c r="F125" s="137"/>
      <c r="G125" s="102"/>
      <c r="H125" s="137"/>
      <c r="I125" s="137"/>
      <c r="J125" s="137"/>
      <c r="K125" s="170"/>
      <c r="L125" s="170"/>
      <c r="M125" s="170"/>
    </row>
    <row r="126" spans="1:15" x14ac:dyDescent="0.35">
      <c r="A126" s="137"/>
      <c r="B126" s="137"/>
      <c r="C126" s="137"/>
      <c r="D126" s="137"/>
      <c r="E126" s="137"/>
      <c r="F126" s="137"/>
      <c r="G126" s="102"/>
      <c r="H126" s="137"/>
      <c r="I126" s="137"/>
      <c r="J126" s="137"/>
      <c r="K126" s="170"/>
      <c r="L126" s="170"/>
      <c r="M126" s="170"/>
      <c r="N126" s="137"/>
      <c r="O126" s="137"/>
    </row>
    <row r="127" spans="1:15" x14ac:dyDescent="0.35">
      <c r="A127" s="137"/>
      <c r="B127" s="137"/>
      <c r="C127" s="137"/>
      <c r="D127" s="137"/>
      <c r="E127" s="137"/>
      <c r="F127" s="137"/>
      <c r="G127" s="102"/>
      <c r="H127" s="137"/>
      <c r="I127" s="137"/>
      <c r="J127" s="137"/>
      <c r="K127" s="170"/>
      <c r="L127" s="170"/>
      <c r="M127" s="170"/>
      <c r="N127" s="137"/>
      <c r="O127" s="137"/>
    </row>
    <row r="128" spans="1:15" x14ac:dyDescent="0.35">
      <c r="A128" s="137"/>
      <c r="B128" s="137"/>
      <c r="C128" s="137"/>
      <c r="D128" s="137"/>
      <c r="E128" s="137"/>
      <c r="F128" s="137"/>
      <c r="G128" s="102"/>
      <c r="H128" s="137"/>
      <c r="I128" s="137"/>
      <c r="J128" s="137"/>
      <c r="K128" s="170"/>
      <c r="L128" s="170"/>
      <c r="M128" s="170"/>
      <c r="N128" s="137"/>
      <c r="O128" s="137"/>
    </row>
    <row r="129" spans="1:15" x14ac:dyDescent="0.35">
      <c r="A129" s="137"/>
      <c r="B129" s="137"/>
      <c r="C129" s="137"/>
      <c r="D129" s="137"/>
      <c r="E129" s="137"/>
      <c r="F129" s="137"/>
      <c r="G129" s="102"/>
      <c r="H129" s="137"/>
      <c r="I129" s="137"/>
      <c r="J129" s="137"/>
      <c r="K129" s="170"/>
      <c r="L129" s="170"/>
      <c r="M129" s="170"/>
      <c r="N129" s="137"/>
      <c r="O129" s="137"/>
    </row>
    <row r="130" spans="1:15" x14ac:dyDescent="0.35">
      <c r="A130" s="137"/>
      <c r="B130" s="137"/>
      <c r="C130" s="137"/>
      <c r="D130" s="137"/>
      <c r="E130" s="137"/>
      <c r="F130" s="137"/>
      <c r="G130" s="102"/>
      <c r="H130" s="137"/>
      <c r="I130" s="137"/>
      <c r="J130" s="137"/>
      <c r="K130" s="170"/>
      <c r="L130" s="170"/>
      <c r="M130" s="170"/>
    </row>
    <row r="131" spans="1:15" x14ac:dyDescent="0.35">
      <c r="A131" s="137"/>
      <c r="B131" s="137"/>
      <c r="C131" s="137"/>
      <c r="D131" s="137"/>
      <c r="E131" s="137"/>
      <c r="F131" s="137"/>
      <c r="G131" s="102"/>
      <c r="H131" s="137"/>
      <c r="I131" s="137"/>
      <c r="J131" s="137"/>
      <c r="K131" s="170"/>
      <c r="L131" s="170"/>
      <c r="M131" s="170"/>
      <c r="N131" s="137"/>
      <c r="O131" s="137"/>
    </row>
    <row r="132" spans="1:15" x14ac:dyDescent="0.35">
      <c r="A132" s="137"/>
      <c r="B132" s="137"/>
      <c r="C132" s="137"/>
      <c r="D132" s="137"/>
      <c r="E132" s="137"/>
      <c r="F132" s="137"/>
      <c r="G132" s="102"/>
      <c r="H132" s="137"/>
      <c r="I132" s="137"/>
      <c r="J132" s="137"/>
      <c r="K132" s="170"/>
      <c r="L132" s="170"/>
      <c r="M132" s="170"/>
      <c r="N132" s="137"/>
      <c r="O132" s="137"/>
    </row>
    <row r="133" spans="1:15" x14ac:dyDescent="0.35">
      <c r="A133" s="137"/>
      <c r="B133" s="137"/>
      <c r="C133" s="137"/>
      <c r="D133" s="137"/>
      <c r="E133" s="137"/>
      <c r="F133" s="137"/>
      <c r="G133" s="102"/>
      <c r="H133" s="137"/>
      <c r="I133" s="137"/>
      <c r="J133" s="137"/>
      <c r="K133" s="170"/>
      <c r="L133" s="170"/>
      <c r="M133" s="170"/>
      <c r="N133" s="137"/>
      <c r="O133" s="137"/>
    </row>
    <row r="134" spans="1:15" x14ac:dyDescent="0.35">
      <c r="A134" s="137"/>
      <c r="B134" s="137"/>
      <c r="C134" s="137"/>
      <c r="D134" s="137"/>
      <c r="E134" s="137"/>
      <c r="F134" s="137"/>
      <c r="G134" s="102"/>
      <c r="H134" s="137"/>
      <c r="I134" s="137"/>
      <c r="J134" s="137"/>
      <c r="K134" s="170"/>
      <c r="L134" s="170"/>
      <c r="M134" s="170"/>
    </row>
    <row r="135" spans="1:15" x14ac:dyDescent="0.35">
      <c r="A135" s="137"/>
      <c r="B135" s="137"/>
      <c r="C135" s="137"/>
      <c r="D135" s="137"/>
      <c r="E135" s="137"/>
      <c r="F135" s="137"/>
      <c r="G135" s="102"/>
      <c r="H135" s="137"/>
      <c r="I135" s="137"/>
      <c r="J135" s="137"/>
      <c r="K135" s="170"/>
      <c r="L135" s="170"/>
      <c r="M135" s="170"/>
      <c r="N135" s="137"/>
      <c r="O135" s="137"/>
    </row>
    <row r="136" spans="1:15" x14ac:dyDescent="0.35">
      <c r="A136" s="137"/>
      <c r="B136" s="137"/>
      <c r="C136" s="137"/>
      <c r="D136" s="137"/>
      <c r="E136" s="137"/>
      <c r="F136" s="137"/>
      <c r="G136" s="102"/>
      <c r="H136" s="137"/>
      <c r="I136" s="137"/>
      <c r="J136" s="137"/>
      <c r="K136" s="170"/>
      <c r="L136" s="170"/>
      <c r="M136" s="170"/>
      <c r="N136" s="137"/>
      <c r="O136" s="137"/>
    </row>
    <row r="137" spans="1:15" x14ac:dyDescent="0.35">
      <c r="A137" s="137"/>
      <c r="B137" s="137"/>
      <c r="C137" s="137"/>
      <c r="D137" s="137"/>
      <c r="E137" s="137"/>
      <c r="F137" s="137"/>
      <c r="G137" s="102"/>
      <c r="H137" s="137"/>
      <c r="I137" s="137"/>
      <c r="J137" s="137"/>
      <c r="K137" s="170"/>
      <c r="L137" s="170"/>
      <c r="M137" s="170"/>
      <c r="N137" s="137"/>
      <c r="O137" s="137"/>
    </row>
    <row r="138" spans="1:15" x14ac:dyDescent="0.35">
      <c r="A138" s="137"/>
      <c r="B138" s="137"/>
      <c r="C138" s="137"/>
      <c r="D138" s="137"/>
      <c r="E138" s="137"/>
      <c r="F138" s="137"/>
      <c r="G138" s="102"/>
      <c r="H138" s="137"/>
      <c r="I138" s="137"/>
      <c r="J138" s="137"/>
      <c r="K138" s="170"/>
      <c r="L138" s="170"/>
      <c r="M138" s="170"/>
      <c r="N138" s="137"/>
      <c r="O138" s="137"/>
    </row>
    <row r="139" spans="1:15" x14ac:dyDescent="0.35">
      <c r="A139" s="137"/>
      <c r="B139" s="137"/>
      <c r="C139" s="137"/>
      <c r="D139" s="137"/>
      <c r="E139" s="137"/>
      <c r="F139" s="137"/>
      <c r="G139" s="102"/>
      <c r="H139" s="137"/>
      <c r="I139" s="137"/>
      <c r="J139" s="137"/>
      <c r="K139" s="170"/>
      <c r="L139" s="170"/>
      <c r="M139" s="170"/>
    </row>
    <row r="140" spans="1:15" x14ac:dyDescent="0.35">
      <c r="A140" s="137"/>
      <c r="B140" s="137"/>
      <c r="C140" s="137"/>
      <c r="D140" s="137"/>
      <c r="E140" s="137"/>
      <c r="F140" s="137"/>
      <c r="G140" s="102"/>
      <c r="H140" s="137"/>
      <c r="I140" s="137"/>
      <c r="J140" s="137"/>
      <c r="K140" s="170"/>
      <c r="L140" s="170"/>
      <c r="M140" s="170"/>
      <c r="N140" s="31"/>
      <c r="O140" s="31"/>
    </row>
    <row r="141" spans="1:15" x14ac:dyDescent="0.35">
      <c r="A141" s="137"/>
      <c r="B141" s="137"/>
      <c r="C141" s="137"/>
      <c r="D141" s="137"/>
      <c r="E141" s="137"/>
      <c r="F141" s="137"/>
      <c r="G141" s="102"/>
      <c r="H141" s="137"/>
      <c r="I141" s="137"/>
      <c r="J141" s="137"/>
      <c r="K141" s="170"/>
      <c r="L141" s="170"/>
      <c r="M141" s="170"/>
      <c r="N141" s="137"/>
      <c r="O141" s="137"/>
    </row>
    <row r="142" spans="1:15" x14ac:dyDescent="0.35">
      <c r="A142" s="137"/>
      <c r="B142" s="137"/>
      <c r="C142" s="137"/>
      <c r="D142" s="137"/>
      <c r="E142" s="137"/>
      <c r="F142" s="137"/>
      <c r="G142" s="102"/>
      <c r="H142" s="137"/>
      <c r="I142" s="137"/>
      <c r="J142" s="137"/>
      <c r="K142" s="170"/>
      <c r="L142" s="170"/>
      <c r="M142" s="170"/>
      <c r="N142" s="137"/>
      <c r="O142" s="137"/>
    </row>
    <row r="143" spans="1:15" x14ac:dyDescent="0.35">
      <c r="A143" s="137"/>
      <c r="B143" s="137"/>
      <c r="C143" s="137"/>
      <c r="D143" s="137"/>
      <c r="E143" s="137"/>
      <c r="F143" s="137"/>
      <c r="G143" s="102"/>
      <c r="H143" s="137"/>
      <c r="I143" s="137"/>
      <c r="J143" s="137"/>
      <c r="K143" s="170"/>
      <c r="L143" s="170"/>
      <c r="M143" s="170"/>
    </row>
    <row r="144" spans="1:15" x14ac:dyDescent="0.35">
      <c r="A144" s="137"/>
      <c r="B144" s="137"/>
      <c r="C144" s="137"/>
      <c r="D144" s="137"/>
      <c r="E144" s="137"/>
      <c r="F144" s="137"/>
      <c r="G144" s="102"/>
      <c r="H144" s="137"/>
      <c r="I144" s="137"/>
      <c r="J144" s="137"/>
      <c r="K144" s="170"/>
      <c r="L144" s="170"/>
      <c r="M144" s="170"/>
      <c r="N144" s="137"/>
      <c r="O144" s="137"/>
    </row>
    <row r="145" spans="1:15" x14ac:dyDescent="0.35">
      <c r="A145" s="137"/>
      <c r="B145" s="137"/>
      <c r="C145" s="137"/>
      <c r="D145" s="137"/>
      <c r="E145" s="137"/>
      <c r="F145" s="137"/>
      <c r="G145" s="102"/>
      <c r="H145" s="137"/>
      <c r="I145" s="137"/>
      <c r="J145" s="137"/>
      <c r="K145" s="170"/>
      <c r="L145" s="170"/>
      <c r="M145" s="170"/>
      <c r="N145" s="137"/>
      <c r="O145" s="137"/>
    </row>
    <row r="146" spans="1:15" x14ac:dyDescent="0.35">
      <c r="A146" s="137"/>
      <c r="B146" s="137"/>
      <c r="C146" s="137"/>
      <c r="D146" s="137"/>
      <c r="E146" s="137"/>
      <c r="F146" s="137"/>
      <c r="G146" s="102"/>
      <c r="H146" s="137"/>
      <c r="I146" s="137"/>
      <c r="J146" s="137"/>
      <c r="K146" s="170"/>
      <c r="L146" s="170"/>
      <c r="M146" s="170"/>
      <c r="N146" s="137"/>
      <c r="O146" s="137"/>
    </row>
    <row r="147" spans="1:15" x14ac:dyDescent="0.35">
      <c r="A147" s="137"/>
      <c r="B147" s="137"/>
      <c r="C147" s="137"/>
      <c r="D147" s="137"/>
      <c r="E147" s="137"/>
      <c r="F147" s="137"/>
      <c r="G147" s="102"/>
      <c r="H147" s="137"/>
      <c r="I147" s="137"/>
      <c r="J147" s="137"/>
      <c r="K147" s="170"/>
      <c r="L147" s="170"/>
      <c r="M147" s="170"/>
      <c r="N147" s="137"/>
      <c r="O147" s="137"/>
    </row>
    <row r="148" spans="1:15" x14ac:dyDescent="0.35">
      <c r="A148" s="137"/>
      <c r="B148" s="137"/>
      <c r="C148" s="137"/>
      <c r="D148" s="137"/>
      <c r="E148" s="137"/>
      <c r="F148" s="137"/>
      <c r="G148" s="102"/>
      <c r="H148" s="137"/>
      <c r="I148" s="137"/>
      <c r="J148" s="137"/>
      <c r="K148" s="170"/>
      <c r="L148" s="170"/>
      <c r="M148" s="170"/>
      <c r="N148" s="137"/>
      <c r="O148" s="137"/>
    </row>
    <row r="149" spans="1:15" x14ac:dyDescent="0.35">
      <c r="A149" s="137"/>
      <c r="B149" s="137"/>
      <c r="C149" s="137"/>
      <c r="D149" s="137"/>
      <c r="E149" s="137"/>
      <c r="F149" s="137"/>
      <c r="G149" s="102"/>
      <c r="H149" s="137"/>
      <c r="I149" s="137"/>
      <c r="J149" s="137"/>
      <c r="K149" s="170"/>
      <c r="L149" s="170"/>
      <c r="M149" s="170"/>
      <c r="N149" s="137"/>
      <c r="O149" s="137"/>
    </row>
    <row r="150" spans="1:15" x14ac:dyDescent="0.35">
      <c r="A150" s="137"/>
      <c r="B150" s="137"/>
      <c r="C150" s="137"/>
      <c r="D150" s="137"/>
      <c r="E150" s="137"/>
      <c r="F150" s="137"/>
      <c r="G150" s="102"/>
      <c r="H150" s="137"/>
      <c r="I150" s="137"/>
      <c r="J150" s="137"/>
      <c r="K150" s="170"/>
      <c r="L150" s="170"/>
      <c r="M150" s="170"/>
      <c r="N150" s="137"/>
      <c r="O150" s="137"/>
    </row>
    <row r="151" spans="1:15" x14ac:dyDescent="0.35">
      <c r="A151" s="137"/>
      <c r="B151" s="137"/>
      <c r="C151" s="137"/>
      <c r="D151" s="137"/>
      <c r="E151" s="137"/>
      <c r="F151" s="137"/>
      <c r="G151" s="102"/>
      <c r="H151" s="137"/>
      <c r="I151" s="137"/>
      <c r="J151" s="137"/>
      <c r="K151" s="170"/>
      <c r="L151" s="170"/>
      <c r="M151" s="170"/>
      <c r="N151" s="137"/>
      <c r="O151" s="137"/>
    </row>
    <row r="152" spans="1:15" x14ac:dyDescent="0.35">
      <c r="A152" s="137"/>
      <c r="B152" s="137"/>
      <c r="C152" s="137"/>
      <c r="D152" s="137"/>
      <c r="E152" s="137"/>
      <c r="F152" s="137"/>
      <c r="G152" s="102"/>
      <c r="H152" s="137"/>
      <c r="I152" s="137"/>
      <c r="J152" s="137"/>
      <c r="K152" s="170"/>
      <c r="L152" s="170"/>
      <c r="M152" s="170"/>
      <c r="N152" s="137"/>
      <c r="O152" s="137"/>
    </row>
    <row r="153" spans="1:15" x14ac:dyDescent="0.35">
      <c r="A153" s="137"/>
      <c r="B153" s="137"/>
      <c r="C153" s="137"/>
      <c r="D153" s="137"/>
      <c r="E153" s="137"/>
      <c r="F153" s="137"/>
      <c r="G153" s="102"/>
      <c r="H153" s="137"/>
      <c r="I153" s="137"/>
      <c r="J153" s="137"/>
      <c r="K153" s="170"/>
      <c r="L153" s="170"/>
      <c r="M153" s="170"/>
      <c r="N153" s="137"/>
      <c r="O153" s="137"/>
    </row>
    <row r="154" spans="1:15" x14ac:dyDescent="0.35">
      <c r="A154" s="137"/>
      <c r="B154" s="137"/>
      <c r="C154" s="137"/>
      <c r="D154" s="137"/>
      <c r="E154" s="137"/>
      <c r="F154" s="137"/>
      <c r="G154" s="102"/>
      <c r="H154" s="137"/>
      <c r="I154" s="137"/>
      <c r="J154" s="137"/>
      <c r="K154" s="170"/>
      <c r="L154" s="170"/>
      <c r="M154" s="170"/>
      <c r="N154" s="137"/>
      <c r="O154" s="137"/>
    </row>
    <row r="155" spans="1:15" x14ac:dyDescent="0.35">
      <c r="A155" s="137"/>
      <c r="B155" s="137"/>
      <c r="C155" s="137"/>
      <c r="D155" s="137"/>
      <c r="E155" s="137"/>
      <c r="F155" s="137"/>
      <c r="G155" s="102"/>
      <c r="H155" s="137"/>
      <c r="I155" s="137"/>
      <c r="J155" s="137"/>
      <c r="K155" s="170"/>
      <c r="L155" s="170"/>
      <c r="M155" s="170"/>
      <c r="N155" s="137"/>
      <c r="O155" s="137"/>
    </row>
    <row r="156" spans="1:15" x14ac:dyDescent="0.35">
      <c r="A156" s="137"/>
      <c r="B156" s="137"/>
      <c r="C156" s="137"/>
      <c r="D156" s="137"/>
      <c r="E156" s="137"/>
      <c r="F156" s="137"/>
      <c r="G156" s="102"/>
      <c r="H156" s="137"/>
      <c r="I156" s="137"/>
      <c r="J156" s="137"/>
      <c r="K156" s="170"/>
      <c r="L156" s="170"/>
      <c r="M156" s="170"/>
      <c r="N156" s="137"/>
      <c r="O156" s="137"/>
    </row>
    <row r="157" spans="1:15" x14ac:dyDescent="0.35">
      <c r="A157" s="137"/>
      <c r="B157" s="137"/>
      <c r="C157" s="137"/>
      <c r="D157" s="137"/>
      <c r="E157" s="137"/>
      <c r="F157" s="137"/>
      <c r="G157" s="102"/>
      <c r="H157" s="137"/>
      <c r="I157" s="137"/>
      <c r="J157" s="137"/>
      <c r="K157" s="170"/>
      <c r="L157" s="170"/>
      <c r="M157" s="170"/>
      <c r="N157" s="137"/>
      <c r="O157" s="137"/>
    </row>
    <row r="158" spans="1:15" x14ac:dyDescent="0.35">
      <c r="A158" s="137"/>
      <c r="B158" s="137"/>
      <c r="C158" s="137"/>
      <c r="D158" s="137"/>
      <c r="E158" s="137"/>
      <c r="F158" s="137"/>
      <c r="G158" s="102"/>
      <c r="H158" s="137"/>
      <c r="I158" s="137"/>
      <c r="J158" s="137"/>
      <c r="K158" s="170"/>
      <c r="L158" s="170"/>
      <c r="M158" s="170"/>
      <c r="N158" s="137"/>
      <c r="O158" s="137"/>
    </row>
    <row r="159" spans="1:15" x14ac:dyDescent="0.35">
      <c r="A159" s="137"/>
      <c r="B159" s="137"/>
      <c r="C159" s="137"/>
      <c r="D159" s="137"/>
      <c r="E159" s="137"/>
      <c r="F159" s="137"/>
      <c r="G159" s="102"/>
      <c r="H159" s="137"/>
      <c r="I159" s="137"/>
      <c r="J159" s="137"/>
      <c r="K159" s="170"/>
      <c r="L159" s="170"/>
      <c r="M159" s="170"/>
      <c r="N159" s="137"/>
      <c r="O159" s="137"/>
    </row>
    <row r="160" spans="1:15" x14ac:dyDescent="0.35">
      <c r="A160" s="137"/>
      <c r="B160" s="137"/>
      <c r="C160" s="137"/>
      <c r="D160" s="137"/>
      <c r="E160" s="137"/>
      <c r="F160" s="137"/>
      <c r="G160" s="102"/>
      <c r="H160" s="137"/>
      <c r="I160" s="137"/>
      <c r="J160" s="137"/>
      <c r="K160" s="170"/>
      <c r="L160" s="170"/>
      <c r="M160" s="170"/>
      <c r="N160" s="137"/>
      <c r="O160" s="137"/>
    </row>
    <row r="161" spans="1:15" x14ac:dyDescent="0.35">
      <c r="A161" s="137"/>
      <c r="B161" s="137"/>
      <c r="C161" s="137"/>
      <c r="D161" s="137"/>
      <c r="E161" s="137"/>
      <c r="F161" s="137"/>
      <c r="G161" s="102"/>
      <c r="H161" s="137"/>
      <c r="I161" s="137"/>
      <c r="J161" s="137"/>
      <c r="K161" s="170"/>
      <c r="L161" s="170"/>
      <c r="M161" s="170"/>
      <c r="N161" s="137"/>
      <c r="O161" s="137"/>
    </row>
    <row r="162" spans="1:15" x14ac:dyDescent="0.35">
      <c r="A162" s="137"/>
      <c r="B162" s="137"/>
      <c r="C162" s="137"/>
      <c r="D162" s="137"/>
      <c r="E162" s="137"/>
      <c r="F162" s="137"/>
      <c r="G162" s="102"/>
      <c r="H162" s="137"/>
      <c r="I162" s="137"/>
      <c r="J162" s="137"/>
      <c r="K162" s="170"/>
      <c r="L162" s="170"/>
      <c r="M162" s="170"/>
      <c r="N162" s="137"/>
      <c r="O162" s="137"/>
    </row>
    <row r="163" spans="1:15" x14ac:dyDescent="0.35">
      <c r="A163" s="137"/>
      <c r="B163" s="137"/>
      <c r="C163" s="137"/>
      <c r="D163" s="137"/>
      <c r="E163" s="137"/>
      <c r="F163" s="137"/>
      <c r="G163" s="102"/>
      <c r="H163" s="137"/>
      <c r="I163" s="137"/>
      <c r="J163" s="137"/>
      <c r="K163" s="170"/>
      <c r="L163" s="170"/>
      <c r="M163" s="170"/>
      <c r="N163" s="137"/>
      <c r="O163" s="137"/>
    </row>
    <row r="164" spans="1:15" x14ac:dyDescent="0.35">
      <c r="A164" s="137"/>
      <c r="B164" s="137"/>
      <c r="C164" s="137"/>
      <c r="D164" s="137"/>
      <c r="E164" s="137"/>
      <c r="F164" s="137"/>
      <c r="G164" s="102"/>
      <c r="H164" s="137"/>
      <c r="I164" s="137"/>
      <c r="J164" s="137"/>
      <c r="K164" s="170"/>
      <c r="L164" s="170"/>
      <c r="M164" s="170"/>
      <c r="N164" s="137"/>
      <c r="O164" s="137"/>
    </row>
    <row r="165" spans="1:15" x14ac:dyDescent="0.35">
      <c r="A165" s="137"/>
      <c r="B165" s="137"/>
      <c r="C165" s="137"/>
      <c r="D165" s="137"/>
      <c r="E165" s="137"/>
      <c r="F165" s="137"/>
      <c r="G165" s="102"/>
      <c r="H165" s="137"/>
      <c r="I165" s="137"/>
      <c r="J165" s="137"/>
      <c r="K165" s="170"/>
      <c r="L165" s="170"/>
      <c r="M165" s="170"/>
      <c r="N165" s="137"/>
      <c r="O165" s="137"/>
    </row>
    <row r="166" spans="1:15" x14ac:dyDescent="0.35">
      <c r="A166" s="137"/>
      <c r="B166" s="137"/>
      <c r="C166" s="137"/>
      <c r="D166" s="137"/>
      <c r="E166" s="137"/>
      <c r="F166" s="137"/>
      <c r="G166" s="102"/>
      <c r="H166" s="137"/>
      <c r="I166" s="137"/>
      <c r="J166" s="137"/>
      <c r="K166" s="170"/>
      <c r="L166" s="170"/>
      <c r="M166" s="170"/>
      <c r="N166" s="137"/>
      <c r="O166" s="137"/>
    </row>
    <row r="167" spans="1:15" x14ac:dyDescent="0.35">
      <c r="A167" s="137"/>
      <c r="B167" s="137"/>
      <c r="C167" s="137"/>
      <c r="D167" s="137"/>
      <c r="E167" s="137"/>
      <c r="F167" s="137"/>
      <c r="G167" s="102"/>
      <c r="H167" s="137"/>
      <c r="I167" s="137"/>
      <c r="J167" s="137"/>
      <c r="K167" s="170"/>
      <c r="L167" s="170"/>
      <c r="M167" s="170"/>
      <c r="N167" s="137"/>
      <c r="O167" s="137"/>
    </row>
    <row r="168" spans="1:15" x14ac:dyDescent="0.35">
      <c r="A168" s="137"/>
      <c r="B168" s="137"/>
      <c r="C168" s="137"/>
      <c r="D168" s="137"/>
      <c r="E168" s="137"/>
      <c r="F168" s="137"/>
      <c r="G168" s="102"/>
      <c r="H168" s="137"/>
      <c r="I168" s="137"/>
      <c r="J168" s="137"/>
      <c r="K168" s="170"/>
      <c r="L168" s="170"/>
      <c r="M168" s="170"/>
      <c r="N168" s="137"/>
      <c r="O168" s="137"/>
    </row>
    <row r="169" spans="1:15" x14ac:dyDescent="0.35">
      <c r="A169" s="137"/>
      <c r="B169" s="137"/>
      <c r="C169" s="137"/>
      <c r="D169" s="137"/>
      <c r="E169" s="137"/>
      <c r="F169" s="137"/>
      <c r="G169" s="102"/>
      <c r="H169" s="137"/>
      <c r="I169" s="137"/>
      <c r="J169" s="137"/>
      <c r="K169" s="170"/>
      <c r="L169" s="170"/>
      <c r="M169" s="170"/>
      <c r="N169" s="137"/>
      <c r="O169" s="137"/>
    </row>
    <row r="170" spans="1:15" x14ac:dyDescent="0.35">
      <c r="A170" s="137"/>
      <c r="B170" s="137"/>
      <c r="C170" s="137"/>
      <c r="D170" s="137"/>
      <c r="E170" s="137"/>
      <c r="F170" s="137"/>
      <c r="G170" s="102"/>
      <c r="H170" s="137"/>
      <c r="I170" s="137"/>
      <c r="J170" s="137"/>
      <c r="K170" s="170"/>
      <c r="L170" s="170"/>
      <c r="M170" s="170"/>
      <c r="N170" s="137"/>
      <c r="O170" s="137"/>
    </row>
    <row r="171" spans="1:15" x14ac:dyDescent="0.35">
      <c r="A171" s="137"/>
      <c r="B171" s="137"/>
      <c r="C171" s="137"/>
      <c r="D171" s="137"/>
      <c r="E171" s="137"/>
      <c r="F171" s="137"/>
      <c r="G171" s="102"/>
      <c r="H171" s="137"/>
      <c r="I171" s="137"/>
      <c r="J171" s="137"/>
      <c r="K171" s="170"/>
      <c r="L171" s="170"/>
      <c r="M171" s="170"/>
      <c r="N171" s="137"/>
      <c r="O171" s="137"/>
    </row>
    <row r="172" spans="1:15" x14ac:dyDescent="0.35">
      <c r="A172" s="137"/>
      <c r="B172" s="137"/>
      <c r="C172" s="137"/>
      <c r="D172" s="137"/>
      <c r="E172" s="137"/>
      <c r="F172" s="137"/>
      <c r="G172" s="102"/>
      <c r="H172" s="137"/>
      <c r="I172" s="137"/>
      <c r="J172" s="137"/>
      <c r="K172" s="170"/>
      <c r="L172" s="170"/>
      <c r="M172" s="170"/>
      <c r="N172" s="137"/>
      <c r="O172" s="137"/>
    </row>
    <row r="173" spans="1:15" x14ac:dyDescent="0.35">
      <c r="A173" s="137"/>
      <c r="B173" s="137"/>
      <c r="C173" s="137"/>
      <c r="D173" s="137"/>
      <c r="E173" s="137"/>
      <c r="F173" s="137"/>
      <c r="G173" s="102"/>
      <c r="H173" s="137"/>
      <c r="I173" s="137"/>
      <c r="J173" s="137"/>
      <c r="K173" s="170"/>
      <c r="L173" s="170"/>
      <c r="M173" s="170"/>
      <c r="N173" s="137"/>
      <c r="O173" s="137"/>
    </row>
    <row r="174" spans="1:15" x14ac:dyDescent="0.35">
      <c r="A174" s="137"/>
      <c r="B174" s="137"/>
      <c r="C174" s="137"/>
      <c r="D174" s="137"/>
      <c r="E174" s="137"/>
      <c r="F174" s="137"/>
      <c r="G174" s="102"/>
      <c r="H174" s="137"/>
      <c r="I174" s="137"/>
      <c r="J174" s="137"/>
      <c r="K174" s="170"/>
      <c r="L174" s="170"/>
      <c r="M174" s="170"/>
      <c r="N174" s="137"/>
      <c r="O174" s="137"/>
    </row>
    <row r="175" spans="1:15" x14ac:dyDescent="0.35">
      <c r="A175" s="137"/>
      <c r="B175" s="137"/>
      <c r="C175" s="137"/>
      <c r="D175" s="137"/>
      <c r="E175" s="137"/>
      <c r="F175" s="137"/>
      <c r="G175" s="102"/>
      <c r="H175" s="137"/>
      <c r="I175" s="137"/>
      <c r="J175" s="137"/>
      <c r="K175" s="170"/>
      <c r="L175" s="170"/>
      <c r="M175" s="170"/>
    </row>
    <row r="176" spans="1:15" x14ac:dyDescent="0.35">
      <c r="A176" s="137"/>
      <c r="B176" s="137"/>
      <c r="C176" s="137"/>
      <c r="D176" s="137"/>
      <c r="E176" s="137"/>
      <c r="F176" s="137"/>
      <c r="G176" s="102"/>
      <c r="H176" s="137"/>
      <c r="I176" s="137"/>
      <c r="J176" s="137"/>
      <c r="K176" s="170"/>
      <c r="L176" s="170"/>
      <c r="M176" s="170"/>
    </row>
    <row r="177" spans="1:15" x14ac:dyDescent="0.35">
      <c r="A177" s="137"/>
      <c r="B177" s="137"/>
      <c r="C177" s="137"/>
      <c r="D177" s="137"/>
      <c r="E177" s="137"/>
      <c r="F177" s="137"/>
      <c r="G177" s="102"/>
      <c r="H177" s="137"/>
      <c r="I177" s="137"/>
      <c r="J177" s="137"/>
      <c r="K177" s="170"/>
      <c r="L177" s="170"/>
      <c r="M177" s="170"/>
    </row>
    <row r="178" spans="1:15" x14ac:dyDescent="0.35">
      <c r="A178" s="137"/>
      <c r="B178" s="137"/>
      <c r="C178" s="137"/>
      <c r="D178" s="137"/>
      <c r="E178" s="137"/>
      <c r="F178" s="137"/>
      <c r="G178" s="102"/>
      <c r="H178" s="137"/>
      <c r="I178" s="137"/>
      <c r="J178" s="137"/>
      <c r="K178" s="170"/>
      <c r="L178" s="170"/>
      <c r="M178" s="170"/>
      <c r="N178" s="137"/>
      <c r="O178" s="137"/>
    </row>
    <row r="179" spans="1:15" x14ac:dyDescent="0.35">
      <c r="A179" s="137"/>
      <c r="B179" s="137"/>
      <c r="C179" s="137"/>
      <c r="D179" s="137"/>
      <c r="E179" s="137"/>
      <c r="F179" s="137"/>
      <c r="G179" s="102"/>
      <c r="H179" s="137"/>
      <c r="I179" s="137"/>
      <c r="J179" s="137"/>
      <c r="K179" s="170"/>
      <c r="L179" s="170"/>
      <c r="M179" s="170"/>
      <c r="N179" s="137"/>
      <c r="O179" s="137"/>
    </row>
    <row r="180" spans="1:15" x14ac:dyDescent="0.35">
      <c r="A180" s="137"/>
      <c r="B180" s="137"/>
      <c r="C180" s="137"/>
      <c r="D180" s="137"/>
      <c r="E180" s="137"/>
      <c r="F180" s="137"/>
      <c r="G180" s="102"/>
      <c r="H180" s="137"/>
      <c r="I180" s="137"/>
      <c r="J180" s="137"/>
      <c r="K180" s="170"/>
      <c r="L180" s="170"/>
      <c r="M180" s="170"/>
      <c r="N180" s="137"/>
      <c r="O180" s="137"/>
    </row>
    <row r="181" spans="1:15" x14ac:dyDescent="0.35">
      <c r="A181" s="137"/>
      <c r="B181" s="137"/>
      <c r="C181" s="137"/>
      <c r="D181" s="137"/>
      <c r="E181" s="137"/>
      <c r="F181" s="137"/>
      <c r="G181" s="102"/>
      <c r="H181" s="137"/>
      <c r="I181" s="137"/>
      <c r="J181" s="137"/>
      <c r="K181" s="170"/>
      <c r="L181" s="170"/>
      <c r="M181" s="170"/>
      <c r="N181" s="137"/>
      <c r="O181" s="137"/>
    </row>
    <row r="182" spans="1:15" x14ac:dyDescent="0.35">
      <c r="A182" s="137"/>
      <c r="B182" s="137"/>
      <c r="C182" s="137"/>
      <c r="D182" s="137"/>
      <c r="E182" s="137"/>
      <c r="F182" s="137"/>
      <c r="G182" s="102"/>
      <c r="H182" s="137"/>
      <c r="I182" s="137"/>
      <c r="J182" s="137"/>
      <c r="K182" s="170"/>
      <c r="L182" s="170"/>
      <c r="M182" s="170"/>
      <c r="N182" s="137"/>
      <c r="O182" s="137"/>
    </row>
    <row r="183" spans="1:15" x14ac:dyDescent="0.35">
      <c r="A183" s="137"/>
      <c r="B183" s="137"/>
      <c r="C183" s="137"/>
      <c r="D183" s="137"/>
      <c r="E183" s="137"/>
      <c r="F183" s="137"/>
      <c r="G183" s="102"/>
      <c r="H183" s="137"/>
      <c r="I183" s="137"/>
      <c r="J183" s="137"/>
      <c r="K183" s="170"/>
      <c r="L183" s="170"/>
      <c r="M183" s="170"/>
      <c r="N183" s="137"/>
      <c r="O183" s="137"/>
    </row>
    <row r="184" spans="1:15" x14ac:dyDescent="0.35">
      <c r="A184" s="137"/>
      <c r="B184" s="137"/>
      <c r="C184" s="137"/>
      <c r="D184" s="137"/>
      <c r="E184" s="137"/>
      <c r="F184" s="137"/>
      <c r="G184" s="102"/>
      <c r="H184" s="137"/>
      <c r="I184" s="137"/>
      <c r="J184" s="137"/>
      <c r="K184" s="170"/>
      <c r="L184" s="170"/>
      <c r="M184" s="170"/>
      <c r="N184" s="137"/>
      <c r="O184" s="137"/>
    </row>
    <row r="185" spans="1:15" x14ac:dyDescent="0.35">
      <c r="A185" s="137"/>
      <c r="B185" s="137"/>
      <c r="C185" s="137"/>
      <c r="D185" s="137"/>
      <c r="E185" s="137"/>
      <c r="F185" s="137"/>
      <c r="G185" s="102"/>
      <c r="H185" s="137"/>
      <c r="I185" s="137"/>
      <c r="J185" s="137"/>
      <c r="K185" s="170"/>
      <c r="L185" s="170"/>
      <c r="M185" s="170"/>
      <c r="N185" s="137"/>
      <c r="O185" s="137"/>
    </row>
    <row r="186" spans="1:15" x14ac:dyDescent="0.35">
      <c r="A186" s="137"/>
      <c r="B186" s="137"/>
      <c r="C186" s="137"/>
      <c r="D186" s="137"/>
      <c r="E186" s="137"/>
      <c r="F186" s="137"/>
      <c r="G186" s="102"/>
      <c r="H186" s="137"/>
      <c r="I186" s="137"/>
      <c r="J186" s="137"/>
      <c r="K186" s="170"/>
      <c r="L186" s="170"/>
      <c r="M186" s="170"/>
      <c r="N186" s="137"/>
      <c r="O186" s="137"/>
    </row>
    <row r="187" spans="1:15" x14ac:dyDescent="0.35">
      <c r="A187" s="137"/>
      <c r="B187" s="137"/>
      <c r="C187" s="137"/>
      <c r="D187" s="137"/>
      <c r="E187" s="137"/>
      <c r="F187" s="137"/>
      <c r="G187" s="102"/>
      <c r="H187" s="137"/>
      <c r="I187" s="137"/>
      <c r="J187" s="137"/>
      <c r="K187" s="170"/>
      <c r="L187" s="170"/>
      <c r="M187" s="170"/>
      <c r="N187" s="137"/>
      <c r="O187" s="137"/>
    </row>
    <row r="188" spans="1:15" x14ac:dyDescent="0.35">
      <c r="A188" s="137"/>
      <c r="B188" s="137"/>
      <c r="C188" s="137"/>
      <c r="D188" s="137"/>
      <c r="E188" s="137"/>
      <c r="F188" s="137"/>
      <c r="G188" s="102"/>
      <c r="H188" s="137"/>
      <c r="I188" s="137"/>
      <c r="J188" s="137"/>
      <c r="K188" s="170"/>
      <c r="L188" s="170"/>
      <c r="M188" s="170"/>
      <c r="N188" s="137"/>
      <c r="O188" s="137"/>
    </row>
    <row r="189" spans="1:15" x14ac:dyDescent="0.35">
      <c r="A189" s="137"/>
      <c r="B189" s="137"/>
      <c r="C189" s="137"/>
      <c r="D189" s="137"/>
      <c r="E189" s="137"/>
      <c r="F189" s="137"/>
      <c r="G189" s="102"/>
      <c r="H189" s="137"/>
      <c r="I189" s="137"/>
      <c r="J189" s="137"/>
      <c r="K189" s="170"/>
      <c r="L189" s="170"/>
      <c r="M189" s="170"/>
      <c r="N189" s="31"/>
      <c r="O189" s="31"/>
    </row>
    <row r="190" spans="1:15" x14ac:dyDescent="0.35">
      <c r="A190" s="137"/>
      <c r="B190" s="137"/>
      <c r="C190" s="137"/>
      <c r="D190" s="137"/>
      <c r="E190" s="137"/>
      <c r="F190" s="137"/>
      <c r="G190" s="102"/>
      <c r="H190" s="137"/>
      <c r="I190" s="137"/>
      <c r="J190" s="137"/>
      <c r="K190" s="170"/>
      <c r="L190" s="170"/>
      <c r="M190" s="170"/>
      <c r="N190" s="137"/>
      <c r="O190" s="137"/>
    </row>
    <row r="191" spans="1:15" x14ac:dyDescent="0.35">
      <c r="A191" s="137"/>
      <c r="B191" s="137"/>
      <c r="C191" s="137"/>
      <c r="D191" s="137"/>
      <c r="E191" s="137"/>
      <c r="F191" s="137"/>
      <c r="G191" s="102"/>
      <c r="H191" s="137"/>
      <c r="I191" s="137"/>
      <c r="J191" s="137"/>
      <c r="K191" s="170"/>
      <c r="L191" s="170"/>
      <c r="M191" s="170"/>
      <c r="N191" s="137"/>
      <c r="O191" s="137"/>
    </row>
    <row r="192" spans="1:15" x14ac:dyDescent="0.35">
      <c r="A192" s="137"/>
      <c r="B192" s="137"/>
      <c r="C192" s="137"/>
      <c r="D192" s="137"/>
      <c r="E192" s="137"/>
      <c r="F192" s="137"/>
      <c r="G192" s="102"/>
      <c r="H192" s="137"/>
      <c r="I192" s="137"/>
      <c r="J192" s="137"/>
      <c r="K192" s="170"/>
      <c r="L192" s="170"/>
      <c r="M192" s="170"/>
      <c r="N192" s="137"/>
      <c r="O192" s="137"/>
    </row>
    <row r="193" spans="1:15" x14ac:dyDescent="0.35">
      <c r="A193" s="137"/>
      <c r="B193" s="137"/>
      <c r="C193" s="137"/>
      <c r="D193" s="137"/>
      <c r="E193" s="137"/>
      <c r="F193" s="137"/>
      <c r="G193" s="102"/>
      <c r="H193" s="137"/>
      <c r="I193" s="137"/>
      <c r="J193" s="137"/>
      <c r="K193" s="170"/>
      <c r="L193" s="170"/>
      <c r="M193" s="170"/>
      <c r="N193" s="137"/>
      <c r="O193" s="137"/>
    </row>
    <row r="194" spans="1:15" x14ac:dyDescent="0.35">
      <c r="A194" s="137"/>
      <c r="B194" s="137"/>
      <c r="C194" s="137"/>
      <c r="D194" s="137"/>
      <c r="E194" s="137"/>
      <c r="F194" s="137"/>
      <c r="G194" s="102"/>
      <c r="H194" s="137"/>
      <c r="I194" s="137"/>
      <c r="J194" s="137"/>
      <c r="K194" s="170"/>
      <c r="L194" s="170"/>
      <c r="M194" s="170"/>
    </row>
    <row r="195" spans="1:15" x14ac:dyDescent="0.35">
      <c r="A195" s="137"/>
      <c r="B195" s="137"/>
      <c r="C195" s="137"/>
      <c r="D195" s="137"/>
      <c r="E195" s="137"/>
      <c r="F195" s="137"/>
      <c r="G195" s="102"/>
      <c r="H195" s="137"/>
      <c r="I195" s="137"/>
      <c r="J195" s="137"/>
      <c r="K195" s="170"/>
      <c r="L195" s="170"/>
      <c r="M195" s="170"/>
    </row>
    <row r="196" spans="1:15" x14ac:dyDescent="0.35">
      <c r="A196" s="137"/>
      <c r="B196" s="137"/>
      <c r="C196" s="137"/>
      <c r="D196" s="137"/>
      <c r="E196" s="137"/>
      <c r="F196" s="137"/>
      <c r="G196" s="102"/>
      <c r="H196" s="137"/>
      <c r="I196" s="137"/>
      <c r="J196" s="137"/>
      <c r="K196" s="170"/>
      <c r="L196" s="170"/>
      <c r="M196" s="170"/>
    </row>
    <row r="197" spans="1:15" x14ac:dyDescent="0.35">
      <c r="A197" s="137"/>
      <c r="B197" s="137"/>
      <c r="C197" s="137"/>
      <c r="D197" s="137"/>
      <c r="E197" s="137"/>
      <c r="F197" s="137"/>
      <c r="G197" s="102"/>
      <c r="H197" s="137"/>
      <c r="I197" s="137"/>
      <c r="J197" s="137"/>
      <c r="K197" s="170"/>
      <c r="L197" s="170"/>
      <c r="M197" s="170"/>
      <c r="N197" s="137"/>
      <c r="O197" s="137"/>
    </row>
    <row r="198" spans="1:15" x14ac:dyDescent="0.35">
      <c r="A198" s="137"/>
      <c r="B198" s="137"/>
      <c r="C198" s="137"/>
      <c r="D198" s="137"/>
      <c r="E198" s="137"/>
      <c r="F198" s="137"/>
      <c r="G198" s="102"/>
      <c r="H198" s="137"/>
      <c r="I198" s="137"/>
      <c r="J198" s="137"/>
      <c r="K198" s="170"/>
      <c r="L198" s="170"/>
      <c r="M198" s="170"/>
      <c r="N198" s="137"/>
      <c r="O198" s="137"/>
    </row>
    <row r="199" spans="1:15" x14ac:dyDescent="0.35">
      <c r="A199" s="137"/>
      <c r="B199" s="137"/>
      <c r="C199" s="137"/>
      <c r="D199" s="137"/>
      <c r="E199" s="137"/>
      <c r="F199" s="137"/>
      <c r="G199" s="102"/>
      <c r="H199" s="137"/>
      <c r="I199" s="137"/>
      <c r="J199" s="137"/>
      <c r="K199" s="170"/>
      <c r="L199" s="170"/>
      <c r="M199" s="170"/>
      <c r="N199" s="137"/>
      <c r="O199" s="137"/>
    </row>
    <row r="200" spans="1:15" x14ac:dyDescent="0.35">
      <c r="A200" s="137"/>
      <c r="B200" s="137"/>
      <c r="C200" s="137"/>
      <c r="D200" s="137"/>
      <c r="E200" s="137"/>
      <c r="F200" s="137"/>
      <c r="G200" s="102"/>
      <c r="H200" s="137"/>
      <c r="I200" s="137"/>
      <c r="J200" s="137"/>
      <c r="K200" s="170"/>
      <c r="L200" s="170"/>
      <c r="M200" s="170"/>
    </row>
    <row r="201" spans="1:15" x14ac:dyDescent="0.35">
      <c r="A201" s="137"/>
      <c r="B201" s="137"/>
      <c r="C201" s="137"/>
      <c r="D201" s="137"/>
      <c r="E201" s="137"/>
      <c r="F201" s="137"/>
      <c r="G201" s="102"/>
      <c r="H201" s="137"/>
      <c r="I201" s="137"/>
      <c r="J201" s="137"/>
      <c r="K201" s="170"/>
      <c r="L201" s="170"/>
      <c r="M201" s="170"/>
      <c r="N201" s="137"/>
      <c r="O201" s="137"/>
    </row>
    <row r="202" spans="1:15" x14ac:dyDescent="0.35">
      <c r="A202" s="137"/>
      <c r="B202" s="137"/>
      <c r="C202" s="137"/>
      <c r="D202" s="137"/>
      <c r="E202" s="137"/>
      <c r="F202" s="137"/>
      <c r="G202" s="102"/>
      <c r="H202" s="137"/>
      <c r="I202" s="137"/>
      <c r="J202" s="137"/>
      <c r="K202" s="170"/>
      <c r="L202" s="170"/>
      <c r="M202" s="170"/>
    </row>
    <row r="203" spans="1:15" x14ac:dyDescent="0.35">
      <c r="A203" s="137"/>
      <c r="B203" s="137"/>
      <c r="C203" s="137"/>
      <c r="D203" s="137"/>
      <c r="E203" s="137"/>
      <c r="F203" s="137"/>
      <c r="G203" s="102"/>
      <c r="H203" s="137"/>
      <c r="I203" s="137"/>
      <c r="J203" s="137"/>
      <c r="K203" s="170"/>
      <c r="L203" s="170"/>
      <c r="M203" s="170"/>
      <c r="N203" s="137"/>
      <c r="O203" s="137"/>
    </row>
    <row r="204" spans="1:15" x14ac:dyDescent="0.35">
      <c r="A204" s="137"/>
      <c r="B204" s="137"/>
      <c r="C204" s="137"/>
      <c r="D204" s="137"/>
      <c r="E204" s="137"/>
      <c r="F204" s="137"/>
      <c r="G204" s="102"/>
      <c r="H204" s="137"/>
      <c r="I204" s="137"/>
      <c r="J204" s="137"/>
      <c r="K204" s="170"/>
      <c r="L204" s="170"/>
      <c r="M204" s="170"/>
      <c r="N204" s="137"/>
      <c r="O204" s="137"/>
    </row>
    <row r="205" spans="1:15" x14ac:dyDescent="0.35">
      <c r="A205" s="137"/>
      <c r="B205" s="137"/>
      <c r="C205" s="137"/>
      <c r="D205" s="137"/>
      <c r="E205" s="137"/>
      <c r="F205" s="137"/>
      <c r="G205" s="102"/>
      <c r="H205" s="137"/>
      <c r="I205" s="137"/>
      <c r="J205" s="137"/>
      <c r="K205" s="170"/>
      <c r="L205" s="170"/>
      <c r="M205" s="170"/>
      <c r="N205" s="137"/>
      <c r="O205" s="137"/>
    </row>
    <row r="206" spans="1:15" x14ac:dyDescent="0.35">
      <c r="A206" s="137"/>
      <c r="B206" s="137"/>
      <c r="C206" s="137"/>
      <c r="D206" s="137"/>
      <c r="E206" s="137"/>
      <c r="F206" s="137"/>
      <c r="G206" s="102"/>
      <c r="H206" s="137"/>
      <c r="I206" s="137"/>
      <c r="J206" s="137"/>
      <c r="K206" s="170"/>
      <c r="L206" s="170"/>
      <c r="M206" s="170"/>
      <c r="N206" s="137"/>
      <c r="O206" s="137"/>
    </row>
    <row r="207" spans="1:15" x14ac:dyDescent="0.35">
      <c r="A207" s="137"/>
      <c r="B207" s="137"/>
      <c r="C207" s="137"/>
      <c r="D207" s="137"/>
      <c r="E207" s="137"/>
      <c r="F207" s="137"/>
      <c r="G207" s="102"/>
      <c r="H207" s="137"/>
      <c r="I207" s="137"/>
      <c r="J207" s="137"/>
      <c r="K207" s="170"/>
      <c r="L207" s="170"/>
      <c r="M207" s="170"/>
      <c r="N207" s="137"/>
      <c r="O207" s="137"/>
    </row>
    <row r="208" spans="1:15" x14ac:dyDescent="0.35">
      <c r="A208" s="137"/>
      <c r="B208" s="137"/>
      <c r="C208" s="137"/>
      <c r="D208" s="137"/>
      <c r="E208" s="137"/>
      <c r="F208" s="137"/>
      <c r="G208" s="102"/>
      <c r="H208" s="137"/>
      <c r="I208" s="137"/>
      <c r="J208" s="137"/>
      <c r="K208" s="170"/>
      <c r="L208" s="170"/>
      <c r="M208" s="170"/>
      <c r="N208" s="137"/>
      <c r="O208" s="137"/>
    </row>
    <row r="209" spans="1:15" x14ac:dyDescent="0.35">
      <c r="A209" s="137"/>
      <c r="B209" s="137"/>
      <c r="C209" s="137"/>
      <c r="D209" s="137"/>
      <c r="E209" s="137"/>
      <c r="F209" s="137"/>
      <c r="G209" s="102"/>
      <c r="H209" s="137"/>
      <c r="I209" s="137"/>
      <c r="J209" s="137"/>
      <c r="K209" s="170"/>
      <c r="L209" s="170"/>
      <c r="M209" s="170"/>
      <c r="N209" s="137"/>
      <c r="O209" s="137"/>
    </row>
    <row r="210" spans="1:15" x14ac:dyDescent="0.35">
      <c r="A210" s="137"/>
      <c r="B210" s="137"/>
      <c r="C210" s="137"/>
      <c r="D210" s="137"/>
      <c r="E210" s="137"/>
      <c r="F210" s="137"/>
      <c r="G210" s="102"/>
      <c r="H210" s="137"/>
      <c r="I210" s="137"/>
      <c r="J210" s="137"/>
      <c r="K210" s="170"/>
      <c r="L210" s="170"/>
      <c r="M210" s="170"/>
      <c r="N210" s="137"/>
      <c r="O210" s="137"/>
    </row>
    <row r="211" spans="1:15" x14ac:dyDescent="0.35">
      <c r="A211" s="137"/>
      <c r="B211" s="137"/>
      <c r="C211" s="137"/>
      <c r="D211" s="137"/>
      <c r="E211" s="137"/>
      <c r="F211" s="137"/>
      <c r="G211" s="102"/>
      <c r="H211" s="137"/>
      <c r="I211" s="137"/>
      <c r="J211" s="137"/>
      <c r="K211" s="170"/>
      <c r="L211" s="170"/>
      <c r="M211" s="170"/>
    </row>
    <row r="212" spans="1:15" x14ac:dyDescent="0.35">
      <c r="A212" s="137"/>
      <c r="B212" s="137"/>
      <c r="C212" s="137"/>
      <c r="D212" s="137"/>
      <c r="E212" s="137"/>
      <c r="F212" s="137"/>
      <c r="G212" s="102"/>
      <c r="H212" s="137"/>
      <c r="I212" s="137"/>
      <c r="J212" s="137"/>
      <c r="K212" s="170"/>
      <c r="L212" s="170"/>
      <c r="M212" s="170"/>
      <c r="N212" s="137"/>
      <c r="O212" s="137"/>
    </row>
    <row r="213" spans="1:15" x14ac:dyDescent="0.35">
      <c r="A213" s="137"/>
      <c r="B213" s="137"/>
      <c r="C213" s="137"/>
      <c r="D213" s="137"/>
      <c r="E213" s="137"/>
      <c r="F213" s="137"/>
      <c r="G213" s="102"/>
      <c r="H213" s="137"/>
      <c r="I213" s="137"/>
      <c r="J213" s="137"/>
      <c r="K213" s="170"/>
      <c r="L213" s="170"/>
      <c r="M213" s="170"/>
      <c r="N213" s="137"/>
      <c r="O213" s="137"/>
    </row>
    <row r="214" spans="1:15" x14ac:dyDescent="0.35">
      <c r="A214" s="137"/>
      <c r="B214" s="137"/>
      <c r="C214" s="137"/>
      <c r="D214" s="137"/>
      <c r="E214" s="137"/>
      <c r="F214" s="137"/>
      <c r="G214" s="102"/>
      <c r="H214" s="137"/>
      <c r="I214" s="137"/>
      <c r="J214" s="137"/>
      <c r="K214" s="170"/>
      <c r="L214" s="170"/>
      <c r="M214" s="170"/>
    </row>
    <row r="215" spans="1:15" x14ac:dyDescent="0.35">
      <c r="A215" s="137"/>
      <c r="B215" s="137"/>
      <c r="C215" s="137"/>
      <c r="D215" s="137"/>
      <c r="E215" s="137"/>
      <c r="F215" s="137"/>
      <c r="G215" s="102"/>
      <c r="H215" s="137"/>
      <c r="I215" s="137"/>
      <c r="J215" s="137"/>
      <c r="K215" s="170"/>
      <c r="L215" s="170"/>
      <c r="M215" s="170"/>
    </row>
    <row r="216" spans="1:15" x14ac:dyDescent="0.35">
      <c r="A216" s="137"/>
      <c r="B216" s="137"/>
      <c r="C216" s="137"/>
      <c r="D216" s="137"/>
      <c r="E216" s="137"/>
      <c r="F216" s="137"/>
      <c r="G216" s="102"/>
      <c r="H216" s="137"/>
      <c r="I216" s="137"/>
      <c r="J216" s="137"/>
      <c r="K216" s="170"/>
      <c r="L216" s="170"/>
      <c r="M216" s="170"/>
      <c r="N216" s="137"/>
      <c r="O216" s="137"/>
    </row>
    <row r="217" spans="1:15" x14ac:dyDescent="0.35">
      <c r="A217" s="137"/>
      <c r="B217" s="137"/>
      <c r="C217" s="137"/>
      <c r="D217" s="137"/>
      <c r="E217" s="137"/>
      <c r="F217" s="137"/>
      <c r="G217" s="102"/>
      <c r="H217" s="137"/>
      <c r="I217" s="137"/>
      <c r="J217" s="137"/>
      <c r="K217" s="170"/>
      <c r="L217" s="170"/>
      <c r="M217" s="170"/>
      <c r="N217" s="137"/>
      <c r="O217" s="137"/>
    </row>
    <row r="218" spans="1:15" x14ac:dyDescent="0.35">
      <c r="A218" s="137"/>
      <c r="B218" s="137"/>
      <c r="C218" s="137"/>
      <c r="D218" s="137"/>
      <c r="E218" s="137"/>
      <c r="F218" s="137"/>
      <c r="G218" s="102"/>
      <c r="H218" s="137"/>
      <c r="I218" s="137"/>
      <c r="J218" s="137"/>
      <c r="K218" s="170"/>
      <c r="L218" s="170"/>
      <c r="M218" s="170"/>
      <c r="N218" s="137"/>
      <c r="O218" s="137"/>
    </row>
    <row r="219" spans="1:15" x14ac:dyDescent="0.35">
      <c r="A219" s="137"/>
      <c r="B219" s="137"/>
      <c r="C219" s="137"/>
      <c r="D219" s="137"/>
      <c r="E219" s="137"/>
      <c r="F219" s="137"/>
      <c r="G219" s="102"/>
      <c r="H219" s="137"/>
      <c r="I219" s="137"/>
      <c r="J219" s="137"/>
      <c r="K219" s="170"/>
      <c r="L219" s="170"/>
      <c r="M219" s="170"/>
      <c r="N219" s="137"/>
      <c r="O219" s="137"/>
    </row>
    <row r="220" spans="1:15" x14ac:dyDescent="0.35">
      <c r="A220" s="137"/>
      <c r="B220" s="137"/>
      <c r="C220" s="137"/>
      <c r="D220" s="137"/>
      <c r="E220" s="137"/>
      <c r="F220" s="137"/>
      <c r="G220" s="102"/>
      <c r="H220" s="137"/>
      <c r="I220" s="137"/>
      <c r="J220" s="137"/>
      <c r="K220" s="170"/>
      <c r="L220" s="170"/>
      <c r="M220" s="170"/>
    </row>
    <row r="221" spans="1:15" x14ac:dyDescent="0.35">
      <c r="A221" s="137"/>
      <c r="B221" s="137"/>
      <c r="C221" s="137"/>
      <c r="D221" s="137"/>
      <c r="E221" s="137"/>
      <c r="F221" s="137"/>
      <c r="G221" s="102"/>
      <c r="H221" s="137"/>
      <c r="I221" s="137"/>
      <c r="J221" s="137"/>
      <c r="K221" s="170"/>
      <c r="L221" s="170"/>
      <c r="M221" s="170"/>
      <c r="N221" s="137"/>
      <c r="O221" s="137"/>
    </row>
    <row r="222" spans="1:15" x14ac:dyDescent="0.35">
      <c r="A222" s="137"/>
      <c r="B222" s="137"/>
      <c r="C222" s="137"/>
      <c r="D222" s="137"/>
      <c r="E222" s="137"/>
      <c r="F222" s="137"/>
      <c r="G222" s="102"/>
      <c r="H222" s="137"/>
      <c r="I222" s="137"/>
      <c r="J222" s="137"/>
      <c r="K222" s="170"/>
      <c r="L222" s="170"/>
      <c r="M222" s="170"/>
      <c r="N222" s="137"/>
      <c r="O222" s="137"/>
    </row>
    <row r="223" spans="1:15" x14ac:dyDescent="0.35">
      <c r="A223" s="137"/>
      <c r="B223" s="137"/>
      <c r="C223" s="137"/>
      <c r="D223" s="137"/>
      <c r="E223" s="137"/>
      <c r="F223" s="137"/>
      <c r="G223" s="102"/>
      <c r="H223" s="137"/>
      <c r="I223" s="137"/>
      <c r="J223" s="137"/>
      <c r="K223" s="170"/>
      <c r="L223" s="170"/>
      <c r="M223" s="170"/>
      <c r="N223" s="137"/>
      <c r="O223" s="137"/>
    </row>
    <row r="224" spans="1:15" x14ac:dyDescent="0.35">
      <c r="A224" s="137"/>
      <c r="B224" s="137"/>
      <c r="C224" s="137"/>
      <c r="D224" s="137"/>
      <c r="E224" s="137"/>
      <c r="F224" s="137"/>
      <c r="G224" s="102"/>
      <c r="H224" s="137"/>
      <c r="I224" s="137"/>
      <c r="J224" s="137"/>
      <c r="K224" s="170"/>
      <c r="L224" s="170"/>
      <c r="M224" s="170"/>
      <c r="N224" s="137"/>
      <c r="O224" s="137"/>
    </row>
    <row r="225" spans="1:15" x14ac:dyDescent="0.35">
      <c r="A225" s="137"/>
      <c r="B225" s="137"/>
      <c r="C225" s="137"/>
      <c r="D225" s="137"/>
      <c r="E225" s="137"/>
      <c r="F225" s="137"/>
      <c r="G225" s="102"/>
      <c r="H225" s="137"/>
      <c r="I225" s="137"/>
      <c r="J225" s="137"/>
      <c r="K225" s="170"/>
      <c r="L225" s="170"/>
      <c r="M225" s="170"/>
      <c r="N225" s="137"/>
      <c r="O225" s="137"/>
    </row>
    <row r="226" spans="1:15" x14ac:dyDescent="0.35">
      <c r="A226" s="137"/>
      <c r="B226" s="137"/>
      <c r="C226" s="137"/>
      <c r="D226" s="137"/>
      <c r="E226" s="137"/>
      <c r="F226" s="137"/>
      <c r="G226" s="102"/>
      <c r="H226" s="137"/>
      <c r="I226" s="137"/>
      <c r="J226" s="137"/>
      <c r="K226" s="170"/>
      <c r="L226" s="170"/>
      <c r="M226" s="170"/>
      <c r="N226" s="137"/>
      <c r="O226" s="137"/>
    </row>
    <row r="227" spans="1:15" x14ac:dyDescent="0.35">
      <c r="A227" s="137"/>
      <c r="B227" s="137"/>
      <c r="C227" s="137"/>
      <c r="D227" s="137"/>
      <c r="E227" s="137"/>
      <c r="F227" s="137"/>
      <c r="G227" s="102"/>
      <c r="H227" s="137"/>
      <c r="I227" s="137"/>
      <c r="J227" s="137"/>
      <c r="K227" s="170"/>
      <c r="L227" s="170"/>
      <c r="M227" s="170"/>
      <c r="N227" s="137"/>
      <c r="O227" s="137"/>
    </row>
    <row r="228" spans="1:15" x14ac:dyDescent="0.35">
      <c r="A228" s="137"/>
      <c r="B228" s="137"/>
      <c r="C228" s="137"/>
      <c r="D228" s="137"/>
      <c r="E228" s="137"/>
      <c r="F228" s="137"/>
      <c r="G228" s="102"/>
      <c r="H228" s="137"/>
      <c r="I228" s="137"/>
      <c r="J228" s="137"/>
      <c r="K228" s="170"/>
      <c r="L228" s="170"/>
      <c r="M228" s="170"/>
      <c r="N228" s="137"/>
      <c r="O228" s="137"/>
    </row>
    <row r="229" spans="1:15" x14ac:dyDescent="0.35">
      <c r="A229" s="137"/>
      <c r="B229" s="137"/>
      <c r="C229" s="137"/>
      <c r="D229" s="137"/>
      <c r="E229" s="137"/>
      <c r="F229" s="137"/>
      <c r="G229" s="102"/>
      <c r="H229" s="137"/>
      <c r="I229" s="137"/>
      <c r="J229" s="137"/>
      <c r="K229" s="170"/>
      <c r="L229" s="170"/>
      <c r="M229" s="170"/>
      <c r="N229" s="137"/>
      <c r="O229" s="137"/>
    </row>
    <row r="230" spans="1:15" x14ac:dyDescent="0.35">
      <c r="A230" s="137"/>
      <c r="B230" s="137"/>
      <c r="C230" s="137"/>
      <c r="D230" s="137"/>
      <c r="E230" s="137"/>
      <c r="F230" s="137"/>
      <c r="G230" s="102"/>
      <c r="H230" s="137"/>
      <c r="I230" s="137"/>
      <c r="J230" s="137"/>
      <c r="K230" s="170"/>
      <c r="L230" s="170"/>
      <c r="M230" s="170"/>
      <c r="N230" s="137"/>
      <c r="O230" s="137"/>
    </row>
    <row r="231" spans="1:15" x14ac:dyDescent="0.35">
      <c r="A231" s="137"/>
      <c r="B231" s="137"/>
      <c r="C231" s="137"/>
      <c r="D231" s="137"/>
      <c r="E231" s="137"/>
      <c r="F231" s="137"/>
      <c r="G231" s="102"/>
      <c r="H231" s="137"/>
      <c r="I231" s="137"/>
      <c r="J231" s="137"/>
      <c r="K231" s="170"/>
      <c r="L231" s="170"/>
      <c r="M231" s="170"/>
      <c r="N231" s="137"/>
      <c r="O231" s="137"/>
    </row>
    <row r="232" spans="1:15" x14ac:dyDescent="0.35">
      <c r="A232" s="137"/>
      <c r="B232" s="137"/>
      <c r="C232" s="137"/>
      <c r="D232" s="137"/>
      <c r="E232" s="137"/>
      <c r="F232" s="137"/>
      <c r="G232" s="102"/>
      <c r="H232" s="137"/>
      <c r="I232" s="137"/>
      <c r="J232" s="137"/>
      <c r="K232" s="170"/>
      <c r="L232" s="170"/>
      <c r="M232" s="170"/>
      <c r="N232" s="137"/>
      <c r="O232" s="137"/>
    </row>
    <row r="233" spans="1:15" x14ac:dyDescent="0.35">
      <c r="A233" s="137"/>
      <c r="B233" s="137"/>
      <c r="C233" s="137"/>
      <c r="D233" s="137"/>
      <c r="E233" s="137"/>
      <c r="F233" s="137"/>
      <c r="G233" s="102"/>
      <c r="H233" s="137"/>
      <c r="I233" s="137"/>
      <c r="J233" s="137"/>
      <c r="K233" s="170"/>
      <c r="L233" s="170"/>
      <c r="M233" s="170"/>
      <c r="N233" s="137"/>
      <c r="O233" s="137"/>
    </row>
    <row r="234" spans="1:15" x14ac:dyDescent="0.35">
      <c r="A234" s="137"/>
      <c r="B234" s="137"/>
      <c r="C234" s="137"/>
      <c r="D234" s="137"/>
      <c r="E234" s="137"/>
      <c r="F234" s="137"/>
      <c r="G234" s="102"/>
      <c r="H234" s="137"/>
      <c r="I234" s="137"/>
      <c r="J234" s="137"/>
      <c r="K234" s="170"/>
      <c r="L234" s="170"/>
      <c r="M234" s="170"/>
      <c r="N234" s="137"/>
      <c r="O234" s="137"/>
    </row>
    <row r="235" spans="1:15" x14ac:dyDescent="0.35">
      <c r="A235" s="137"/>
      <c r="B235" s="137"/>
      <c r="C235" s="137"/>
      <c r="D235" s="137"/>
      <c r="E235" s="137"/>
      <c r="F235" s="137"/>
      <c r="G235" s="102"/>
      <c r="H235" s="137"/>
      <c r="I235" s="137"/>
      <c r="J235" s="137"/>
      <c r="K235" s="170"/>
      <c r="L235" s="170"/>
      <c r="M235" s="170"/>
      <c r="N235" s="137"/>
      <c r="O235" s="137"/>
    </row>
    <row r="236" spans="1:15" x14ac:dyDescent="0.35">
      <c r="A236" s="137"/>
      <c r="B236" s="137"/>
      <c r="C236" s="137"/>
      <c r="D236" s="137"/>
      <c r="E236" s="137"/>
      <c r="F236" s="137"/>
      <c r="G236" s="102"/>
      <c r="H236" s="137"/>
      <c r="I236" s="137"/>
      <c r="J236" s="137"/>
      <c r="K236" s="170"/>
      <c r="L236" s="170"/>
      <c r="M236" s="170"/>
      <c r="N236" s="137"/>
      <c r="O236" s="137"/>
    </row>
    <row r="237" spans="1:15" x14ac:dyDescent="0.35">
      <c r="A237" s="137"/>
      <c r="B237" s="137"/>
      <c r="C237" s="137"/>
      <c r="D237" s="137"/>
      <c r="E237" s="137"/>
      <c r="F237" s="137"/>
      <c r="G237" s="102"/>
      <c r="H237" s="137"/>
      <c r="I237" s="137"/>
      <c r="J237" s="137"/>
      <c r="K237" s="170"/>
      <c r="L237" s="170"/>
      <c r="M237" s="170"/>
    </row>
    <row r="238" spans="1:15" x14ac:dyDescent="0.35">
      <c r="A238" s="137"/>
      <c r="B238" s="137"/>
      <c r="C238" s="137"/>
      <c r="D238" s="137"/>
      <c r="E238" s="137"/>
      <c r="F238" s="137"/>
      <c r="G238" s="102"/>
      <c r="H238" s="137"/>
      <c r="I238" s="137"/>
      <c r="J238" s="137"/>
      <c r="K238" s="170"/>
      <c r="L238" s="170"/>
      <c r="M238" s="170"/>
      <c r="N238" s="137"/>
      <c r="O238" s="137"/>
    </row>
    <row r="239" spans="1:15" x14ac:dyDescent="0.35">
      <c r="A239" s="137"/>
      <c r="B239" s="137"/>
      <c r="C239" s="137"/>
      <c r="D239" s="137"/>
      <c r="E239" s="137"/>
      <c r="F239" s="137"/>
      <c r="G239" s="102"/>
      <c r="H239" s="137"/>
      <c r="I239" s="137"/>
      <c r="J239" s="137"/>
      <c r="K239" s="170"/>
      <c r="L239" s="170"/>
      <c r="M239" s="170"/>
      <c r="N239" s="137"/>
      <c r="O239" s="137"/>
    </row>
    <row r="240" spans="1:15" x14ac:dyDescent="0.35">
      <c r="A240" s="137"/>
      <c r="B240" s="137"/>
      <c r="C240" s="137"/>
      <c r="D240" s="137"/>
      <c r="E240" s="137"/>
      <c r="F240" s="137"/>
      <c r="G240" s="102"/>
      <c r="H240" s="137"/>
      <c r="I240" s="137"/>
      <c r="J240" s="137"/>
      <c r="K240" s="170"/>
      <c r="L240" s="170"/>
      <c r="M240" s="170"/>
    </row>
    <row r="241" spans="1:32" x14ac:dyDescent="0.35">
      <c r="A241" s="137"/>
      <c r="B241" s="137"/>
      <c r="C241" s="137"/>
      <c r="D241" s="137"/>
      <c r="E241" s="137"/>
      <c r="F241" s="137"/>
      <c r="G241" s="102"/>
      <c r="H241" s="137"/>
      <c r="I241" s="137"/>
      <c r="J241" s="137"/>
      <c r="K241" s="170"/>
      <c r="L241" s="170"/>
      <c r="M241" s="170"/>
      <c r="N241" s="137"/>
      <c r="O241" s="137"/>
    </row>
    <row r="242" spans="1:32" x14ac:dyDescent="0.35">
      <c r="A242" s="137"/>
      <c r="B242" s="137"/>
      <c r="C242" s="137"/>
      <c r="D242" s="137"/>
      <c r="E242" s="137"/>
      <c r="F242" s="137"/>
      <c r="G242" s="102"/>
      <c r="H242" s="137"/>
      <c r="I242" s="137"/>
      <c r="J242" s="137"/>
      <c r="K242" s="170"/>
      <c r="L242" s="170"/>
      <c r="M242" s="170"/>
    </row>
    <row r="243" spans="1:32" x14ac:dyDescent="0.35">
      <c r="A243" s="137"/>
      <c r="B243" s="137"/>
      <c r="C243" s="137"/>
      <c r="D243" s="137"/>
      <c r="E243" s="137"/>
      <c r="F243" s="137"/>
      <c r="G243" s="102"/>
      <c r="H243" s="137"/>
      <c r="I243" s="137"/>
      <c r="J243" s="137"/>
      <c r="K243" s="170"/>
      <c r="L243" s="170"/>
      <c r="M243" s="170"/>
      <c r="N243" s="137"/>
      <c r="O243" s="137"/>
    </row>
    <row r="244" spans="1:32" x14ac:dyDescent="0.35">
      <c r="A244" s="137"/>
      <c r="B244" s="137"/>
      <c r="C244" s="137"/>
      <c r="D244" s="137"/>
      <c r="E244" s="137"/>
      <c r="F244" s="137"/>
      <c r="G244" s="102"/>
      <c r="H244" s="137"/>
      <c r="I244" s="137"/>
      <c r="J244" s="137"/>
      <c r="K244" s="170"/>
      <c r="L244" s="170"/>
      <c r="M244" s="170"/>
      <c r="N244" s="137"/>
      <c r="O244" s="137"/>
    </row>
    <row r="245" spans="1:32" x14ac:dyDescent="0.35">
      <c r="A245" s="137"/>
      <c r="B245" s="137"/>
      <c r="C245" s="137"/>
      <c r="D245" s="137"/>
      <c r="E245" s="137"/>
      <c r="F245" s="137"/>
      <c r="G245" s="102"/>
      <c r="H245" s="137"/>
      <c r="I245" s="137"/>
      <c r="J245" s="137"/>
      <c r="K245" s="170"/>
      <c r="L245" s="170"/>
      <c r="M245" s="170"/>
      <c r="N245" s="137"/>
      <c r="O245" s="137"/>
    </row>
    <row r="246" spans="1:32" x14ac:dyDescent="0.35">
      <c r="A246" s="137"/>
      <c r="B246" s="137"/>
      <c r="C246" s="137"/>
      <c r="D246" s="137"/>
      <c r="E246" s="137"/>
      <c r="F246" s="137"/>
      <c r="G246" s="102"/>
      <c r="H246" s="137"/>
      <c r="I246" s="137"/>
      <c r="J246" s="137"/>
      <c r="K246" s="170"/>
      <c r="L246" s="170"/>
      <c r="M246" s="170"/>
      <c r="N246" s="137"/>
      <c r="O246" s="137"/>
    </row>
    <row r="247" spans="1:32" x14ac:dyDescent="0.35">
      <c r="A247" s="137"/>
      <c r="B247" s="137"/>
      <c r="C247" s="137"/>
      <c r="D247" s="137"/>
      <c r="E247" s="137"/>
      <c r="F247" s="137"/>
      <c r="G247" s="102"/>
      <c r="H247" s="137"/>
      <c r="I247" s="137"/>
      <c r="J247" s="137"/>
      <c r="K247" s="170"/>
      <c r="L247" s="170"/>
      <c r="M247" s="170"/>
      <c r="N247" s="137"/>
      <c r="O247" s="137"/>
    </row>
    <row r="248" spans="1:32" x14ac:dyDescent="0.35">
      <c r="A248" s="137"/>
      <c r="B248" s="137"/>
      <c r="C248" s="137"/>
      <c r="D248" s="137"/>
      <c r="E248" s="137"/>
      <c r="F248" s="137"/>
      <c r="G248" s="102"/>
      <c r="H248" s="137"/>
      <c r="I248" s="137"/>
      <c r="J248" s="137"/>
      <c r="K248" s="170"/>
      <c r="L248" s="170"/>
      <c r="M248" s="170"/>
      <c r="N248" s="137"/>
      <c r="O248" s="137"/>
    </row>
    <row r="249" spans="1:32" x14ac:dyDescent="0.35">
      <c r="A249" s="137"/>
      <c r="B249" s="137"/>
      <c r="C249" s="137"/>
      <c r="D249" s="137"/>
      <c r="E249" s="137"/>
      <c r="F249" s="137"/>
      <c r="G249" s="102"/>
      <c r="H249" s="137"/>
      <c r="I249" s="137"/>
      <c r="J249" s="137"/>
      <c r="K249" s="170"/>
      <c r="L249" s="170"/>
      <c r="M249" s="170"/>
      <c r="N249" s="137"/>
      <c r="O249" s="137"/>
    </row>
    <row r="250" spans="1:32" x14ac:dyDescent="0.35">
      <c r="A250" s="137"/>
      <c r="B250" s="137"/>
      <c r="C250" s="137"/>
      <c r="D250" s="137"/>
      <c r="E250" s="137"/>
      <c r="F250" s="137"/>
      <c r="G250" s="102"/>
      <c r="H250" s="137"/>
      <c r="I250" s="137"/>
      <c r="J250" s="137"/>
      <c r="K250" s="170"/>
      <c r="L250" s="170"/>
      <c r="M250" s="170"/>
      <c r="N250" s="137"/>
      <c r="O250" s="137"/>
    </row>
    <row r="251" spans="1:32" x14ac:dyDescent="0.35">
      <c r="A251" s="137"/>
      <c r="B251" s="137"/>
      <c r="C251" s="137"/>
      <c r="D251" s="137"/>
      <c r="E251" s="137"/>
      <c r="F251" s="137"/>
      <c r="G251" s="102"/>
      <c r="H251" s="137"/>
      <c r="I251" s="137"/>
      <c r="J251" s="137"/>
      <c r="K251" s="170"/>
      <c r="L251" s="170"/>
      <c r="M251" s="170"/>
      <c r="N251" s="137"/>
      <c r="O251" s="137"/>
    </row>
    <row r="252" spans="1:32" x14ac:dyDescent="0.35">
      <c r="A252" s="137"/>
      <c r="B252" s="137"/>
      <c r="C252" s="137"/>
      <c r="D252" s="137"/>
      <c r="E252" s="137"/>
      <c r="F252" s="137"/>
      <c r="G252" s="102"/>
      <c r="H252" s="137"/>
      <c r="I252" s="137"/>
      <c r="J252" s="137"/>
      <c r="K252" s="170"/>
      <c r="L252" s="170"/>
      <c r="M252" s="170"/>
      <c r="N252" s="137"/>
      <c r="O252" s="137"/>
    </row>
    <row r="253" spans="1:32" x14ac:dyDescent="0.35">
      <c r="A253" s="137"/>
      <c r="B253" s="137"/>
      <c r="C253" s="137"/>
      <c r="D253" s="137"/>
      <c r="E253" s="137"/>
      <c r="F253" s="137"/>
      <c r="G253" s="102"/>
      <c r="H253" s="137"/>
      <c r="I253" s="137"/>
      <c r="J253" s="137"/>
      <c r="K253" s="170"/>
      <c r="L253" s="170"/>
      <c r="M253" s="170"/>
      <c r="N253" s="137"/>
      <c r="O253" s="137"/>
    </row>
    <row r="254" spans="1:32" x14ac:dyDescent="0.35">
      <c r="A254" s="137"/>
      <c r="B254" s="137"/>
      <c r="C254" s="137"/>
      <c r="D254" s="137"/>
      <c r="E254" s="137"/>
      <c r="F254" s="137"/>
      <c r="G254" s="102"/>
      <c r="H254" s="137"/>
      <c r="I254" s="137"/>
      <c r="J254" s="137"/>
      <c r="K254" s="170"/>
      <c r="L254" s="170"/>
      <c r="M254" s="170"/>
      <c r="N254" s="137"/>
      <c r="O254" s="137"/>
    </row>
    <row r="255" spans="1:32" x14ac:dyDescent="0.35">
      <c r="A255" s="137"/>
      <c r="B255" s="137"/>
      <c r="C255" s="137"/>
      <c r="D255" s="137"/>
      <c r="E255" s="137"/>
      <c r="F255" s="137"/>
      <c r="G255" s="102"/>
      <c r="H255" s="137"/>
      <c r="I255" s="137"/>
      <c r="J255" s="137"/>
      <c r="K255" s="170"/>
      <c r="L255" s="170"/>
      <c r="M255" s="170"/>
      <c r="N255" s="137"/>
      <c r="O255" s="137"/>
    </row>
    <row r="256" spans="1:32" x14ac:dyDescent="0.35">
      <c r="A256" s="137"/>
      <c r="B256" s="137"/>
      <c r="C256" s="137"/>
      <c r="D256" s="137"/>
      <c r="E256" s="137"/>
      <c r="F256" s="137"/>
      <c r="G256" s="102"/>
      <c r="H256" s="137"/>
      <c r="I256" s="137"/>
      <c r="J256" s="137"/>
      <c r="K256" s="170"/>
      <c r="L256" s="170"/>
      <c r="M256" s="170"/>
      <c r="N256" s="137"/>
      <c r="O256" s="137"/>
      <c r="P256" s="79"/>
      <c r="Q256" s="80"/>
      <c r="R256" s="78"/>
      <c r="S256" s="78"/>
      <c r="T256" s="81"/>
      <c r="U256" s="81"/>
      <c r="V256" s="80"/>
      <c r="W256" s="81"/>
      <c r="X256" s="81"/>
      <c r="Y256" s="81"/>
      <c r="Z256" s="81"/>
      <c r="AA256" s="81"/>
      <c r="AB256" s="81"/>
      <c r="AC256" s="81"/>
      <c r="AD256" s="81"/>
      <c r="AE256" s="81"/>
      <c r="AF256" s="81"/>
    </row>
    <row r="257" spans="1:15" x14ac:dyDescent="0.35">
      <c r="A257" s="137"/>
      <c r="B257" s="137"/>
      <c r="C257" s="137"/>
      <c r="D257" s="137"/>
      <c r="E257" s="137"/>
      <c r="F257" s="137"/>
      <c r="G257" s="102"/>
      <c r="H257" s="137"/>
      <c r="I257" s="137"/>
      <c r="J257" s="137"/>
      <c r="K257" s="170"/>
      <c r="L257" s="170"/>
      <c r="M257" s="170"/>
      <c r="N257" s="137"/>
      <c r="O257" s="137"/>
    </row>
    <row r="258" spans="1:15" x14ac:dyDescent="0.35">
      <c r="A258" s="137"/>
      <c r="B258" s="137"/>
      <c r="C258" s="137"/>
      <c r="D258" s="137"/>
      <c r="E258" s="137"/>
      <c r="F258" s="137"/>
      <c r="G258" s="102"/>
      <c r="H258" s="137"/>
      <c r="I258" s="137"/>
      <c r="J258" s="137"/>
      <c r="K258" s="170"/>
      <c r="L258" s="170"/>
      <c r="M258" s="170"/>
      <c r="N258" s="137"/>
      <c r="O258" s="137"/>
    </row>
    <row r="259" spans="1:15" x14ac:dyDescent="0.35">
      <c r="A259" s="137"/>
      <c r="B259" s="137"/>
      <c r="C259" s="137"/>
      <c r="D259" s="137"/>
      <c r="E259" s="137"/>
      <c r="F259" s="137"/>
      <c r="G259" s="102"/>
      <c r="H259" s="137"/>
      <c r="I259" s="137"/>
      <c r="J259" s="137"/>
      <c r="K259" s="170"/>
      <c r="L259" s="170"/>
      <c r="M259" s="170"/>
    </row>
    <row r="260" spans="1:15" x14ac:dyDescent="0.35">
      <c r="A260" s="137"/>
      <c r="B260" s="137"/>
      <c r="C260" s="137"/>
      <c r="D260" s="137"/>
      <c r="E260" s="137"/>
      <c r="F260" s="137"/>
      <c r="G260" s="102"/>
      <c r="H260" s="137"/>
      <c r="I260" s="137"/>
      <c r="J260" s="137"/>
      <c r="K260" s="170"/>
      <c r="L260" s="170"/>
      <c r="M260" s="170"/>
    </row>
    <row r="261" spans="1:15" x14ac:dyDescent="0.35">
      <c r="A261" s="137"/>
      <c r="B261" s="137"/>
      <c r="C261" s="137"/>
      <c r="D261" s="137"/>
      <c r="E261" s="137"/>
      <c r="F261" s="137"/>
      <c r="G261" s="102"/>
      <c r="H261" s="137"/>
      <c r="I261" s="137"/>
      <c r="J261" s="137"/>
      <c r="K261" s="170"/>
      <c r="L261" s="170"/>
      <c r="M261" s="170"/>
      <c r="N261" s="137"/>
      <c r="O261" s="137"/>
    </row>
    <row r="262" spans="1:15" x14ac:dyDescent="0.35">
      <c r="A262" s="137"/>
      <c r="B262" s="137"/>
      <c r="C262" s="137"/>
      <c r="D262" s="137"/>
      <c r="E262" s="137"/>
      <c r="F262" s="137"/>
      <c r="G262" s="102"/>
      <c r="H262" s="137"/>
      <c r="I262" s="137"/>
      <c r="J262" s="137"/>
      <c r="K262" s="170"/>
      <c r="L262" s="170"/>
      <c r="M262" s="170"/>
      <c r="N262" s="31"/>
      <c r="O262" s="31"/>
    </row>
    <row r="263" spans="1:15" x14ac:dyDescent="0.35">
      <c r="A263" s="137"/>
      <c r="B263" s="137"/>
      <c r="C263" s="137"/>
      <c r="D263" s="137"/>
      <c r="E263" s="137"/>
      <c r="F263" s="137"/>
      <c r="G263" s="102"/>
      <c r="H263" s="137"/>
      <c r="I263" s="137"/>
      <c r="J263" s="137"/>
      <c r="K263" s="170"/>
      <c r="L263" s="170"/>
      <c r="M263" s="170"/>
      <c r="N263" s="137"/>
      <c r="O263" s="137"/>
    </row>
    <row r="264" spans="1:15" x14ac:dyDescent="0.35">
      <c r="A264" s="137"/>
      <c r="B264" s="137"/>
      <c r="C264" s="137"/>
      <c r="D264" s="137"/>
      <c r="E264" s="137"/>
      <c r="F264" s="137"/>
      <c r="G264" s="102"/>
      <c r="H264" s="137"/>
      <c r="I264" s="137"/>
      <c r="J264" s="137"/>
      <c r="K264" s="170"/>
      <c r="L264" s="170"/>
      <c r="M264" s="170"/>
      <c r="N264" s="137"/>
      <c r="O264" s="137"/>
    </row>
    <row r="265" spans="1:15" x14ac:dyDescent="0.35">
      <c r="A265" s="137"/>
      <c r="B265" s="137"/>
      <c r="C265" s="137"/>
      <c r="D265" s="137"/>
      <c r="E265" s="137"/>
      <c r="F265" s="137"/>
      <c r="G265" s="102"/>
      <c r="H265" s="137"/>
      <c r="I265" s="137"/>
      <c r="J265" s="137"/>
      <c r="K265" s="170"/>
      <c r="L265" s="170"/>
      <c r="M265" s="170"/>
      <c r="N265" s="137"/>
      <c r="O265" s="137"/>
    </row>
    <row r="266" spans="1:15" x14ac:dyDescent="0.35">
      <c r="A266" s="137"/>
      <c r="B266" s="137"/>
      <c r="C266" s="137"/>
      <c r="D266" s="137"/>
      <c r="E266" s="137"/>
      <c r="F266" s="137"/>
      <c r="G266" s="102"/>
      <c r="H266" s="137"/>
      <c r="I266" s="137"/>
      <c r="J266" s="137"/>
      <c r="K266" s="170"/>
      <c r="L266" s="170"/>
      <c r="M266" s="170"/>
      <c r="N266" s="137"/>
      <c r="O266" s="137"/>
    </row>
    <row r="267" spans="1:15" x14ac:dyDescent="0.35">
      <c r="A267" s="137"/>
      <c r="B267" s="137"/>
      <c r="C267" s="137"/>
      <c r="D267" s="137"/>
      <c r="E267" s="137"/>
      <c r="F267" s="137"/>
      <c r="G267" s="102"/>
      <c r="H267" s="137"/>
      <c r="I267" s="137"/>
      <c r="J267" s="137"/>
      <c r="K267" s="170"/>
      <c r="L267" s="170"/>
      <c r="M267" s="170"/>
      <c r="N267" s="137"/>
      <c r="O267" s="137"/>
    </row>
    <row r="268" spans="1:15" x14ac:dyDescent="0.35">
      <c r="A268" s="137"/>
      <c r="B268" s="137"/>
      <c r="C268" s="137"/>
      <c r="D268" s="137"/>
      <c r="E268" s="137"/>
      <c r="F268" s="137"/>
      <c r="G268" s="102"/>
      <c r="H268" s="137"/>
      <c r="I268" s="137"/>
      <c r="J268" s="137"/>
      <c r="K268" s="170"/>
      <c r="L268" s="170"/>
      <c r="M268" s="170"/>
      <c r="N268" s="137"/>
      <c r="O268" s="137"/>
    </row>
    <row r="269" spans="1:15" x14ac:dyDescent="0.35">
      <c r="A269" s="137"/>
      <c r="B269" s="137"/>
      <c r="C269" s="137"/>
      <c r="D269" s="137"/>
      <c r="E269" s="137"/>
      <c r="F269" s="137"/>
      <c r="G269" s="102"/>
      <c r="H269" s="137"/>
      <c r="I269" s="137"/>
      <c r="J269" s="137"/>
      <c r="K269" s="170"/>
      <c r="L269" s="170"/>
      <c r="M269" s="170"/>
    </row>
    <row r="270" spans="1:15" x14ac:dyDescent="0.35">
      <c r="A270" s="137"/>
      <c r="B270" s="137"/>
      <c r="C270" s="137"/>
      <c r="D270" s="137"/>
      <c r="E270" s="137"/>
      <c r="F270" s="137"/>
      <c r="G270" s="102"/>
      <c r="H270" s="137"/>
      <c r="I270" s="137"/>
      <c r="J270" s="137"/>
      <c r="K270" s="170"/>
      <c r="L270" s="170"/>
      <c r="M270" s="170"/>
    </row>
    <row r="271" spans="1:15" x14ac:dyDescent="0.35">
      <c r="A271" s="137"/>
      <c r="B271" s="137"/>
      <c r="C271" s="137"/>
      <c r="D271" s="137"/>
      <c r="E271" s="137"/>
      <c r="F271" s="137"/>
      <c r="G271" s="102"/>
      <c r="H271" s="137"/>
      <c r="I271" s="137"/>
      <c r="J271" s="137"/>
      <c r="K271" s="170"/>
      <c r="L271" s="170"/>
      <c r="M271" s="170"/>
    </row>
    <row r="272" spans="1:15" x14ac:dyDescent="0.35">
      <c r="A272" s="137"/>
      <c r="B272" s="137"/>
      <c r="C272" s="137"/>
      <c r="D272" s="137"/>
      <c r="E272" s="137"/>
      <c r="F272" s="137"/>
      <c r="G272" s="102"/>
      <c r="H272" s="137"/>
      <c r="I272" s="137"/>
      <c r="J272" s="137"/>
      <c r="K272" s="170"/>
      <c r="L272" s="170"/>
      <c r="M272" s="170"/>
      <c r="N272" s="137"/>
      <c r="O272" s="137"/>
    </row>
    <row r="273" spans="1:21" x14ac:dyDescent="0.35">
      <c r="A273" s="137"/>
      <c r="B273" s="137"/>
      <c r="C273" s="137"/>
      <c r="D273" s="137"/>
      <c r="E273" s="137"/>
      <c r="F273" s="137"/>
      <c r="G273" s="102"/>
      <c r="H273" s="137"/>
      <c r="I273" s="137"/>
      <c r="J273" s="137"/>
      <c r="K273" s="170"/>
      <c r="L273" s="170"/>
      <c r="M273" s="170"/>
      <c r="N273" s="137"/>
      <c r="O273" s="137"/>
    </row>
    <row r="274" spans="1:21" x14ac:dyDescent="0.35">
      <c r="A274" s="137"/>
      <c r="B274" s="137"/>
      <c r="C274" s="137"/>
      <c r="D274" s="137"/>
      <c r="E274" s="137"/>
      <c r="F274" s="137"/>
      <c r="G274" s="102"/>
      <c r="H274" s="137"/>
      <c r="I274" s="137"/>
      <c r="J274" s="137"/>
      <c r="K274" s="170"/>
      <c r="L274" s="170"/>
      <c r="M274" s="170"/>
      <c r="N274" s="137"/>
      <c r="O274" s="137"/>
    </row>
    <row r="275" spans="1:21" x14ac:dyDescent="0.35">
      <c r="A275" s="137"/>
      <c r="B275" s="137"/>
      <c r="C275" s="137"/>
      <c r="D275" s="137"/>
      <c r="E275" s="137"/>
      <c r="F275" s="137"/>
      <c r="G275" s="102"/>
      <c r="H275" s="137"/>
      <c r="I275" s="137"/>
      <c r="J275" s="137"/>
      <c r="K275" s="170"/>
      <c r="L275" s="170"/>
      <c r="M275" s="170"/>
      <c r="N275" s="137"/>
      <c r="O275" s="137"/>
    </row>
    <row r="276" spans="1:21" x14ac:dyDescent="0.35">
      <c r="A276" s="137"/>
      <c r="B276" s="137"/>
      <c r="C276" s="137"/>
      <c r="D276" s="137"/>
      <c r="E276" s="137"/>
      <c r="F276" s="137"/>
      <c r="G276" s="102"/>
      <c r="H276" s="137"/>
      <c r="I276" s="137"/>
      <c r="J276" s="137"/>
      <c r="K276" s="170"/>
      <c r="L276" s="170"/>
      <c r="M276" s="170"/>
    </row>
    <row r="277" spans="1:21" x14ac:dyDescent="0.35">
      <c r="A277" s="137"/>
      <c r="B277" s="137"/>
      <c r="C277" s="137"/>
      <c r="D277" s="137"/>
      <c r="E277" s="137"/>
      <c r="F277" s="137"/>
      <c r="G277" s="102"/>
      <c r="H277" s="137"/>
      <c r="I277" s="137"/>
      <c r="J277" s="137"/>
      <c r="K277" s="170"/>
      <c r="L277" s="170"/>
      <c r="M277" s="170"/>
      <c r="N277" s="137"/>
      <c r="O277" s="137"/>
    </row>
    <row r="278" spans="1:21" x14ac:dyDescent="0.35">
      <c r="A278" s="137"/>
      <c r="B278" s="137"/>
      <c r="C278" s="137"/>
      <c r="D278" s="137"/>
      <c r="E278" s="137"/>
      <c r="F278" s="137"/>
      <c r="G278" s="102"/>
      <c r="H278" s="137"/>
      <c r="I278" s="137"/>
      <c r="J278" s="137"/>
      <c r="K278" s="170"/>
      <c r="L278" s="170"/>
      <c r="M278" s="170"/>
      <c r="N278" s="137"/>
      <c r="O278" s="137"/>
      <c r="U278" s="3"/>
    </row>
    <row r="279" spans="1:21" x14ac:dyDescent="0.35">
      <c r="A279" s="137"/>
      <c r="B279" s="137"/>
      <c r="C279" s="137"/>
      <c r="D279" s="137"/>
      <c r="E279" s="137"/>
      <c r="F279" s="137"/>
      <c r="G279" s="102"/>
      <c r="H279" s="137"/>
      <c r="I279" s="137"/>
      <c r="J279" s="137"/>
      <c r="K279" s="170"/>
      <c r="L279" s="170"/>
      <c r="M279" s="170"/>
      <c r="N279" s="137"/>
      <c r="O279" s="137"/>
    </row>
    <row r="280" spans="1:21" x14ac:dyDescent="0.35">
      <c r="A280" s="137"/>
      <c r="B280" s="137"/>
      <c r="C280" s="137"/>
      <c r="D280" s="137"/>
      <c r="E280" s="137"/>
      <c r="F280" s="137"/>
      <c r="G280" s="102"/>
      <c r="H280" s="137"/>
      <c r="I280" s="137"/>
      <c r="J280" s="137"/>
      <c r="K280" s="170"/>
      <c r="L280" s="170"/>
      <c r="M280" s="170"/>
      <c r="N280" s="137"/>
      <c r="O280" s="137"/>
    </row>
    <row r="281" spans="1:21" x14ac:dyDescent="0.35">
      <c r="A281" s="137"/>
      <c r="B281" s="137"/>
      <c r="C281" s="137"/>
      <c r="D281" s="137"/>
      <c r="E281" s="137"/>
      <c r="F281" s="137"/>
      <c r="G281" s="102"/>
      <c r="H281" s="137"/>
      <c r="I281" s="137"/>
      <c r="J281" s="137"/>
      <c r="K281" s="170"/>
      <c r="L281" s="170"/>
      <c r="M281" s="170"/>
      <c r="N281" s="137"/>
      <c r="O281" s="137"/>
    </row>
    <row r="282" spans="1:21" x14ac:dyDescent="0.35">
      <c r="A282" s="137"/>
      <c r="B282" s="137"/>
      <c r="C282" s="137"/>
      <c r="D282" s="137"/>
      <c r="E282" s="137"/>
      <c r="F282" s="137"/>
      <c r="G282" s="102"/>
      <c r="H282" s="137"/>
      <c r="I282" s="137"/>
      <c r="J282" s="137"/>
      <c r="K282" s="170"/>
      <c r="L282" s="170"/>
      <c r="M282" s="170"/>
      <c r="N282" s="137"/>
      <c r="O282" s="137"/>
    </row>
    <row r="283" spans="1:21" x14ac:dyDescent="0.35">
      <c r="A283" s="137"/>
      <c r="B283" s="137"/>
      <c r="C283" s="137"/>
      <c r="D283" s="137"/>
      <c r="E283" s="137"/>
      <c r="F283" s="137"/>
      <c r="G283" s="102"/>
      <c r="H283" s="137"/>
      <c r="I283" s="137"/>
      <c r="J283" s="137"/>
      <c r="K283" s="170"/>
      <c r="L283" s="170"/>
      <c r="M283" s="170"/>
      <c r="N283" s="137"/>
      <c r="O283" s="137"/>
    </row>
    <row r="284" spans="1:21" x14ac:dyDescent="0.35">
      <c r="A284" s="137"/>
      <c r="B284" s="137"/>
      <c r="C284" s="137"/>
      <c r="D284" s="137"/>
      <c r="E284" s="137"/>
      <c r="F284" s="137"/>
      <c r="G284" s="102"/>
      <c r="H284" s="137"/>
      <c r="I284" s="137"/>
      <c r="J284" s="137"/>
      <c r="K284" s="170"/>
      <c r="L284" s="170"/>
      <c r="M284" s="170"/>
      <c r="N284" s="137"/>
      <c r="O284" s="137"/>
    </row>
    <row r="285" spans="1:21" x14ac:dyDescent="0.35">
      <c r="A285" s="137"/>
      <c r="B285" s="137"/>
      <c r="C285" s="137"/>
      <c r="D285" s="137"/>
      <c r="E285" s="137"/>
      <c r="F285" s="137"/>
      <c r="G285" s="102"/>
      <c r="H285" s="137"/>
      <c r="I285" s="137"/>
      <c r="J285" s="137"/>
      <c r="K285" s="170"/>
      <c r="L285" s="170"/>
      <c r="M285" s="170"/>
      <c r="N285" s="31"/>
      <c r="O285" s="31"/>
    </row>
    <row r="286" spans="1:21" x14ac:dyDescent="0.35">
      <c r="A286" s="137"/>
      <c r="B286" s="137"/>
      <c r="C286" s="137"/>
      <c r="D286" s="137"/>
      <c r="E286" s="137"/>
      <c r="F286" s="137"/>
      <c r="G286" s="102"/>
      <c r="H286" s="137"/>
      <c r="I286" s="137"/>
      <c r="J286" s="137"/>
      <c r="K286" s="170"/>
      <c r="L286" s="170"/>
      <c r="M286" s="170"/>
      <c r="N286" s="137"/>
      <c r="O286" s="137"/>
    </row>
    <row r="287" spans="1:21" x14ac:dyDescent="0.35">
      <c r="A287" s="137"/>
      <c r="B287" s="137"/>
      <c r="C287" s="137"/>
      <c r="D287" s="137"/>
      <c r="E287" s="137"/>
      <c r="F287" s="137"/>
      <c r="G287" s="102"/>
      <c r="H287" s="137"/>
      <c r="I287" s="137"/>
      <c r="J287" s="137"/>
      <c r="K287" s="170"/>
      <c r="L287" s="170"/>
      <c r="M287" s="170"/>
    </row>
    <row r="288" spans="1:21" x14ac:dyDescent="0.35">
      <c r="A288" s="137"/>
      <c r="B288" s="137"/>
      <c r="C288" s="137"/>
      <c r="D288" s="137"/>
      <c r="E288" s="137"/>
      <c r="F288" s="137"/>
      <c r="G288" s="102"/>
      <c r="H288" s="137"/>
      <c r="I288" s="137"/>
      <c r="J288" s="137"/>
      <c r="K288" s="170"/>
      <c r="L288" s="170"/>
      <c r="M288" s="170"/>
    </row>
    <row r="289" spans="1:15" x14ac:dyDescent="0.35">
      <c r="A289" s="137"/>
      <c r="B289" s="137"/>
      <c r="C289" s="137"/>
      <c r="D289" s="137"/>
      <c r="E289" s="137"/>
      <c r="F289" s="137"/>
      <c r="G289" s="102"/>
      <c r="H289" s="137"/>
      <c r="I289" s="137"/>
      <c r="J289" s="137"/>
      <c r="K289" s="170"/>
      <c r="L289" s="170"/>
      <c r="M289" s="170"/>
    </row>
    <row r="290" spans="1:15" x14ac:dyDescent="0.35">
      <c r="A290" s="137"/>
      <c r="B290" s="137"/>
      <c r="C290" s="137"/>
      <c r="D290" s="137"/>
      <c r="E290" s="137"/>
      <c r="F290" s="137"/>
      <c r="G290" s="102"/>
      <c r="H290" s="137"/>
      <c r="I290" s="137"/>
      <c r="J290" s="137"/>
      <c r="K290" s="170"/>
      <c r="L290" s="170"/>
      <c r="M290" s="170"/>
      <c r="N290" s="137"/>
      <c r="O290" s="137"/>
    </row>
    <row r="291" spans="1:15" x14ac:dyDescent="0.35">
      <c r="A291" s="137"/>
      <c r="B291" s="137"/>
      <c r="C291" s="137"/>
      <c r="D291" s="137"/>
      <c r="E291" s="137"/>
      <c r="F291" s="137"/>
      <c r="G291" s="102"/>
      <c r="H291" s="137"/>
      <c r="I291" s="137"/>
      <c r="J291" s="137"/>
      <c r="K291" s="170"/>
      <c r="L291" s="170"/>
      <c r="M291" s="170"/>
      <c r="N291" s="137"/>
      <c r="O291" s="137"/>
    </row>
    <row r="292" spans="1:15" x14ac:dyDescent="0.35">
      <c r="A292" s="137"/>
      <c r="B292" s="137"/>
      <c r="C292" s="137"/>
      <c r="D292" s="137"/>
      <c r="E292" s="137"/>
      <c r="F292" s="137"/>
      <c r="G292" s="102"/>
      <c r="H292" s="137"/>
      <c r="I292" s="137"/>
      <c r="J292" s="137"/>
      <c r="K292" s="170"/>
      <c r="L292" s="170"/>
      <c r="M292" s="170"/>
      <c r="N292" s="137"/>
      <c r="O292" s="137"/>
    </row>
    <row r="293" spans="1:15" x14ac:dyDescent="0.35">
      <c r="A293" s="137"/>
      <c r="B293" s="137"/>
      <c r="C293" s="137"/>
      <c r="D293" s="137"/>
      <c r="E293" s="137"/>
      <c r="F293" s="137"/>
      <c r="G293" s="102"/>
      <c r="H293" s="137"/>
      <c r="I293" s="137"/>
      <c r="J293" s="137"/>
      <c r="K293" s="170"/>
      <c r="L293" s="170"/>
      <c r="M293" s="170"/>
      <c r="N293" s="137"/>
      <c r="O293" s="137"/>
    </row>
    <row r="294" spans="1:15" x14ac:dyDescent="0.35">
      <c r="A294" s="137"/>
      <c r="B294" s="137"/>
      <c r="C294" s="137"/>
      <c r="D294" s="137"/>
      <c r="E294" s="137"/>
      <c r="F294" s="137"/>
      <c r="G294" s="102"/>
      <c r="H294" s="137"/>
      <c r="I294" s="137"/>
      <c r="J294" s="137"/>
      <c r="K294" s="170"/>
      <c r="L294" s="170"/>
      <c r="M294" s="170"/>
      <c r="N294" s="137"/>
      <c r="O294" s="137"/>
    </row>
    <row r="295" spans="1:15" x14ac:dyDescent="0.35">
      <c r="A295" s="137"/>
      <c r="B295" s="137"/>
      <c r="C295" s="137"/>
      <c r="D295" s="137"/>
      <c r="E295" s="137"/>
      <c r="F295" s="137"/>
      <c r="G295" s="102"/>
      <c r="H295" s="137"/>
      <c r="I295" s="137"/>
      <c r="J295" s="137"/>
      <c r="K295" s="170"/>
      <c r="L295" s="170"/>
      <c r="M295" s="170"/>
      <c r="N295" s="137"/>
      <c r="O295" s="137"/>
    </row>
    <row r="296" spans="1:15" x14ac:dyDescent="0.35">
      <c r="A296" s="137"/>
      <c r="B296" s="137"/>
      <c r="C296" s="137"/>
      <c r="D296" s="137"/>
      <c r="E296" s="137"/>
      <c r="F296" s="137"/>
      <c r="G296" s="102"/>
      <c r="H296" s="137"/>
      <c r="I296" s="137"/>
      <c r="J296" s="137"/>
      <c r="K296" s="170"/>
      <c r="L296" s="170"/>
      <c r="M296" s="170"/>
      <c r="N296" s="137"/>
      <c r="O296" s="137"/>
    </row>
    <row r="297" spans="1:15" x14ac:dyDescent="0.35">
      <c r="A297" s="137"/>
      <c r="B297" s="137"/>
      <c r="C297" s="137"/>
      <c r="D297" s="137"/>
      <c r="E297" s="137"/>
      <c r="F297" s="137"/>
      <c r="G297" s="102"/>
      <c r="H297" s="137"/>
      <c r="I297" s="137"/>
      <c r="J297" s="137"/>
      <c r="K297" s="170"/>
      <c r="L297" s="170"/>
      <c r="M297" s="170"/>
      <c r="N297" s="137"/>
      <c r="O297" s="137"/>
    </row>
    <row r="298" spans="1:15" x14ac:dyDescent="0.35">
      <c r="A298" s="137"/>
      <c r="B298" s="137"/>
      <c r="C298" s="137"/>
      <c r="D298" s="137"/>
      <c r="E298" s="137"/>
      <c r="F298" s="137"/>
      <c r="G298" s="102"/>
      <c r="H298" s="137"/>
      <c r="I298" s="137"/>
      <c r="J298" s="137"/>
      <c r="K298" s="170"/>
      <c r="L298" s="170"/>
      <c r="M298" s="170"/>
      <c r="N298" s="137"/>
      <c r="O298" s="137"/>
    </row>
    <row r="299" spans="1:15" x14ac:dyDescent="0.35">
      <c r="A299" s="137"/>
      <c r="B299" s="137"/>
      <c r="C299" s="137"/>
      <c r="D299" s="137"/>
      <c r="E299" s="137"/>
      <c r="F299" s="137"/>
      <c r="G299" s="102"/>
      <c r="H299" s="137"/>
      <c r="I299" s="137"/>
      <c r="J299" s="137"/>
      <c r="K299" s="170"/>
      <c r="L299" s="170"/>
      <c r="M299" s="170"/>
      <c r="N299" s="137"/>
      <c r="O299" s="137"/>
    </row>
    <row r="300" spans="1:15" x14ac:dyDescent="0.35">
      <c r="A300" s="137"/>
      <c r="B300" s="137"/>
      <c r="C300" s="137"/>
      <c r="D300" s="137"/>
      <c r="E300" s="137"/>
      <c r="F300" s="137"/>
      <c r="G300" s="102"/>
      <c r="H300" s="137"/>
      <c r="I300" s="137"/>
      <c r="J300" s="137"/>
      <c r="K300" s="170"/>
      <c r="L300" s="170"/>
      <c r="M300" s="170"/>
      <c r="N300" s="137"/>
      <c r="O300" s="137"/>
    </row>
    <row r="301" spans="1:15" x14ac:dyDescent="0.35">
      <c r="A301" s="137"/>
      <c r="B301" s="137"/>
      <c r="C301" s="137"/>
      <c r="D301" s="137"/>
      <c r="E301" s="137"/>
      <c r="F301" s="137"/>
      <c r="G301" s="102"/>
      <c r="H301" s="137"/>
      <c r="I301" s="137"/>
      <c r="J301" s="137"/>
      <c r="K301" s="170"/>
      <c r="L301" s="170"/>
      <c r="M301" s="170"/>
    </row>
    <row r="302" spans="1:15" x14ac:dyDescent="0.35">
      <c r="A302" s="137"/>
      <c r="B302" s="137"/>
      <c r="C302" s="137"/>
      <c r="D302" s="137"/>
      <c r="E302" s="137"/>
      <c r="F302" s="137"/>
      <c r="G302" s="102"/>
      <c r="H302" s="137"/>
      <c r="I302" s="137"/>
      <c r="J302" s="137"/>
      <c r="K302" s="170"/>
      <c r="L302" s="170"/>
      <c r="M302" s="170"/>
      <c r="N302" s="137"/>
      <c r="O302" s="137"/>
    </row>
    <row r="303" spans="1:15" x14ac:dyDescent="0.35">
      <c r="A303" s="137"/>
      <c r="B303" s="137"/>
      <c r="C303" s="137"/>
      <c r="D303" s="137"/>
      <c r="E303" s="137"/>
      <c r="F303" s="137"/>
      <c r="G303" s="102"/>
      <c r="H303" s="137"/>
      <c r="I303" s="137"/>
      <c r="J303" s="137"/>
      <c r="K303" s="170"/>
      <c r="L303" s="170"/>
      <c r="M303" s="170"/>
      <c r="N303" s="137"/>
      <c r="O303" s="137"/>
    </row>
    <row r="304" spans="1:15" x14ac:dyDescent="0.35">
      <c r="A304" s="137"/>
      <c r="B304" s="137"/>
      <c r="C304" s="137"/>
      <c r="D304" s="137"/>
      <c r="E304" s="137"/>
      <c r="F304" s="137"/>
      <c r="G304" s="102"/>
      <c r="H304" s="137"/>
      <c r="I304" s="137"/>
      <c r="J304" s="137"/>
      <c r="K304" s="170"/>
      <c r="L304" s="170"/>
      <c r="M304" s="170"/>
    </row>
    <row r="305" spans="1:32" x14ac:dyDescent="0.35">
      <c r="A305" s="137"/>
      <c r="B305" s="137"/>
      <c r="C305" s="137"/>
      <c r="D305" s="137"/>
      <c r="E305" s="137"/>
      <c r="F305" s="137"/>
      <c r="G305" s="102"/>
      <c r="H305" s="137"/>
      <c r="I305" s="137"/>
      <c r="J305" s="137"/>
      <c r="K305" s="170"/>
      <c r="L305" s="170"/>
      <c r="M305" s="170"/>
      <c r="N305" s="137"/>
      <c r="O305" s="137"/>
    </row>
    <row r="306" spans="1:32" x14ac:dyDescent="0.35">
      <c r="A306" s="137"/>
      <c r="B306" s="137"/>
      <c r="C306" s="137"/>
      <c r="D306" s="137"/>
      <c r="E306" s="137"/>
      <c r="F306" s="137"/>
      <c r="G306" s="102"/>
      <c r="H306" s="137"/>
      <c r="I306" s="137"/>
      <c r="J306" s="137"/>
      <c r="K306" s="170"/>
      <c r="L306" s="170"/>
      <c r="M306" s="170"/>
      <c r="N306" s="137"/>
      <c r="O306" s="137"/>
    </row>
    <row r="307" spans="1:32" x14ac:dyDescent="0.35">
      <c r="A307" s="137"/>
      <c r="B307" s="137"/>
      <c r="C307" s="137"/>
      <c r="D307" s="137"/>
      <c r="E307" s="137"/>
      <c r="F307" s="137"/>
      <c r="G307" s="102"/>
      <c r="H307" s="137"/>
      <c r="I307" s="137"/>
      <c r="J307" s="137"/>
      <c r="K307" s="170"/>
      <c r="L307" s="170"/>
      <c r="M307" s="170"/>
      <c r="N307" s="137"/>
      <c r="O307" s="137"/>
    </row>
    <row r="308" spans="1:32" x14ac:dyDescent="0.35">
      <c r="A308" s="137"/>
      <c r="B308" s="137"/>
      <c r="C308" s="137"/>
      <c r="D308" s="137"/>
      <c r="E308" s="137"/>
      <c r="F308" s="137"/>
      <c r="G308" s="102"/>
      <c r="H308" s="137"/>
      <c r="I308" s="137"/>
      <c r="J308" s="137"/>
      <c r="K308" s="170"/>
      <c r="L308" s="170"/>
      <c r="M308" s="170"/>
      <c r="N308" s="137"/>
      <c r="O308" s="137"/>
    </row>
    <row r="309" spans="1:32" x14ac:dyDescent="0.35">
      <c r="A309" s="137"/>
      <c r="B309" s="137"/>
      <c r="C309" s="137"/>
      <c r="D309" s="137"/>
      <c r="E309" s="137"/>
      <c r="F309" s="137"/>
      <c r="G309" s="102"/>
      <c r="H309" s="137"/>
      <c r="I309" s="137"/>
      <c r="J309" s="137"/>
      <c r="K309" s="170"/>
      <c r="L309" s="170"/>
      <c r="M309" s="170"/>
      <c r="N309" s="137"/>
      <c r="O309" s="137"/>
    </row>
    <row r="310" spans="1:32" x14ac:dyDescent="0.35">
      <c r="A310" s="137"/>
      <c r="B310" s="137"/>
      <c r="C310" s="137"/>
      <c r="D310" s="137"/>
      <c r="E310" s="137"/>
      <c r="F310" s="137"/>
      <c r="G310" s="102"/>
      <c r="H310" s="137"/>
      <c r="I310" s="137"/>
      <c r="J310" s="137"/>
      <c r="K310" s="170"/>
      <c r="L310" s="170"/>
      <c r="M310" s="170"/>
      <c r="N310" s="137"/>
      <c r="O310" s="137"/>
    </row>
    <row r="311" spans="1:32" x14ac:dyDescent="0.35">
      <c r="A311" s="137"/>
      <c r="B311" s="137"/>
      <c r="C311" s="137"/>
      <c r="D311" s="137"/>
      <c r="E311" s="137"/>
      <c r="F311" s="137"/>
      <c r="G311" s="102"/>
      <c r="H311" s="137"/>
      <c r="I311" s="137"/>
      <c r="J311" s="137"/>
      <c r="K311" s="170"/>
      <c r="L311" s="170"/>
      <c r="M311" s="170"/>
      <c r="N311" s="137"/>
      <c r="O311" s="137"/>
    </row>
    <row r="312" spans="1:32" s="81" customFormat="1" x14ac:dyDescent="0.35">
      <c r="A312" s="137"/>
      <c r="B312" s="137"/>
      <c r="C312" s="137"/>
      <c r="D312" s="137"/>
      <c r="E312" s="137"/>
      <c r="F312" s="137"/>
      <c r="G312" s="102"/>
      <c r="H312" s="137"/>
      <c r="I312" s="137"/>
      <c r="J312" s="137"/>
      <c r="K312" s="170"/>
      <c r="L312" s="170"/>
      <c r="M312" s="170"/>
      <c r="N312"/>
      <c r="O312"/>
      <c r="P312" s="5"/>
      <c r="Q312" s="3"/>
      <c r="R312" s="48"/>
      <c r="S312" s="48"/>
      <c r="T312"/>
      <c r="U312"/>
      <c r="V312" s="3"/>
      <c r="W312"/>
      <c r="X312"/>
      <c r="Y312"/>
      <c r="Z312"/>
      <c r="AA312"/>
      <c r="AB312"/>
      <c r="AC312"/>
      <c r="AD312"/>
      <c r="AE312"/>
      <c r="AF312"/>
    </row>
    <row r="313" spans="1:32" x14ac:dyDescent="0.35">
      <c r="A313" s="137"/>
      <c r="B313" s="137"/>
      <c r="C313" s="137"/>
      <c r="D313" s="137"/>
      <c r="E313" s="137"/>
      <c r="F313" s="137"/>
      <c r="G313" s="102"/>
      <c r="H313" s="137"/>
      <c r="I313" s="137"/>
      <c r="J313" s="137"/>
      <c r="K313" s="170"/>
      <c r="L313" s="170"/>
      <c r="M313" s="170"/>
      <c r="N313" s="137"/>
      <c r="O313" s="137"/>
    </row>
    <row r="314" spans="1:32" x14ac:dyDescent="0.35">
      <c r="A314" s="137"/>
      <c r="B314" s="137"/>
      <c r="C314" s="137"/>
      <c r="D314" s="137"/>
      <c r="E314" s="137"/>
      <c r="F314" s="137"/>
      <c r="G314" s="102"/>
      <c r="H314" s="137"/>
      <c r="I314" s="137"/>
      <c r="J314" s="137"/>
      <c r="K314" s="170"/>
      <c r="L314" s="170"/>
      <c r="M314" s="170"/>
      <c r="N314" s="137"/>
      <c r="O314" s="137"/>
    </row>
    <row r="315" spans="1:32" x14ac:dyDescent="0.35">
      <c r="A315" s="137"/>
      <c r="B315" s="137"/>
      <c r="C315" s="137"/>
      <c r="D315" s="137"/>
      <c r="E315" s="137"/>
      <c r="F315" s="137"/>
      <c r="G315" s="102"/>
      <c r="H315" s="137"/>
      <c r="I315" s="137"/>
      <c r="J315" s="137"/>
      <c r="K315" s="170"/>
      <c r="L315" s="170"/>
      <c r="M315" s="170"/>
      <c r="N315" s="137"/>
      <c r="O315" s="137"/>
    </row>
    <row r="316" spans="1:32" x14ac:dyDescent="0.35">
      <c r="A316" s="137"/>
      <c r="B316" s="137"/>
      <c r="C316" s="137"/>
      <c r="D316" s="137"/>
      <c r="E316" s="137"/>
      <c r="F316" s="137"/>
      <c r="G316" s="102"/>
      <c r="H316" s="137"/>
      <c r="I316" s="137"/>
      <c r="J316" s="137"/>
      <c r="K316" s="170"/>
      <c r="L316" s="170"/>
      <c r="M316" s="170"/>
    </row>
    <row r="317" spans="1:32" x14ac:dyDescent="0.35">
      <c r="A317" s="137"/>
      <c r="B317" s="137"/>
      <c r="C317" s="137"/>
      <c r="D317" s="137"/>
      <c r="E317" s="137"/>
      <c r="F317" s="137"/>
      <c r="G317" s="102"/>
      <c r="H317" s="137"/>
      <c r="I317" s="137"/>
      <c r="J317" s="137"/>
      <c r="K317" s="170"/>
      <c r="L317" s="170"/>
      <c r="M317" s="170"/>
      <c r="N317" s="137"/>
      <c r="O317" s="137"/>
    </row>
    <row r="318" spans="1:32" x14ac:dyDescent="0.35">
      <c r="A318" s="137"/>
      <c r="B318" s="137"/>
      <c r="C318" s="137"/>
      <c r="D318" s="137"/>
      <c r="E318" s="137"/>
      <c r="F318" s="137"/>
      <c r="G318" s="102"/>
      <c r="H318" s="137"/>
      <c r="I318" s="137"/>
      <c r="J318" s="137"/>
      <c r="K318" s="170"/>
      <c r="L318" s="170"/>
      <c r="M318" s="170"/>
      <c r="N318" s="137"/>
      <c r="O318" s="137"/>
    </row>
    <row r="319" spans="1:32" x14ac:dyDescent="0.35">
      <c r="A319" s="137"/>
      <c r="B319" s="137"/>
      <c r="C319" s="137"/>
      <c r="D319" s="137"/>
      <c r="E319" s="137"/>
      <c r="F319" s="137"/>
      <c r="G319" s="102"/>
      <c r="H319" s="137"/>
      <c r="I319" s="137"/>
      <c r="J319" s="137"/>
      <c r="K319" s="170"/>
      <c r="L319" s="170"/>
      <c r="M319" s="170"/>
      <c r="N319" s="137"/>
      <c r="O319" s="137"/>
    </row>
    <row r="320" spans="1:32" x14ac:dyDescent="0.35">
      <c r="A320" s="137"/>
      <c r="B320" s="137"/>
      <c r="C320" s="137"/>
      <c r="D320" s="137"/>
      <c r="E320" s="137"/>
      <c r="F320" s="137"/>
      <c r="G320" s="102"/>
      <c r="H320" s="137"/>
      <c r="I320" s="137"/>
      <c r="J320" s="137"/>
      <c r="K320" s="170"/>
      <c r="L320" s="170"/>
      <c r="M320" s="170"/>
      <c r="N320" s="137"/>
      <c r="O320" s="137"/>
    </row>
    <row r="321" spans="1:15" x14ac:dyDescent="0.35">
      <c r="A321" s="137"/>
      <c r="B321" s="137"/>
      <c r="C321" s="137"/>
      <c r="D321" s="137"/>
      <c r="E321" s="137"/>
      <c r="F321" s="137"/>
      <c r="G321" s="102"/>
      <c r="H321" s="137"/>
      <c r="I321" s="137"/>
      <c r="J321" s="137"/>
      <c r="K321" s="170"/>
      <c r="L321" s="170"/>
      <c r="M321" s="170"/>
      <c r="N321" s="137"/>
      <c r="O321" s="137"/>
    </row>
    <row r="322" spans="1:15" x14ac:dyDescent="0.35">
      <c r="A322" s="137"/>
      <c r="B322" s="137"/>
      <c r="C322" s="137"/>
      <c r="D322" s="137"/>
      <c r="E322" s="137"/>
      <c r="F322" s="137"/>
      <c r="G322" s="102"/>
      <c r="H322" s="137"/>
      <c r="I322" s="137"/>
      <c r="J322" s="137"/>
      <c r="K322" s="170"/>
      <c r="L322" s="170"/>
      <c r="M322" s="170"/>
      <c r="N322" s="137"/>
      <c r="O322" s="137"/>
    </row>
    <row r="323" spans="1:15" x14ac:dyDescent="0.35">
      <c r="A323" s="137"/>
      <c r="B323" s="137"/>
      <c r="C323" s="137"/>
      <c r="D323" s="137"/>
      <c r="E323" s="137"/>
      <c r="F323" s="137"/>
      <c r="G323" s="102"/>
      <c r="H323" s="137"/>
      <c r="I323" s="137"/>
      <c r="J323" s="137"/>
      <c r="K323" s="170"/>
      <c r="L323" s="170"/>
      <c r="M323" s="170"/>
      <c r="N323" s="137"/>
      <c r="O323" s="137"/>
    </row>
    <row r="324" spans="1:15" x14ac:dyDescent="0.35">
      <c r="A324" s="137"/>
      <c r="B324" s="137"/>
      <c r="C324" s="137"/>
      <c r="D324" s="137"/>
      <c r="E324" s="137"/>
      <c r="F324" s="137"/>
      <c r="G324" s="102"/>
      <c r="H324" s="137"/>
      <c r="I324" s="137"/>
      <c r="J324" s="137"/>
      <c r="K324" s="170"/>
      <c r="L324" s="170"/>
      <c r="M324" s="170"/>
      <c r="N324" s="137"/>
      <c r="O324" s="137"/>
    </row>
    <row r="325" spans="1:15" x14ac:dyDescent="0.35">
      <c r="A325" s="137"/>
      <c r="B325" s="137"/>
      <c r="C325" s="137"/>
      <c r="D325" s="137"/>
      <c r="E325" s="137"/>
      <c r="F325" s="137"/>
      <c r="G325" s="102"/>
      <c r="H325" s="137"/>
      <c r="I325" s="137"/>
      <c r="J325" s="137"/>
      <c r="K325" s="170"/>
      <c r="L325" s="170"/>
      <c r="M325" s="170"/>
      <c r="N325" s="137"/>
      <c r="O325" s="137"/>
    </row>
    <row r="326" spans="1:15" x14ac:dyDescent="0.35">
      <c r="A326" s="137"/>
      <c r="B326" s="137"/>
      <c r="C326" s="137"/>
      <c r="D326" s="137"/>
      <c r="E326" s="137"/>
      <c r="F326" s="137"/>
      <c r="G326" s="102"/>
      <c r="H326" s="137"/>
      <c r="I326" s="137"/>
      <c r="J326" s="137"/>
      <c r="K326" s="170"/>
      <c r="L326" s="170"/>
      <c r="M326" s="170"/>
    </row>
    <row r="327" spans="1:15" x14ac:dyDescent="0.35">
      <c r="A327" s="137"/>
      <c r="B327" s="137"/>
      <c r="C327" s="137"/>
      <c r="D327" s="137"/>
      <c r="E327" s="137"/>
      <c r="F327" s="137"/>
      <c r="G327" s="102"/>
      <c r="H327" s="137"/>
      <c r="I327" s="137"/>
      <c r="J327" s="137"/>
      <c r="K327" s="170"/>
      <c r="L327" s="170"/>
      <c r="M327" s="170"/>
      <c r="N327" s="137"/>
      <c r="O327" s="137"/>
    </row>
    <row r="328" spans="1:15" x14ac:dyDescent="0.35">
      <c r="A328" s="137"/>
      <c r="B328" s="137"/>
      <c r="C328" s="137"/>
      <c r="D328" s="137"/>
      <c r="E328" s="137"/>
      <c r="F328" s="137"/>
      <c r="G328" s="102"/>
      <c r="H328" s="137"/>
      <c r="I328" s="137"/>
      <c r="J328" s="137"/>
      <c r="K328" s="170"/>
      <c r="L328" s="170"/>
      <c r="M328" s="170"/>
      <c r="N328" s="137"/>
      <c r="O328" s="137"/>
    </row>
    <row r="329" spans="1:15" x14ac:dyDescent="0.35">
      <c r="A329" s="137"/>
      <c r="B329" s="137"/>
      <c r="C329" s="137"/>
      <c r="D329" s="137"/>
      <c r="E329" s="137"/>
      <c r="F329" s="137"/>
      <c r="G329" s="102"/>
      <c r="H329" s="137"/>
      <c r="I329" s="137"/>
      <c r="J329" s="137"/>
      <c r="K329" s="170"/>
      <c r="L329" s="170"/>
      <c r="M329" s="170"/>
      <c r="N329" s="137"/>
      <c r="O329" s="137"/>
    </row>
    <row r="330" spans="1:15" x14ac:dyDescent="0.35">
      <c r="A330" s="137"/>
      <c r="B330" s="137"/>
      <c r="C330" s="137"/>
      <c r="D330" s="137"/>
      <c r="E330" s="137"/>
      <c r="F330" s="137"/>
      <c r="G330" s="102"/>
      <c r="H330" s="137"/>
      <c r="I330" s="137"/>
      <c r="J330" s="137"/>
      <c r="K330" s="170"/>
      <c r="L330" s="170"/>
      <c r="M330" s="170"/>
      <c r="N330" s="137"/>
      <c r="O330" s="137"/>
    </row>
    <row r="331" spans="1:15" x14ac:dyDescent="0.35">
      <c r="A331" s="137"/>
      <c r="B331" s="137"/>
      <c r="C331" s="137"/>
      <c r="D331" s="137"/>
      <c r="E331" s="137"/>
      <c r="F331" s="137"/>
      <c r="G331" s="102"/>
      <c r="H331" s="137"/>
      <c r="I331" s="137"/>
      <c r="J331" s="137"/>
      <c r="K331" s="170"/>
      <c r="L331" s="170"/>
      <c r="M331" s="170"/>
      <c r="N331" s="137"/>
      <c r="O331" s="137"/>
    </row>
    <row r="332" spans="1:15" x14ac:dyDescent="0.35">
      <c r="A332" s="137"/>
      <c r="B332" s="137"/>
      <c r="C332" s="137"/>
      <c r="D332" s="137"/>
      <c r="E332" s="137"/>
      <c r="F332" s="137"/>
      <c r="G332" s="102"/>
      <c r="H332" s="137"/>
      <c r="I332" s="137"/>
      <c r="J332" s="137"/>
      <c r="K332" s="170"/>
      <c r="L332" s="170"/>
      <c r="M332" s="170"/>
      <c r="N332" s="137"/>
      <c r="O332" s="137"/>
    </row>
    <row r="333" spans="1:15" x14ac:dyDescent="0.35">
      <c r="A333" s="137"/>
      <c r="B333" s="137"/>
      <c r="C333" s="137"/>
      <c r="D333" s="137"/>
      <c r="E333" s="137"/>
      <c r="F333" s="137"/>
      <c r="G333" s="102"/>
      <c r="H333" s="137"/>
      <c r="I333" s="137"/>
      <c r="J333" s="137"/>
      <c r="K333" s="170"/>
      <c r="L333" s="170"/>
      <c r="M333" s="170"/>
      <c r="N333" s="137"/>
      <c r="O333" s="137"/>
    </row>
    <row r="334" spans="1:15" x14ac:dyDescent="0.35">
      <c r="A334" s="137"/>
      <c r="B334" s="137"/>
      <c r="C334" s="137"/>
      <c r="D334" s="137"/>
      <c r="E334" s="137"/>
      <c r="F334" s="137"/>
      <c r="G334" s="102"/>
      <c r="H334" s="137"/>
      <c r="I334" s="137"/>
      <c r="J334" s="137"/>
      <c r="K334" s="170"/>
      <c r="L334" s="170"/>
      <c r="M334" s="170"/>
      <c r="N334" s="137"/>
      <c r="O334" s="137"/>
    </row>
    <row r="335" spans="1:15" x14ac:dyDescent="0.35">
      <c r="A335" s="137"/>
      <c r="B335" s="137"/>
      <c r="C335" s="137"/>
      <c r="D335" s="137"/>
      <c r="E335" s="137"/>
      <c r="F335" s="137"/>
      <c r="G335" s="102"/>
      <c r="H335" s="137"/>
      <c r="I335" s="137"/>
      <c r="J335" s="137"/>
      <c r="K335" s="170"/>
      <c r="L335" s="170"/>
      <c r="M335" s="170"/>
      <c r="N335" s="137"/>
      <c r="O335" s="137"/>
    </row>
    <row r="336" spans="1:15" x14ac:dyDescent="0.35">
      <c r="A336" s="137"/>
      <c r="B336" s="137"/>
      <c r="C336" s="137"/>
      <c r="D336" s="137"/>
      <c r="E336" s="137"/>
      <c r="F336" s="137"/>
      <c r="G336" s="102"/>
      <c r="H336" s="137"/>
      <c r="I336" s="137"/>
      <c r="J336" s="137"/>
      <c r="K336" s="170"/>
      <c r="L336" s="170"/>
      <c r="M336" s="170"/>
      <c r="N336" s="137"/>
      <c r="O336" s="137"/>
    </row>
    <row r="337" spans="1:15" x14ac:dyDescent="0.35">
      <c r="A337" s="137"/>
      <c r="B337" s="137"/>
      <c r="C337" s="137"/>
      <c r="D337" s="137"/>
      <c r="E337" s="137"/>
      <c r="F337" s="137"/>
      <c r="G337" s="102"/>
      <c r="H337" s="137"/>
      <c r="I337" s="137"/>
      <c r="J337" s="137"/>
      <c r="K337" s="170"/>
      <c r="L337" s="170"/>
      <c r="M337" s="170"/>
      <c r="N337" s="137"/>
      <c r="O337" s="137"/>
    </row>
    <row r="338" spans="1:15" x14ac:dyDescent="0.35">
      <c r="A338" s="137"/>
      <c r="B338" s="137"/>
      <c r="C338" s="137"/>
      <c r="D338" s="137"/>
      <c r="E338" s="137"/>
      <c r="F338" s="137"/>
      <c r="G338" s="102"/>
      <c r="H338" s="137"/>
      <c r="I338" s="137"/>
      <c r="J338" s="137"/>
      <c r="K338" s="170"/>
      <c r="L338" s="170"/>
      <c r="M338" s="170"/>
      <c r="N338" s="137"/>
      <c r="O338" s="137"/>
    </row>
    <row r="339" spans="1:15" x14ac:dyDescent="0.35">
      <c r="A339" s="137"/>
      <c r="B339" s="137"/>
      <c r="C339" s="137"/>
      <c r="D339" s="137"/>
      <c r="E339" s="137"/>
      <c r="F339" s="137"/>
      <c r="G339" s="102"/>
      <c r="H339" s="137"/>
      <c r="I339" s="137"/>
      <c r="J339" s="137"/>
      <c r="K339" s="170"/>
      <c r="L339" s="170"/>
      <c r="M339" s="170"/>
      <c r="N339" s="137"/>
      <c r="O339" s="137"/>
    </row>
    <row r="340" spans="1:15" x14ac:dyDescent="0.35">
      <c r="A340" s="137"/>
      <c r="B340" s="137"/>
      <c r="C340" s="137"/>
      <c r="D340" s="137"/>
      <c r="E340" s="137"/>
      <c r="F340" s="137"/>
      <c r="G340" s="102"/>
      <c r="H340" s="137"/>
      <c r="I340" s="137"/>
      <c r="J340" s="137"/>
      <c r="K340" s="170"/>
      <c r="L340" s="170"/>
      <c r="M340" s="170"/>
      <c r="N340" s="137"/>
      <c r="O340" s="137"/>
    </row>
    <row r="341" spans="1:15" x14ac:dyDescent="0.35">
      <c r="A341" s="137"/>
      <c r="B341" s="137"/>
      <c r="C341" s="137"/>
      <c r="D341" s="137"/>
      <c r="E341" s="137"/>
      <c r="F341" s="137"/>
      <c r="G341" s="102"/>
      <c r="H341" s="137"/>
      <c r="I341" s="137"/>
      <c r="J341" s="137"/>
      <c r="K341" s="170"/>
      <c r="L341" s="170"/>
      <c r="M341" s="170"/>
      <c r="N341" s="137"/>
      <c r="O341" s="137"/>
    </row>
    <row r="342" spans="1:15" x14ac:dyDescent="0.35">
      <c r="A342" s="137"/>
      <c r="B342" s="137"/>
      <c r="C342" s="137"/>
      <c r="D342" s="137"/>
      <c r="E342" s="137"/>
      <c r="F342" s="137"/>
      <c r="G342" s="102"/>
      <c r="H342" s="137"/>
      <c r="I342" s="137"/>
      <c r="J342" s="137"/>
      <c r="K342" s="170"/>
      <c r="L342" s="170"/>
      <c r="M342" s="170"/>
      <c r="N342" s="137"/>
      <c r="O342" s="137"/>
    </row>
    <row r="343" spans="1:15" x14ac:dyDescent="0.35">
      <c r="A343" s="137"/>
      <c r="B343" s="137"/>
      <c r="C343" s="137"/>
      <c r="D343" s="137"/>
      <c r="E343" s="137"/>
      <c r="F343" s="137"/>
      <c r="G343" s="102"/>
      <c r="H343" s="137"/>
      <c r="I343" s="137"/>
      <c r="J343" s="137"/>
      <c r="K343" s="170"/>
      <c r="L343" s="170"/>
      <c r="M343" s="170"/>
      <c r="N343" s="137"/>
      <c r="O343" s="137"/>
    </row>
    <row r="344" spans="1:15" x14ac:dyDescent="0.35">
      <c r="A344" s="137"/>
      <c r="B344" s="137"/>
      <c r="C344" s="137"/>
      <c r="D344" s="137"/>
      <c r="E344" s="137"/>
      <c r="F344" s="137"/>
      <c r="G344" s="102"/>
      <c r="H344" s="137"/>
      <c r="I344" s="137"/>
      <c r="J344" s="137"/>
      <c r="K344" s="170"/>
      <c r="L344" s="170"/>
      <c r="M344" s="170"/>
      <c r="N344" s="137"/>
      <c r="O344" s="137"/>
    </row>
    <row r="345" spans="1:15" x14ac:dyDescent="0.35">
      <c r="A345" s="137"/>
      <c r="B345" s="137"/>
      <c r="C345" s="137"/>
      <c r="D345" s="137"/>
      <c r="E345" s="137"/>
      <c r="F345" s="137"/>
      <c r="G345" s="102"/>
      <c r="H345" s="137"/>
      <c r="I345" s="137"/>
      <c r="J345" s="137"/>
      <c r="K345" s="170"/>
      <c r="L345" s="170"/>
      <c r="M345" s="170"/>
      <c r="N345" s="137"/>
      <c r="O345" s="137"/>
    </row>
    <row r="346" spans="1:15" x14ac:dyDescent="0.35">
      <c r="A346" s="137"/>
      <c r="B346" s="137"/>
      <c r="C346" s="137"/>
      <c r="D346" s="137"/>
      <c r="E346" s="137"/>
      <c r="F346" s="137"/>
      <c r="G346" s="102"/>
      <c r="H346" s="137"/>
      <c r="I346" s="137"/>
      <c r="J346" s="137"/>
      <c r="K346" s="170"/>
      <c r="L346" s="170"/>
      <c r="M346" s="170"/>
      <c r="N346" s="137"/>
      <c r="O346" s="137"/>
    </row>
    <row r="347" spans="1:15" x14ac:dyDescent="0.35">
      <c r="A347" s="137"/>
      <c r="B347" s="137"/>
      <c r="C347" s="137"/>
      <c r="D347" s="137"/>
      <c r="E347" s="137"/>
      <c r="F347" s="137"/>
      <c r="G347" s="102"/>
      <c r="H347" s="137"/>
      <c r="I347" s="137"/>
      <c r="J347" s="137"/>
      <c r="K347" s="170"/>
      <c r="L347" s="170"/>
      <c r="M347" s="170"/>
      <c r="N347" s="137"/>
      <c r="O347" s="137"/>
    </row>
    <row r="348" spans="1:15" x14ac:dyDescent="0.35">
      <c r="A348" s="137"/>
      <c r="B348" s="137"/>
      <c r="C348" s="137"/>
      <c r="D348" s="137"/>
      <c r="E348" s="137"/>
      <c r="F348" s="137"/>
      <c r="G348" s="102"/>
      <c r="H348" s="137"/>
      <c r="I348" s="137"/>
      <c r="J348" s="137"/>
      <c r="K348" s="170"/>
      <c r="L348" s="170"/>
      <c r="M348" s="170"/>
      <c r="N348" s="137"/>
      <c r="O348" s="137"/>
    </row>
    <row r="349" spans="1:15" x14ac:dyDescent="0.35">
      <c r="A349" s="137"/>
      <c r="B349" s="137"/>
      <c r="C349" s="137"/>
      <c r="D349" s="137"/>
      <c r="E349" s="137"/>
      <c r="F349" s="137"/>
      <c r="G349" s="102"/>
      <c r="H349" s="137"/>
      <c r="I349" s="137"/>
      <c r="J349" s="137"/>
      <c r="K349" s="170"/>
      <c r="L349" s="170"/>
      <c r="M349" s="170"/>
      <c r="N349" s="137"/>
      <c r="O349" s="137"/>
    </row>
    <row r="350" spans="1:15" x14ac:dyDescent="0.35">
      <c r="A350" s="137"/>
      <c r="B350" s="137"/>
      <c r="C350" s="137"/>
      <c r="D350" s="137"/>
      <c r="E350" s="137"/>
      <c r="F350" s="137"/>
      <c r="G350" s="102"/>
      <c r="H350" s="137"/>
      <c r="I350" s="137"/>
      <c r="J350" s="137"/>
      <c r="K350" s="170"/>
      <c r="L350" s="170"/>
      <c r="M350" s="170"/>
      <c r="N350" s="137"/>
      <c r="O350" s="137"/>
    </row>
    <row r="351" spans="1:15" x14ac:dyDescent="0.35">
      <c r="A351" s="137"/>
      <c r="B351" s="137"/>
      <c r="C351" s="137"/>
      <c r="D351" s="137"/>
      <c r="E351" s="137"/>
      <c r="F351" s="137"/>
      <c r="G351" s="102"/>
      <c r="H351" s="137"/>
      <c r="I351" s="137"/>
      <c r="J351" s="137"/>
      <c r="K351" s="170"/>
      <c r="L351" s="170"/>
      <c r="M351" s="170"/>
      <c r="N351" s="137"/>
      <c r="O351" s="137"/>
    </row>
    <row r="352" spans="1:15" x14ac:dyDescent="0.35">
      <c r="A352" s="137"/>
      <c r="B352" s="137"/>
      <c r="C352" s="137"/>
      <c r="D352" s="137"/>
      <c r="E352" s="137"/>
      <c r="F352" s="137"/>
      <c r="G352" s="102"/>
      <c r="H352" s="137"/>
      <c r="I352" s="137"/>
      <c r="J352" s="137"/>
      <c r="K352" s="170"/>
      <c r="L352" s="170"/>
      <c r="M352" s="170"/>
      <c r="N352" s="137"/>
      <c r="O352" s="137"/>
    </row>
    <row r="353" spans="1:15" x14ac:dyDescent="0.35">
      <c r="A353" s="137"/>
      <c r="B353" s="137"/>
      <c r="C353" s="137"/>
      <c r="D353" s="137"/>
      <c r="E353" s="137"/>
      <c r="F353" s="137"/>
      <c r="G353" s="102"/>
      <c r="H353" s="137"/>
      <c r="I353" s="137"/>
      <c r="J353" s="137"/>
      <c r="K353" s="170"/>
      <c r="L353" s="170"/>
      <c r="M353" s="170"/>
      <c r="N353" s="137"/>
      <c r="O353" s="137"/>
    </row>
    <row r="354" spans="1:15" x14ac:dyDescent="0.35">
      <c r="A354" s="137"/>
      <c r="B354" s="137"/>
      <c r="C354" s="137"/>
      <c r="D354" s="137"/>
      <c r="E354" s="137"/>
      <c r="F354" s="137"/>
      <c r="G354" s="102"/>
      <c r="H354" s="137"/>
      <c r="I354" s="137"/>
      <c r="J354" s="137"/>
      <c r="K354" s="170"/>
      <c r="L354" s="170"/>
      <c r="M354" s="170"/>
      <c r="N354" s="137"/>
      <c r="O354" s="137"/>
    </row>
    <row r="355" spans="1:15" x14ac:dyDescent="0.35">
      <c r="A355" s="137"/>
      <c r="B355" s="137"/>
      <c r="C355" s="137"/>
      <c r="D355" s="137"/>
      <c r="E355" s="137"/>
      <c r="F355" s="137"/>
      <c r="G355" s="102"/>
      <c r="H355" s="137"/>
      <c r="I355" s="137"/>
      <c r="J355" s="137"/>
      <c r="K355" s="170"/>
      <c r="L355" s="170"/>
      <c r="M355" s="170"/>
      <c r="N355" s="137"/>
      <c r="O355" s="137"/>
    </row>
    <row r="356" spans="1:15" x14ac:dyDescent="0.35">
      <c r="A356" s="137"/>
      <c r="B356" s="137"/>
      <c r="C356" s="137"/>
      <c r="D356" s="137"/>
      <c r="E356" s="137"/>
      <c r="F356" s="137"/>
      <c r="G356" s="102"/>
      <c r="H356" s="137"/>
      <c r="I356" s="137"/>
      <c r="J356" s="137"/>
      <c r="K356" s="170"/>
      <c r="L356" s="170"/>
      <c r="M356" s="170"/>
      <c r="N356" s="137"/>
      <c r="O356" s="137"/>
    </row>
    <row r="357" spans="1:15" x14ac:dyDescent="0.35">
      <c r="A357" s="137"/>
      <c r="B357" s="137"/>
      <c r="C357" s="137"/>
      <c r="D357" s="137"/>
      <c r="E357" s="137"/>
      <c r="F357" s="137"/>
      <c r="G357" s="102"/>
      <c r="H357" s="137"/>
      <c r="I357" s="137"/>
      <c r="J357" s="137"/>
      <c r="K357" s="170"/>
      <c r="L357" s="170"/>
      <c r="M357" s="170"/>
      <c r="N357" s="137"/>
      <c r="O357" s="137"/>
    </row>
    <row r="358" spans="1:15" x14ac:dyDescent="0.35">
      <c r="A358" s="137"/>
      <c r="B358" s="137"/>
      <c r="C358" s="137"/>
      <c r="D358" s="137"/>
      <c r="E358" s="137"/>
      <c r="F358" s="137"/>
      <c r="G358" s="102"/>
      <c r="H358" s="137"/>
      <c r="I358" s="137"/>
      <c r="J358" s="137"/>
      <c r="K358" s="170"/>
      <c r="L358" s="170"/>
      <c r="M358" s="170"/>
      <c r="N358" s="137"/>
      <c r="O358" s="137"/>
    </row>
    <row r="359" spans="1:15" x14ac:dyDescent="0.35">
      <c r="A359" s="137"/>
      <c r="B359" s="137"/>
      <c r="C359" s="137"/>
      <c r="D359" s="137"/>
      <c r="E359" s="137"/>
      <c r="F359" s="137"/>
      <c r="G359" s="102"/>
      <c r="H359" s="137"/>
      <c r="I359" s="137"/>
      <c r="J359" s="137"/>
      <c r="K359" s="170"/>
      <c r="L359" s="170"/>
      <c r="M359" s="170"/>
      <c r="N359" s="137"/>
      <c r="O359" s="137"/>
    </row>
    <row r="360" spans="1:15" x14ac:dyDescent="0.35">
      <c r="A360" s="137"/>
      <c r="B360" s="137"/>
      <c r="C360" s="137"/>
      <c r="D360" s="137"/>
      <c r="E360" s="137"/>
      <c r="F360" s="137"/>
      <c r="G360" s="102"/>
      <c r="H360" s="137"/>
      <c r="I360" s="137"/>
      <c r="J360" s="137"/>
      <c r="K360" s="170"/>
      <c r="L360" s="170"/>
      <c r="M360" s="170"/>
      <c r="N360" s="137"/>
      <c r="O360" s="137"/>
    </row>
    <row r="361" spans="1:15" x14ac:dyDescent="0.35">
      <c r="A361" s="137"/>
      <c r="B361" s="137"/>
      <c r="C361" s="137"/>
      <c r="D361" s="137"/>
      <c r="E361" s="137"/>
      <c r="F361" s="137"/>
      <c r="G361" s="102"/>
      <c r="H361" s="137"/>
      <c r="I361" s="137"/>
      <c r="J361" s="137"/>
      <c r="K361" s="170"/>
      <c r="L361" s="170"/>
      <c r="M361" s="170"/>
      <c r="N361" s="137"/>
      <c r="O361" s="137"/>
    </row>
    <row r="362" spans="1:15" x14ac:dyDescent="0.35">
      <c r="A362" s="137"/>
      <c r="B362" s="137"/>
      <c r="C362" s="137"/>
      <c r="D362" s="137"/>
      <c r="E362" s="137"/>
      <c r="F362" s="137"/>
      <c r="G362" s="102"/>
      <c r="H362" s="137"/>
      <c r="I362" s="137"/>
      <c r="J362" s="137"/>
      <c r="K362" s="170"/>
      <c r="L362" s="170"/>
      <c r="M362" s="170"/>
    </row>
    <row r="363" spans="1:15" x14ac:dyDescent="0.35">
      <c r="A363" s="137"/>
      <c r="B363" s="137"/>
      <c r="C363" s="137"/>
      <c r="D363" s="137"/>
      <c r="E363" s="137"/>
      <c r="F363" s="137"/>
      <c r="G363" s="102"/>
      <c r="H363" s="137"/>
      <c r="I363" s="137"/>
      <c r="J363" s="137"/>
      <c r="K363" s="170"/>
      <c r="L363" s="170"/>
      <c r="M363" s="170"/>
      <c r="N363" s="137"/>
      <c r="O363" s="137"/>
    </row>
    <row r="364" spans="1:15" x14ac:dyDescent="0.35">
      <c r="A364" s="137"/>
      <c r="B364" s="137"/>
      <c r="C364" s="137"/>
      <c r="D364" s="137"/>
      <c r="E364" s="137"/>
      <c r="F364" s="137"/>
      <c r="G364" s="102"/>
      <c r="H364" s="137"/>
      <c r="I364" s="137"/>
      <c r="J364" s="137"/>
      <c r="K364" s="170"/>
      <c r="L364" s="170"/>
      <c r="M364" s="170"/>
    </row>
    <row r="365" spans="1:15" x14ac:dyDescent="0.35">
      <c r="A365" s="137"/>
      <c r="B365" s="137"/>
      <c r="C365" s="137"/>
      <c r="D365" s="137"/>
      <c r="E365" s="137"/>
      <c r="F365" s="137"/>
      <c r="G365" s="102"/>
      <c r="H365" s="137"/>
      <c r="I365" s="137"/>
      <c r="J365" s="137"/>
      <c r="K365" s="170"/>
      <c r="L365" s="170"/>
      <c r="M365" s="170"/>
      <c r="N365" s="137"/>
      <c r="O365" s="137"/>
    </row>
    <row r="366" spans="1:15" x14ac:dyDescent="0.35">
      <c r="A366" s="137"/>
      <c r="B366" s="137"/>
      <c r="C366" s="137"/>
      <c r="D366" s="137"/>
      <c r="E366" s="137"/>
      <c r="F366" s="137"/>
      <c r="G366" s="102"/>
      <c r="H366" s="137"/>
      <c r="I366" s="137"/>
      <c r="J366" s="137"/>
      <c r="K366" s="170"/>
      <c r="L366" s="170"/>
      <c r="M366" s="170"/>
      <c r="N366" s="137"/>
      <c r="O366" s="137"/>
    </row>
    <row r="367" spans="1:15" x14ac:dyDescent="0.35">
      <c r="A367" s="137"/>
      <c r="B367" s="137"/>
      <c r="C367" s="137"/>
      <c r="D367" s="137"/>
      <c r="E367" s="137"/>
      <c r="F367" s="137"/>
      <c r="G367" s="102"/>
      <c r="H367" s="137"/>
      <c r="I367" s="137"/>
      <c r="J367" s="137"/>
      <c r="K367" s="170"/>
      <c r="L367" s="170"/>
      <c r="M367" s="170"/>
      <c r="N367" s="137"/>
      <c r="O367" s="137"/>
    </row>
    <row r="368" spans="1:15" x14ac:dyDescent="0.35">
      <c r="A368" s="137"/>
      <c r="B368" s="137"/>
      <c r="C368" s="137"/>
      <c r="D368" s="137"/>
      <c r="E368" s="137"/>
      <c r="F368" s="137"/>
      <c r="G368" s="102"/>
      <c r="H368" s="137"/>
      <c r="I368" s="137"/>
      <c r="J368" s="137"/>
      <c r="K368" s="170"/>
      <c r="L368" s="170"/>
      <c r="M368" s="170"/>
      <c r="N368" s="137"/>
      <c r="O368" s="137"/>
    </row>
    <row r="369" spans="1:15" x14ac:dyDescent="0.35">
      <c r="A369" s="137"/>
      <c r="B369" s="137"/>
      <c r="C369" s="137"/>
      <c r="D369" s="137"/>
      <c r="E369" s="137"/>
      <c r="F369" s="137"/>
      <c r="G369" s="102"/>
      <c r="H369" s="137"/>
      <c r="I369" s="137"/>
      <c r="J369" s="137"/>
      <c r="K369" s="170"/>
      <c r="L369" s="170"/>
      <c r="M369" s="170"/>
      <c r="N369" s="137"/>
      <c r="O369" s="137"/>
    </row>
    <row r="370" spans="1:15" x14ac:dyDescent="0.35">
      <c r="A370" s="137"/>
      <c r="B370" s="137"/>
      <c r="C370" s="137"/>
      <c r="D370" s="137"/>
      <c r="E370" s="137"/>
      <c r="F370" s="137"/>
      <c r="G370" s="102"/>
      <c r="H370" s="137"/>
      <c r="I370" s="137"/>
      <c r="J370" s="137"/>
      <c r="K370" s="170"/>
      <c r="L370" s="170"/>
      <c r="M370" s="170"/>
      <c r="N370" s="137"/>
      <c r="O370" s="137"/>
    </row>
    <row r="371" spans="1:15" x14ac:dyDescent="0.35">
      <c r="A371" s="137"/>
      <c r="B371" s="137"/>
      <c r="C371" s="137"/>
      <c r="D371" s="137"/>
      <c r="E371" s="137"/>
      <c r="F371" s="137"/>
      <c r="G371" s="102"/>
      <c r="H371" s="137"/>
      <c r="I371" s="137"/>
      <c r="J371" s="137"/>
      <c r="K371" s="170"/>
      <c r="L371" s="170"/>
      <c r="M371" s="170"/>
      <c r="N371" s="137"/>
      <c r="O371" s="137"/>
    </row>
    <row r="372" spans="1:15" x14ac:dyDescent="0.35">
      <c r="A372" s="137"/>
      <c r="B372" s="137"/>
      <c r="C372" s="137"/>
      <c r="D372" s="137"/>
      <c r="E372" s="137"/>
      <c r="F372" s="137"/>
      <c r="G372" s="102"/>
      <c r="H372" s="137"/>
      <c r="I372" s="137"/>
      <c r="J372" s="137"/>
      <c r="K372" s="170"/>
      <c r="L372" s="170"/>
      <c r="M372" s="170"/>
      <c r="N372" s="137"/>
      <c r="O372" s="137"/>
    </row>
    <row r="373" spans="1:15" x14ac:dyDescent="0.35">
      <c r="A373" s="137"/>
      <c r="B373" s="137"/>
      <c r="C373" s="137"/>
      <c r="D373" s="137"/>
      <c r="E373" s="137"/>
      <c r="F373" s="137"/>
      <c r="G373" s="102"/>
      <c r="H373" s="137"/>
      <c r="I373" s="137"/>
      <c r="J373" s="137"/>
      <c r="K373" s="170"/>
      <c r="L373" s="170"/>
      <c r="M373" s="170"/>
      <c r="N373" s="137"/>
      <c r="O373" s="137"/>
    </row>
    <row r="374" spans="1:15" x14ac:dyDescent="0.35">
      <c r="A374" s="137"/>
      <c r="B374" s="137"/>
      <c r="C374" s="137"/>
      <c r="D374" s="137"/>
      <c r="E374" s="137"/>
      <c r="F374" s="137"/>
      <c r="G374" s="102"/>
      <c r="H374" s="137"/>
      <c r="I374" s="137"/>
      <c r="J374" s="137"/>
      <c r="K374" s="170"/>
      <c r="L374" s="170"/>
      <c r="M374" s="170"/>
      <c r="N374" s="137"/>
      <c r="O374" s="137"/>
    </row>
    <row r="375" spans="1:15" x14ac:dyDescent="0.35">
      <c r="A375" s="137"/>
      <c r="B375" s="137"/>
      <c r="C375" s="137"/>
      <c r="D375" s="137"/>
      <c r="E375" s="137"/>
      <c r="F375" s="137"/>
      <c r="G375" s="102"/>
      <c r="H375" s="137"/>
      <c r="I375" s="137"/>
      <c r="J375" s="137"/>
      <c r="K375" s="170"/>
      <c r="L375" s="170"/>
      <c r="M375" s="170"/>
      <c r="N375" s="137"/>
      <c r="O375" s="137"/>
    </row>
    <row r="376" spans="1:15" x14ac:dyDescent="0.35">
      <c r="A376" s="137"/>
      <c r="B376" s="137"/>
      <c r="C376" s="137"/>
      <c r="D376" s="137"/>
      <c r="E376" s="137"/>
      <c r="F376" s="137"/>
      <c r="G376" s="102"/>
      <c r="H376" s="137"/>
      <c r="I376" s="137"/>
      <c r="J376" s="137"/>
      <c r="K376" s="170"/>
      <c r="L376" s="170"/>
      <c r="M376" s="170"/>
      <c r="N376" s="137"/>
      <c r="O376" s="137"/>
    </row>
    <row r="377" spans="1:15" x14ac:dyDescent="0.35">
      <c r="A377" s="137"/>
      <c r="B377" s="137"/>
      <c r="C377" s="137"/>
      <c r="D377" s="137"/>
      <c r="E377" s="137"/>
      <c r="F377" s="137"/>
      <c r="G377" s="102"/>
      <c r="H377" s="137"/>
      <c r="I377" s="137"/>
      <c r="J377" s="137"/>
      <c r="K377" s="170"/>
      <c r="L377" s="170"/>
      <c r="M377" s="170"/>
      <c r="N377" s="137"/>
      <c r="O377" s="137"/>
    </row>
    <row r="378" spans="1:15" x14ac:dyDescent="0.35">
      <c r="A378" s="137"/>
      <c r="B378" s="137"/>
      <c r="C378" s="137"/>
      <c r="D378" s="137"/>
      <c r="E378" s="137"/>
      <c r="F378" s="137"/>
      <c r="G378" s="102"/>
      <c r="H378" s="137"/>
      <c r="I378" s="137"/>
      <c r="J378" s="137"/>
      <c r="K378" s="170"/>
      <c r="L378" s="170"/>
      <c r="M378" s="170"/>
      <c r="N378" s="137"/>
      <c r="O378" s="137"/>
    </row>
    <row r="379" spans="1:15" x14ac:dyDescent="0.35">
      <c r="A379" s="137"/>
      <c r="B379" s="137"/>
      <c r="C379" s="137"/>
      <c r="D379" s="137"/>
      <c r="E379" s="137"/>
      <c r="F379" s="137"/>
      <c r="G379" s="102"/>
      <c r="H379" s="137"/>
      <c r="I379" s="137"/>
      <c r="J379" s="137"/>
      <c r="K379" s="170"/>
      <c r="L379" s="170"/>
      <c r="M379" s="170"/>
      <c r="N379" s="137"/>
      <c r="O379" s="137"/>
    </row>
    <row r="380" spans="1:15" x14ac:dyDescent="0.35">
      <c r="A380" s="137"/>
      <c r="B380" s="137"/>
      <c r="C380" s="137"/>
      <c r="D380" s="137"/>
      <c r="E380" s="137"/>
      <c r="F380" s="137"/>
      <c r="G380" s="102"/>
      <c r="H380" s="137"/>
      <c r="I380" s="137"/>
      <c r="J380" s="137"/>
      <c r="K380" s="170"/>
      <c r="L380" s="170"/>
      <c r="M380" s="170"/>
      <c r="N380" s="137"/>
      <c r="O380" s="137"/>
    </row>
    <row r="381" spans="1:15" x14ac:dyDescent="0.35">
      <c r="A381" s="137"/>
      <c r="B381" s="137"/>
      <c r="C381" s="137"/>
      <c r="D381" s="137"/>
      <c r="E381" s="137"/>
      <c r="F381" s="137"/>
      <c r="G381" s="102"/>
      <c r="H381" s="137"/>
      <c r="I381" s="137"/>
      <c r="J381" s="137"/>
      <c r="K381" s="170"/>
      <c r="L381" s="170"/>
      <c r="M381" s="170"/>
      <c r="N381" s="137"/>
      <c r="O381" s="137"/>
    </row>
    <row r="382" spans="1:15" x14ac:dyDescent="0.35">
      <c r="A382" s="137"/>
      <c r="B382" s="137"/>
      <c r="C382" s="137"/>
      <c r="D382" s="137"/>
      <c r="E382" s="137"/>
      <c r="F382" s="137"/>
      <c r="G382" s="102"/>
      <c r="H382" s="137"/>
      <c r="I382" s="137"/>
      <c r="J382" s="137"/>
      <c r="K382" s="170"/>
      <c r="L382" s="170"/>
      <c r="M382" s="170"/>
      <c r="N382" s="137"/>
      <c r="O382" s="137"/>
    </row>
    <row r="383" spans="1:15" x14ac:dyDescent="0.35">
      <c r="A383" s="137"/>
      <c r="B383" s="137"/>
      <c r="C383" s="137"/>
      <c r="D383" s="137"/>
      <c r="E383" s="137"/>
      <c r="F383" s="137"/>
      <c r="G383" s="102"/>
      <c r="H383" s="137"/>
      <c r="I383" s="137"/>
      <c r="J383" s="137"/>
      <c r="K383" s="170"/>
      <c r="L383" s="170"/>
      <c r="M383" s="170"/>
      <c r="N383" s="137"/>
      <c r="O383" s="137"/>
    </row>
    <row r="384" spans="1:15" x14ac:dyDescent="0.35">
      <c r="A384" s="137"/>
      <c r="B384" s="137"/>
      <c r="C384" s="137"/>
      <c r="D384" s="137"/>
      <c r="E384" s="137"/>
      <c r="F384" s="137"/>
      <c r="G384" s="102"/>
      <c r="H384" s="137"/>
      <c r="I384" s="137"/>
      <c r="J384" s="137"/>
      <c r="K384" s="170"/>
      <c r="L384" s="170"/>
      <c r="M384" s="170"/>
      <c r="N384" s="137"/>
      <c r="O384" s="137"/>
    </row>
    <row r="385" spans="1:15" x14ac:dyDescent="0.35">
      <c r="A385" s="137"/>
      <c r="B385" s="137"/>
      <c r="C385" s="137"/>
      <c r="D385" s="137"/>
      <c r="E385" s="137"/>
      <c r="F385" s="137"/>
      <c r="G385" s="102"/>
      <c r="H385" s="137"/>
      <c r="I385" s="137"/>
      <c r="J385" s="137"/>
      <c r="K385" s="170"/>
      <c r="L385" s="170"/>
      <c r="M385" s="170"/>
      <c r="N385" s="137"/>
      <c r="O385" s="137"/>
    </row>
    <row r="386" spans="1:15" x14ac:dyDescent="0.35">
      <c r="A386" s="137"/>
      <c r="B386" s="137"/>
      <c r="C386" s="137"/>
      <c r="D386" s="137"/>
      <c r="E386" s="137"/>
      <c r="F386" s="137"/>
      <c r="G386" s="102"/>
      <c r="H386" s="137"/>
      <c r="I386" s="137"/>
      <c r="J386" s="137"/>
      <c r="K386" s="170"/>
      <c r="L386" s="170"/>
      <c r="M386" s="170"/>
      <c r="N386" s="137"/>
      <c r="O386" s="137"/>
    </row>
    <row r="387" spans="1:15" x14ac:dyDescent="0.35">
      <c r="A387" s="137"/>
      <c r="B387" s="137"/>
      <c r="C387" s="137"/>
      <c r="D387" s="137"/>
      <c r="E387" s="137"/>
      <c r="F387" s="137"/>
      <c r="G387" s="102"/>
      <c r="H387" s="137"/>
      <c r="I387" s="137"/>
      <c r="J387" s="137"/>
      <c r="K387" s="170"/>
      <c r="L387" s="170"/>
      <c r="M387" s="170"/>
      <c r="N387" s="137"/>
      <c r="O387" s="137"/>
    </row>
    <row r="388" spans="1:15" x14ac:dyDescent="0.35">
      <c r="A388" s="137"/>
      <c r="B388" s="137"/>
      <c r="C388" s="137"/>
      <c r="D388" s="137"/>
      <c r="E388" s="137"/>
      <c r="F388" s="137"/>
      <c r="G388" s="102"/>
      <c r="H388" s="137"/>
      <c r="I388" s="137"/>
      <c r="J388" s="137"/>
      <c r="K388" s="170"/>
      <c r="L388" s="170"/>
      <c r="M388" s="170"/>
      <c r="N388" s="137"/>
      <c r="O388" s="137"/>
    </row>
    <row r="389" spans="1:15" x14ac:dyDescent="0.35">
      <c r="A389" s="137"/>
      <c r="B389" s="137"/>
      <c r="C389" s="137"/>
      <c r="D389" s="137"/>
      <c r="E389" s="137"/>
      <c r="F389" s="137"/>
      <c r="G389" s="102"/>
      <c r="H389" s="137"/>
      <c r="I389" s="137"/>
      <c r="J389" s="137"/>
      <c r="K389" s="170"/>
      <c r="L389" s="170"/>
      <c r="M389" s="170"/>
    </row>
    <row r="390" spans="1:15" x14ac:dyDescent="0.35">
      <c r="A390" s="137"/>
      <c r="B390" s="137"/>
      <c r="C390" s="137"/>
      <c r="D390" s="137"/>
      <c r="E390" s="137"/>
      <c r="F390" s="137"/>
      <c r="G390" s="102"/>
      <c r="H390" s="137"/>
      <c r="I390" s="137"/>
      <c r="J390" s="137"/>
      <c r="K390" s="170"/>
      <c r="L390" s="170"/>
      <c r="M390" s="170"/>
    </row>
    <row r="391" spans="1:15" x14ac:dyDescent="0.35">
      <c r="A391" s="137"/>
      <c r="B391" s="137"/>
      <c r="C391" s="137"/>
      <c r="D391" s="137"/>
      <c r="E391" s="137"/>
      <c r="F391" s="137"/>
      <c r="G391" s="102"/>
      <c r="H391" s="137"/>
      <c r="I391" s="137"/>
      <c r="J391" s="137"/>
      <c r="K391" s="170"/>
      <c r="L391" s="170"/>
      <c r="M391" s="170"/>
      <c r="N391" s="137"/>
      <c r="O391" s="137"/>
    </row>
    <row r="392" spans="1:15" x14ac:dyDescent="0.35">
      <c r="A392" s="137"/>
      <c r="B392" s="137"/>
      <c r="C392" s="137"/>
      <c r="D392" s="137"/>
      <c r="E392" s="137"/>
      <c r="F392" s="137"/>
      <c r="G392" s="102"/>
      <c r="H392" s="137"/>
      <c r="I392" s="137"/>
      <c r="J392" s="137"/>
      <c r="K392" s="170"/>
      <c r="L392" s="170"/>
      <c r="M392" s="170"/>
      <c r="N392" s="137"/>
      <c r="O392" s="137"/>
    </row>
    <row r="393" spans="1:15" x14ac:dyDescent="0.35">
      <c r="A393" s="137"/>
      <c r="B393" s="137"/>
      <c r="C393" s="137"/>
      <c r="D393" s="137"/>
      <c r="E393" s="137"/>
      <c r="F393" s="137"/>
      <c r="G393" s="102"/>
      <c r="H393" s="137"/>
      <c r="I393" s="137"/>
      <c r="J393" s="137"/>
      <c r="K393" s="170"/>
      <c r="L393" s="170"/>
      <c r="M393" s="170"/>
      <c r="N393" s="137"/>
      <c r="O393" s="137"/>
    </row>
    <row r="394" spans="1:15" x14ac:dyDescent="0.35">
      <c r="A394" s="137"/>
      <c r="B394" s="137"/>
      <c r="C394" s="137"/>
      <c r="D394" s="137"/>
      <c r="E394" s="137"/>
      <c r="F394" s="137"/>
      <c r="G394" s="102"/>
      <c r="H394" s="137"/>
      <c r="I394" s="137"/>
      <c r="J394" s="137"/>
      <c r="K394" s="170"/>
      <c r="L394" s="170"/>
      <c r="M394" s="170"/>
      <c r="N394" s="137"/>
      <c r="O394" s="137"/>
    </row>
    <row r="395" spans="1:15" x14ac:dyDescent="0.35">
      <c r="A395" s="137"/>
      <c r="B395" s="137"/>
      <c r="C395" s="137"/>
      <c r="D395" s="137"/>
      <c r="E395" s="137"/>
      <c r="F395" s="137"/>
      <c r="G395" s="102"/>
      <c r="H395" s="137"/>
      <c r="I395" s="137"/>
      <c r="J395" s="137"/>
      <c r="K395" s="170"/>
      <c r="L395" s="170"/>
      <c r="M395" s="170"/>
      <c r="N395" s="137"/>
      <c r="O395" s="137"/>
    </row>
    <row r="396" spans="1:15" x14ac:dyDescent="0.35">
      <c r="A396" s="137"/>
      <c r="B396" s="137"/>
      <c r="C396" s="137"/>
      <c r="D396" s="137"/>
      <c r="E396" s="137"/>
      <c r="F396" s="137"/>
      <c r="G396" s="102"/>
      <c r="H396" s="137"/>
      <c r="I396" s="137"/>
      <c r="J396" s="137"/>
      <c r="K396" s="170"/>
      <c r="L396" s="170"/>
      <c r="M396" s="170"/>
      <c r="N396" s="137"/>
      <c r="O396" s="137"/>
    </row>
    <row r="397" spans="1:15" x14ac:dyDescent="0.35">
      <c r="A397" s="137"/>
      <c r="B397" s="137"/>
      <c r="C397" s="137"/>
      <c r="D397" s="137"/>
      <c r="E397" s="137"/>
      <c r="F397" s="137"/>
      <c r="G397" s="102"/>
      <c r="H397" s="137"/>
      <c r="I397" s="137"/>
      <c r="J397" s="137"/>
      <c r="K397" s="170"/>
      <c r="L397" s="170"/>
      <c r="M397" s="170"/>
      <c r="N397" s="137"/>
      <c r="O397" s="137"/>
    </row>
    <row r="398" spans="1:15" x14ac:dyDescent="0.35">
      <c r="A398" s="137"/>
      <c r="B398" s="137"/>
      <c r="C398" s="137"/>
      <c r="D398" s="137"/>
      <c r="E398" s="137"/>
      <c r="F398" s="137"/>
      <c r="G398" s="102"/>
      <c r="H398" s="137"/>
      <c r="I398" s="137"/>
      <c r="J398" s="137"/>
      <c r="K398" s="170"/>
      <c r="L398" s="170"/>
      <c r="M398" s="170"/>
      <c r="N398" s="137"/>
      <c r="O398" s="137"/>
    </row>
    <row r="399" spans="1:15" x14ac:dyDescent="0.35">
      <c r="A399" s="137"/>
      <c r="B399" s="137"/>
      <c r="C399" s="137"/>
      <c r="D399" s="137"/>
      <c r="E399" s="137"/>
      <c r="F399" s="137"/>
      <c r="G399" s="102"/>
      <c r="H399" s="137"/>
      <c r="I399" s="137"/>
      <c r="J399" s="137"/>
      <c r="K399" s="170"/>
      <c r="L399" s="170"/>
      <c r="M399" s="170"/>
      <c r="N399" s="137"/>
      <c r="O399" s="137"/>
    </row>
    <row r="400" spans="1:15" x14ac:dyDescent="0.35">
      <c r="A400" s="137"/>
      <c r="B400" s="137"/>
      <c r="C400" s="137"/>
      <c r="D400" s="137"/>
      <c r="E400" s="137"/>
      <c r="F400" s="137"/>
      <c r="G400" s="102"/>
      <c r="H400" s="137"/>
      <c r="I400" s="137"/>
      <c r="J400" s="137"/>
      <c r="K400" s="170"/>
      <c r="L400" s="170"/>
      <c r="M400" s="170"/>
      <c r="N400" s="137"/>
      <c r="O400" s="137"/>
    </row>
    <row r="401" spans="1:15" x14ac:dyDescent="0.35">
      <c r="A401" s="137"/>
      <c r="B401" s="137"/>
      <c r="C401" s="137"/>
      <c r="D401" s="137"/>
      <c r="E401" s="137"/>
      <c r="F401" s="137"/>
      <c r="G401" s="102"/>
      <c r="H401" s="137"/>
      <c r="I401" s="137"/>
      <c r="J401" s="137"/>
      <c r="K401" s="170"/>
      <c r="L401" s="170"/>
      <c r="M401" s="170"/>
      <c r="N401" s="137"/>
      <c r="O401" s="137"/>
    </row>
    <row r="402" spans="1:15" x14ac:dyDescent="0.35">
      <c r="A402" s="137"/>
      <c r="B402" s="137"/>
      <c r="C402" s="137"/>
      <c r="D402" s="137"/>
      <c r="E402" s="137"/>
      <c r="F402" s="137"/>
      <c r="G402" s="102"/>
      <c r="H402" s="137"/>
      <c r="I402" s="137"/>
      <c r="J402" s="137"/>
      <c r="K402" s="170"/>
      <c r="L402" s="170"/>
      <c r="M402" s="170"/>
      <c r="N402" s="137"/>
      <c r="O402" s="137"/>
    </row>
    <row r="403" spans="1:15" x14ac:dyDescent="0.35">
      <c r="A403" s="137"/>
      <c r="B403" s="137"/>
      <c r="C403" s="137"/>
      <c r="D403" s="137"/>
      <c r="E403" s="137"/>
      <c r="F403" s="137"/>
      <c r="G403" s="102"/>
      <c r="H403" s="137"/>
      <c r="I403" s="137"/>
      <c r="J403" s="137"/>
      <c r="K403" s="170"/>
      <c r="L403" s="170"/>
      <c r="M403" s="170"/>
      <c r="N403" s="137"/>
      <c r="O403" s="137"/>
    </row>
    <row r="404" spans="1:15" x14ac:dyDescent="0.35">
      <c r="A404" s="137"/>
      <c r="B404" s="137"/>
      <c r="C404" s="137"/>
      <c r="D404" s="137"/>
      <c r="E404" s="137"/>
      <c r="F404" s="137"/>
      <c r="G404" s="102"/>
      <c r="H404" s="137"/>
      <c r="I404" s="137"/>
      <c r="J404" s="137"/>
      <c r="K404" s="170"/>
      <c r="L404" s="170"/>
      <c r="M404" s="170"/>
      <c r="N404" s="137"/>
      <c r="O404" s="137"/>
    </row>
    <row r="405" spans="1:15" x14ac:dyDescent="0.35">
      <c r="A405" s="137"/>
      <c r="B405" s="137"/>
      <c r="C405" s="137"/>
      <c r="D405" s="137"/>
      <c r="E405" s="137"/>
      <c r="F405" s="137"/>
      <c r="G405" s="102"/>
      <c r="H405" s="137"/>
      <c r="I405" s="137"/>
      <c r="J405" s="137"/>
      <c r="K405" s="170"/>
      <c r="L405" s="170"/>
      <c r="M405" s="170"/>
      <c r="N405" s="137"/>
      <c r="O405" s="137"/>
    </row>
    <row r="406" spans="1:15" x14ac:dyDescent="0.35">
      <c r="A406" s="137"/>
      <c r="B406" s="137"/>
      <c r="C406" s="137"/>
      <c r="D406" s="137"/>
      <c r="E406" s="137"/>
      <c r="F406" s="137"/>
      <c r="G406" s="102"/>
      <c r="H406" s="137"/>
      <c r="I406" s="137"/>
      <c r="J406" s="137"/>
      <c r="K406" s="170"/>
      <c r="L406" s="170"/>
      <c r="M406" s="170"/>
      <c r="N406" s="137"/>
      <c r="O406" s="137"/>
    </row>
    <row r="407" spans="1:15" x14ac:dyDescent="0.35">
      <c r="A407" s="137"/>
      <c r="B407" s="137"/>
      <c r="C407" s="137"/>
      <c r="D407" s="137"/>
      <c r="E407" s="137"/>
      <c r="F407" s="137"/>
      <c r="G407" s="102"/>
      <c r="H407" s="137"/>
      <c r="I407" s="137"/>
      <c r="J407" s="137"/>
      <c r="K407" s="170"/>
      <c r="L407" s="170"/>
      <c r="M407" s="170"/>
      <c r="N407" s="137"/>
      <c r="O407" s="137"/>
    </row>
    <row r="408" spans="1:15" x14ac:dyDescent="0.35">
      <c r="A408" s="137"/>
      <c r="B408" s="137"/>
      <c r="C408" s="137"/>
      <c r="D408" s="137"/>
      <c r="E408" s="137"/>
      <c r="F408" s="137"/>
      <c r="G408" s="102"/>
      <c r="H408" s="137"/>
      <c r="I408" s="137"/>
      <c r="J408" s="137"/>
      <c r="K408" s="170"/>
      <c r="L408" s="170"/>
      <c r="M408" s="170"/>
      <c r="N408" s="137"/>
      <c r="O408" s="137"/>
    </row>
    <row r="409" spans="1:15" x14ac:dyDescent="0.35">
      <c r="A409" s="137"/>
      <c r="B409" s="137"/>
      <c r="C409" s="137"/>
      <c r="D409" s="137"/>
      <c r="E409" s="137"/>
      <c r="F409" s="137"/>
      <c r="G409" s="102"/>
      <c r="H409" s="137"/>
      <c r="I409" s="137"/>
      <c r="J409" s="137"/>
      <c r="K409" s="170"/>
      <c r="L409" s="170"/>
      <c r="M409" s="170"/>
      <c r="N409" s="137"/>
      <c r="O409" s="137"/>
    </row>
    <row r="410" spans="1:15" x14ac:dyDescent="0.35">
      <c r="A410" s="137"/>
      <c r="B410" s="137"/>
      <c r="C410" s="137"/>
      <c r="D410" s="137"/>
      <c r="E410" s="137"/>
      <c r="F410" s="137"/>
      <c r="G410" s="102"/>
      <c r="H410" s="137"/>
      <c r="I410" s="137"/>
      <c r="J410" s="137"/>
      <c r="K410" s="170"/>
      <c r="L410" s="170"/>
      <c r="M410" s="170"/>
      <c r="N410" s="137"/>
      <c r="O410" s="137"/>
    </row>
    <row r="411" spans="1:15" x14ac:dyDescent="0.35">
      <c r="A411" s="137"/>
      <c r="B411" s="137"/>
      <c r="C411" s="137"/>
      <c r="D411" s="137"/>
      <c r="E411" s="137"/>
      <c r="F411" s="137"/>
      <c r="G411" s="102"/>
      <c r="H411" s="137"/>
      <c r="I411" s="137"/>
      <c r="J411" s="137"/>
      <c r="K411" s="170"/>
      <c r="L411" s="170"/>
      <c r="M411" s="170"/>
      <c r="N411" s="137"/>
      <c r="O411" s="137"/>
    </row>
    <row r="412" spans="1:15" x14ac:dyDescent="0.35">
      <c r="A412" s="137"/>
      <c r="B412" s="137"/>
      <c r="C412" s="137"/>
      <c r="D412" s="137"/>
      <c r="E412" s="137"/>
      <c r="F412" s="137"/>
      <c r="G412" s="102"/>
      <c r="H412" s="137"/>
      <c r="I412" s="137"/>
      <c r="J412" s="137"/>
      <c r="K412" s="170"/>
      <c r="L412" s="170"/>
      <c r="M412" s="170"/>
      <c r="N412" s="137"/>
      <c r="O412" s="137"/>
    </row>
    <row r="413" spans="1:15" x14ac:dyDescent="0.35">
      <c r="A413" s="137"/>
      <c r="B413" s="137"/>
      <c r="C413" s="137"/>
      <c r="D413" s="137"/>
      <c r="E413" s="137"/>
      <c r="F413" s="137"/>
      <c r="G413" s="102"/>
      <c r="H413" s="137"/>
      <c r="I413" s="137"/>
      <c r="J413" s="137"/>
      <c r="K413" s="170"/>
      <c r="L413" s="170"/>
      <c r="M413" s="170"/>
    </row>
    <row r="414" spans="1:15" x14ac:dyDescent="0.35">
      <c r="A414" s="137"/>
      <c r="B414" s="137"/>
      <c r="C414" s="137"/>
      <c r="D414" s="137"/>
      <c r="E414" s="137"/>
      <c r="F414" s="137"/>
      <c r="G414" s="102"/>
      <c r="H414" s="137"/>
      <c r="I414" s="137"/>
      <c r="J414" s="137"/>
      <c r="K414" s="170"/>
      <c r="L414" s="170"/>
      <c r="M414" s="170"/>
      <c r="N414" s="31"/>
      <c r="O414" s="31"/>
    </row>
    <row r="415" spans="1:15" x14ac:dyDescent="0.35">
      <c r="A415" s="137"/>
      <c r="B415" s="137"/>
      <c r="C415" s="137"/>
      <c r="D415" s="137"/>
      <c r="E415" s="137"/>
      <c r="F415" s="137"/>
      <c r="G415" s="102"/>
      <c r="H415" s="137"/>
      <c r="I415" s="137"/>
      <c r="J415" s="137"/>
      <c r="K415" s="170"/>
      <c r="L415" s="170"/>
      <c r="M415" s="170"/>
      <c r="N415" s="137"/>
      <c r="O415" s="137"/>
    </row>
    <row r="416" spans="1:15" x14ac:dyDescent="0.35">
      <c r="A416" s="137"/>
      <c r="B416" s="137"/>
      <c r="C416" s="137"/>
      <c r="D416" s="137"/>
      <c r="E416" s="137"/>
      <c r="F416" s="137"/>
      <c r="G416" s="102"/>
      <c r="H416" s="137"/>
      <c r="I416" s="137"/>
      <c r="J416" s="137"/>
      <c r="K416" s="170"/>
      <c r="L416" s="170"/>
      <c r="M416" s="170"/>
      <c r="N416" s="137"/>
      <c r="O416" s="137"/>
    </row>
    <row r="417" spans="1:15" x14ac:dyDescent="0.35">
      <c r="A417" s="137"/>
      <c r="B417" s="137"/>
      <c r="C417" s="137"/>
      <c r="D417" s="137"/>
      <c r="E417" s="137"/>
      <c r="F417" s="137"/>
      <c r="G417" s="102"/>
      <c r="H417" s="137"/>
      <c r="I417" s="137"/>
      <c r="J417" s="137"/>
      <c r="K417" s="170"/>
      <c r="L417" s="170"/>
      <c r="M417" s="170"/>
      <c r="N417" s="137"/>
      <c r="O417" s="137"/>
    </row>
    <row r="418" spans="1:15" x14ac:dyDescent="0.35">
      <c r="A418" s="137"/>
      <c r="B418" s="137"/>
      <c r="C418" s="137"/>
      <c r="D418" s="137"/>
      <c r="E418" s="137"/>
      <c r="F418" s="137"/>
      <c r="G418" s="102"/>
      <c r="H418" s="137"/>
      <c r="I418" s="137"/>
      <c r="J418" s="137"/>
      <c r="K418" s="170"/>
      <c r="L418" s="170"/>
      <c r="M418" s="170"/>
      <c r="N418" s="137"/>
      <c r="O418" s="137"/>
    </row>
    <row r="419" spans="1:15" x14ac:dyDescent="0.35">
      <c r="A419" s="137"/>
      <c r="B419" s="137"/>
      <c r="C419" s="137"/>
      <c r="D419" s="137"/>
      <c r="E419" s="137"/>
      <c r="F419" s="137"/>
      <c r="G419" s="102"/>
      <c r="H419" s="137"/>
      <c r="I419" s="137"/>
      <c r="J419" s="137"/>
      <c r="K419" s="170"/>
      <c r="L419" s="170"/>
      <c r="M419" s="170"/>
      <c r="N419" s="137"/>
      <c r="O419" s="137"/>
    </row>
    <row r="420" spans="1:15" x14ac:dyDescent="0.35">
      <c r="A420" s="137"/>
      <c r="B420" s="137"/>
      <c r="C420" s="137"/>
      <c r="D420" s="137"/>
      <c r="E420" s="137"/>
      <c r="F420" s="137"/>
      <c r="G420" s="102"/>
      <c r="H420" s="137"/>
      <c r="I420" s="137"/>
      <c r="J420" s="137"/>
      <c r="K420" s="170"/>
      <c r="L420" s="170"/>
      <c r="M420" s="170"/>
      <c r="N420" s="137"/>
      <c r="O420" s="137"/>
    </row>
    <row r="421" spans="1:15" x14ac:dyDescent="0.35">
      <c r="A421" s="137"/>
      <c r="B421" s="137"/>
      <c r="C421" s="137"/>
      <c r="D421" s="137"/>
      <c r="E421" s="137"/>
      <c r="F421" s="137"/>
      <c r="G421" s="102"/>
      <c r="H421" s="137"/>
      <c r="I421" s="137"/>
      <c r="J421" s="137"/>
      <c r="K421" s="170"/>
      <c r="L421" s="170"/>
      <c r="M421" s="170"/>
      <c r="N421" s="137"/>
      <c r="O421" s="137"/>
    </row>
    <row r="422" spans="1:15" x14ac:dyDescent="0.35">
      <c r="A422" s="137"/>
      <c r="B422" s="137"/>
      <c r="C422" s="137"/>
      <c r="D422" s="137"/>
      <c r="E422" s="137"/>
      <c r="F422" s="137"/>
      <c r="G422" s="102"/>
      <c r="H422" s="137"/>
      <c r="I422" s="137"/>
      <c r="J422" s="137"/>
      <c r="K422" s="170"/>
      <c r="L422" s="170"/>
      <c r="M422" s="170"/>
      <c r="N422" s="137"/>
      <c r="O422" s="137"/>
    </row>
    <row r="423" spans="1:15" x14ac:dyDescent="0.35">
      <c r="A423" s="137"/>
      <c r="B423" s="137"/>
      <c r="C423" s="137"/>
      <c r="D423" s="137"/>
      <c r="E423" s="137"/>
      <c r="F423" s="137"/>
      <c r="G423" s="102"/>
      <c r="H423" s="137"/>
      <c r="I423" s="137"/>
      <c r="J423" s="137"/>
      <c r="K423" s="170"/>
      <c r="L423" s="170"/>
      <c r="M423" s="170"/>
    </row>
    <row r="424" spans="1:15" x14ac:dyDescent="0.35">
      <c r="A424" s="137"/>
      <c r="B424" s="137"/>
      <c r="C424" s="137"/>
      <c r="D424" s="137"/>
      <c r="E424" s="137"/>
      <c r="F424" s="137"/>
      <c r="G424" s="102"/>
      <c r="H424" s="137"/>
      <c r="I424" s="137"/>
      <c r="J424" s="137"/>
      <c r="K424" s="170"/>
      <c r="L424" s="170"/>
      <c r="M424" s="170"/>
      <c r="N424" s="137"/>
      <c r="O424" s="137"/>
    </row>
    <row r="425" spans="1:15" x14ac:dyDescent="0.35">
      <c r="A425" s="137"/>
      <c r="B425" s="137"/>
      <c r="C425" s="137"/>
      <c r="D425" s="137"/>
      <c r="E425" s="137"/>
      <c r="F425" s="137"/>
      <c r="G425" s="102"/>
      <c r="H425" s="137"/>
      <c r="I425" s="137"/>
      <c r="J425" s="137"/>
      <c r="K425" s="170"/>
      <c r="L425" s="170"/>
      <c r="M425" s="170"/>
    </row>
    <row r="426" spans="1:15" x14ac:dyDescent="0.35">
      <c r="A426" s="137"/>
      <c r="B426" s="137"/>
      <c r="C426" s="137"/>
      <c r="D426" s="137"/>
      <c r="E426" s="137"/>
      <c r="F426" s="137"/>
      <c r="G426" s="102"/>
      <c r="H426" s="137"/>
      <c r="I426" s="137"/>
      <c r="J426" s="137"/>
      <c r="K426" s="170"/>
      <c r="L426" s="170"/>
      <c r="M426" s="170"/>
      <c r="N426" s="137"/>
      <c r="O426" s="137"/>
    </row>
    <row r="427" spans="1:15" x14ac:dyDescent="0.35">
      <c r="A427" s="137"/>
      <c r="B427" s="137"/>
      <c r="C427" s="137"/>
      <c r="D427" s="137"/>
      <c r="E427" s="137"/>
      <c r="F427" s="137"/>
      <c r="G427" s="102"/>
      <c r="H427" s="137"/>
      <c r="I427" s="137"/>
      <c r="J427" s="137"/>
      <c r="K427" s="170"/>
      <c r="L427" s="170"/>
      <c r="M427" s="170"/>
    </row>
    <row r="428" spans="1:15" x14ac:dyDescent="0.35">
      <c r="A428" s="137"/>
      <c r="B428" s="137"/>
      <c r="C428" s="137"/>
      <c r="D428" s="137"/>
      <c r="E428" s="137"/>
      <c r="F428" s="137"/>
      <c r="G428" s="102"/>
      <c r="H428" s="137"/>
      <c r="I428" s="137"/>
      <c r="J428" s="137"/>
      <c r="K428" s="170"/>
      <c r="L428" s="170"/>
      <c r="M428" s="170"/>
      <c r="N428" s="137"/>
      <c r="O428" s="137"/>
    </row>
    <row r="429" spans="1:15" x14ac:dyDescent="0.35">
      <c r="A429" s="137"/>
      <c r="B429" s="137"/>
      <c r="C429" s="137"/>
      <c r="D429" s="137"/>
      <c r="E429" s="137"/>
      <c r="F429" s="137"/>
      <c r="G429" s="102"/>
      <c r="H429" s="137"/>
      <c r="I429" s="137"/>
      <c r="J429" s="137"/>
      <c r="K429" s="170"/>
      <c r="L429" s="170"/>
      <c r="M429" s="170"/>
      <c r="N429" s="31"/>
      <c r="O429" s="31"/>
    </row>
    <row r="430" spans="1:15" x14ac:dyDescent="0.35">
      <c r="A430" s="137"/>
      <c r="B430" s="137"/>
      <c r="C430" s="137"/>
      <c r="D430" s="137"/>
      <c r="E430" s="137"/>
      <c r="F430" s="137"/>
      <c r="G430" s="102"/>
      <c r="H430" s="137"/>
      <c r="I430" s="137"/>
      <c r="J430" s="137"/>
      <c r="K430" s="170"/>
      <c r="L430" s="170"/>
      <c r="M430" s="170"/>
    </row>
    <row r="431" spans="1:15" x14ac:dyDescent="0.35">
      <c r="A431" s="137"/>
      <c r="B431" s="137"/>
      <c r="C431" s="137"/>
      <c r="D431" s="137"/>
      <c r="E431" s="137"/>
      <c r="F431" s="137"/>
      <c r="G431" s="102"/>
      <c r="H431" s="137"/>
      <c r="I431" s="137"/>
      <c r="J431" s="137"/>
      <c r="K431" s="170"/>
      <c r="L431" s="170"/>
      <c r="M431" s="170"/>
      <c r="N431" s="137"/>
      <c r="O431" s="137"/>
    </row>
    <row r="432" spans="1:15" x14ac:dyDescent="0.35">
      <c r="A432" s="137"/>
      <c r="B432" s="137"/>
      <c r="C432" s="137"/>
      <c r="D432" s="137"/>
      <c r="E432" s="137"/>
      <c r="F432" s="137"/>
      <c r="G432" s="102"/>
      <c r="H432" s="137"/>
      <c r="I432" s="137"/>
      <c r="J432" s="137"/>
      <c r="K432" s="170"/>
      <c r="L432" s="170"/>
      <c r="M432" s="170"/>
      <c r="N432" s="137"/>
      <c r="O432" s="137"/>
    </row>
    <row r="433" spans="1:15" x14ac:dyDescent="0.35">
      <c r="A433" s="137"/>
      <c r="B433" s="137"/>
      <c r="C433" s="137"/>
      <c r="D433" s="137"/>
      <c r="E433" s="137"/>
      <c r="F433" s="137"/>
      <c r="G433" s="102"/>
      <c r="H433" s="137"/>
      <c r="I433" s="137"/>
      <c r="J433" s="137"/>
      <c r="K433" s="170"/>
      <c r="L433" s="170"/>
      <c r="M433" s="170"/>
      <c r="N433" s="137"/>
      <c r="O433" s="137"/>
    </row>
    <row r="434" spans="1:15" x14ac:dyDescent="0.35">
      <c r="A434" s="137"/>
      <c r="B434" s="137"/>
      <c r="C434" s="137"/>
      <c r="D434" s="137"/>
      <c r="E434" s="137"/>
      <c r="F434" s="137"/>
      <c r="G434" s="102"/>
      <c r="H434" s="137"/>
      <c r="I434" s="137"/>
      <c r="J434" s="137"/>
      <c r="K434" s="170"/>
      <c r="L434" s="170"/>
      <c r="M434" s="170"/>
      <c r="N434" s="137"/>
      <c r="O434" s="137"/>
    </row>
    <row r="435" spans="1:15" x14ac:dyDescent="0.35">
      <c r="A435" s="137"/>
      <c r="B435" s="137"/>
      <c r="C435" s="137"/>
      <c r="D435" s="137"/>
      <c r="E435" s="137"/>
      <c r="F435" s="137"/>
      <c r="G435" s="102"/>
      <c r="H435" s="137"/>
      <c r="I435" s="137"/>
      <c r="J435" s="137"/>
      <c r="K435" s="170"/>
      <c r="L435" s="170"/>
      <c r="M435" s="170"/>
      <c r="N435" s="137"/>
      <c r="O435" s="137"/>
    </row>
    <row r="436" spans="1:15" x14ac:dyDescent="0.35">
      <c r="A436" s="137"/>
      <c r="B436" s="137"/>
      <c r="C436" s="137"/>
      <c r="D436" s="137"/>
      <c r="E436" s="137"/>
      <c r="F436" s="137"/>
      <c r="G436" s="102"/>
      <c r="H436" s="137"/>
      <c r="I436" s="137"/>
      <c r="J436" s="137"/>
      <c r="K436" s="170"/>
      <c r="L436" s="170"/>
      <c r="M436" s="170"/>
      <c r="N436" s="137"/>
      <c r="O436" s="137"/>
    </row>
    <row r="437" spans="1:15" x14ac:dyDescent="0.35">
      <c r="A437" s="137"/>
      <c r="B437" s="137"/>
      <c r="C437" s="137"/>
      <c r="D437" s="137"/>
      <c r="E437" s="137"/>
      <c r="F437" s="137"/>
      <c r="G437" s="102"/>
      <c r="H437" s="137"/>
      <c r="I437" s="137"/>
      <c r="J437" s="137"/>
      <c r="K437" s="170"/>
      <c r="L437" s="170"/>
      <c r="M437" s="170"/>
      <c r="N437" s="137"/>
      <c r="O437" s="137"/>
    </row>
    <row r="438" spans="1:15" x14ac:dyDescent="0.35">
      <c r="A438" s="137"/>
      <c r="B438" s="137"/>
      <c r="C438" s="137"/>
      <c r="D438" s="137"/>
      <c r="E438" s="137"/>
      <c r="F438" s="137"/>
      <c r="G438" s="102"/>
      <c r="H438" s="137"/>
      <c r="I438" s="137"/>
      <c r="J438" s="137"/>
      <c r="K438" s="170"/>
      <c r="L438" s="170"/>
      <c r="M438" s="170"/>
      <c r="N438" s="137"/>
      <c r="O438" s="137"/>
    </row>
    <row r="439" spans="1:15" x14ac:dyDescent="0.35">
      <c r="A439" s="137"/>
      <c r="B439" s="137"/>
      <c r="C439" s="137"/>
      <c r="D439" s="137"/>
      <c r="E439" s="137"/>
      <c r="F439" s="137"/>
      <c r="G439" s="102"/>
      <c r="H439" s="137"/>
      <c r="I439" s="137"/>
      <c r="J439" s="137"/>
      <c r="K439" s="170"/>
      <c r="L439" s="170"/>
      <c r="M439" s="170"/>
      <c r="N439" s="137"/>
      <c r="O439" s="137"/>
    </row>
    <row r="440" spans="1:15" x14ac:dyDescent="0.35">
      <c r="A440" s="137"/>
      <c r="B440" s="137"/>
      <c r="C440" s="137"/>
      <c r="D440" s="137"/>
      <c r="E440" s="137"/>
      <c r="F440" s="137"/>
      <c r="G440" s="102"/>
      <c r="H440" s="137"/>
      <c r="I440" s="137"/>
      <c r="J440" s="137"/>
      <c r="K440" s="170"/>
      <c r="L440" s="170"/>
      <c r="M440" s="170"/>
      <c r="N440" s="137"/>
      <c r="O440" s="137"/>
    </row>
    <row r="441" spans="1:15" x14ac:dyDescent="0.35">
      <c r="A441" s="137"/>
      <c r="B441" s="137"/>
      <c r="C441" s="137"/>
      <c r="D441" s="137"/>
      <c r="E441" s="137"/>
      <c r="F441" s="137"/>
      <c r="G441" s="102"/>
      <c r="H441" s="137"/>
      <c r="I441" s="137"/>
      <c r="J441" s="137"/>
      <c r="K441" s="170"/>
      <c r="L441" s="170"/>
      <c r="M441" s="170"/>
      <c r="N441" s="137"/>
      <c r="O441" s="137"/>
    </row>
    <row r="442" spans="1:15" x14ac:dyDescent="0.35">
      <c r="A442" s="137"/>
      <c r="B442" s="137"/>
      <c r="C442" s="137"/>
      <c r="D442" s="137"/>
      <c r="E442" s="137"/>
      <c r="F442" s="137"/>
      <c r="G442" s="102"/>
      <c r="H442" s="137"/>
      <c r="I442" s="137"/>
      <c r="J442" s="137"/>
      <c r="K442" s="170"/>
      <c r="L442" s="170"/>
      <c r="M442" s="170"/>
      <c r="N442" s="137"/>
      <c r="O442" s="137"/>
    </row>
    <row r="443" spans="1:15" x14ac:dyDescent="0.35">
      <c r="A443" s="137"/>
      <c r="B443" s="137"/>
      <c r="C443" s="137"/>
      <c r="D443" s="137"/>
      <c r="E443" s="137"/>
      <c r="F443" s="137"/>
      <c r="G443" s="102"/>
      <c r="H443" s="137"/>
      <c r="I443" s="137"/>
      <c r="J443" s="137"/>
      <c r="K443" s="170"/>
      <c r="L443" s="170"/>
      <c r="M443" s="170"/>
      <c r="N443" s="137"/>
      <c r="O443" s="137"/>
    </row>
    <row r="444" spans="1:15" x14ac:dyDescent="0.35">
      <c r="A444" s="137"/>
      <c r="B444" s="137"/>
      <c r="C444" s="137"/>
      <c r="D444" s="137"/>
      <c r="E444" s="137"/>
      <c r="F444" s="137"/>
      <c r="G444" s="102"/>
      <c r="H444" s="137"/>
      <c r="I444" s="137"/>
      <c r="J444" s="137"/>
      <c r="K444" s="170"/>
      <c r="L444" s="170"/>
      <c r="M444" s="170"/>
      <c r="N444" s="137"/>
      <c r="O444" s="137"/>
    </row>
    <row r="445" spans="1:15" x14ac:dyDescent="0.35">
      <c r="A445" s="137"/>
      <c r="B445" s="137"/>
      <c r="C445" s="137"/>
      <c r="D445" s="137"/>
      <c r="E445" s="137"/>
      <c r="F445" s="137"/>
      <c r="G445" s="102"/>
      <c r="H445" s="137"/>
      <c r="I445" s="137"/>
      <c r="J445" s="137"/>
      <c r="K445" s="170"/>
      <c r="L445" s="170"/>
      <c r="M445" s="170"/>
      <c r="N445" s="137"/>
      <c r="O445" s="137"/>
    </row>
    <row r="446" spans="1:15" x14ac:dyDescent="0.35">
      <c r="A446" s="137"/>
      <c r="B446" s="137"/>
      <c r="C446" s="137"/>
      <c r="D446" s="137"/>
      <c r="E446" s="137"/>
      <c r="F446" s="137"/>
      <c r="G446" s="102"/>
      <c r="H446" s="137"/>
      <c r="I446" s="137"/>
      <c r="J446" s="137"/>
      <c r="K446" s="170"/>
      <c r="L446" s="170"/>
      <c r="M446" s="170"/>
      <c r="N446" s="137"/>
      <c r="O446" s="137"/>
    </row>
    <row r="447" spans="1:15" x14ac:dyDescent="0.35">
      <c r="A447" s="137"/>
      <c r="B447" s="137"/>
      <c r="C447" s="137"/>
      <c r="D447" s="137"/>
      <c r="E447" s="137"/>
      <c r="F447" s="137"/>
      <c r="G447" s="102"/>
      <c r="H447" s="137"/>
      <c r="I447" s="137"/>
      <c r="J447" s="137"/>
      <c r="K447" s="170"/>
      <c r="L447" s="170"/>
      <c r="M447" s="170"/>
      <c r="N447" s="137"/>
      <c r="O447" s="137"/>
    </row>
    <row r="448" spans="1:15" x14ac:dyDescent="0.35">
      <c r="A448" s="137"/>
      <c r="B448" s="137"/>
      <c r="C448" s="137"/>
      <c r="D448" s="137"/>
      <c r="E448" s="137"/>
      <c r="F448" s="137"/>
      <c r="G448" s="102"/>
      <c r="H448" s="137"/>
      <c r="I448" s="137"/>
      <c r="J448" s="137"/>
      <c r="K448" s="170"/>
      <c r="L448" s="170"/>
      <c r="M448" s="170"/>
    </row>
    <row r="449" spans="1:15" x14ac:dyDescent="0.35">
      <c r="A449" s="137"/>
      <c r="B449" s="137"/>
      <c r="C449" s="137"/>
      <c r="D449" s="137"/>
      <c r="E449" s="137"/>
      <c r="F449" s="137"/>
      <c r="G449" s="102"/>
      <c r="H449" s="137"/>
      <c r="I449" s="137"/>
      <c r="J449" s="137"/>
      <c r="K449" s="170"/>
      <c r="L449" s="170"/>
      <c r="M449" s="170"/>
      <c r="N449" s="137"/>
      <c r="O449" s="137"/>
    </row>
    <row r="450" spans="1:15" x14ac:dyDescent="0.35">
      <c r="A450" s="137"/>
      <c r="B450" s="137"/>
      <c r="C450" s="137"/>
      <c r="D450" s="137"/>
      <c r="E450" s="137"/>
      <c r="F450" s="137"/>
      <c r="G450" s="102"/>
      <c r="H450" s="137"/>
      <c r="I450" s="137"/>
      <c r="J450" s="137"/>
      <c r="K450" s="170"/>
      <c r="L450" s="170"/>
      <c r="M450" s="170"/>
      <c r="N450" s="137"/>
      <c r="O450" s="137"/>
    </row>
    <row r="451" spans="1:15" x14ac:dyDescent="0.35">
      <c r="A451" s="137"/>
      <c r="B451" s="137"/>
      <c r="C451" s="137"/>
      <c r="D451" s="137"/>
      <c r="E451" s="137"/>
      <c r="F451" s="137"/>
      <c r="G451" s="102"/>
      <c r="H451" s="137"/>
      <c r="I451" s="137"/>
      <c r="J451" s="137"/>
      <c r="K451" s="170"/>
      <c r="L451" s="170"/>
      <c r="M451" s="170"/>
      <c r="N451" s="137"/>
      <c r="O451" s="137"/>
    </row>
    <row r="452" spans="1:15" x14ac:dyDescent="0.35">
      <c r="A452" s="137"/>
      <c r="B452" s="137"/>
      <c r="C452" s="137"/>
      <c r="D452" s="137"/>
      <c r="E452" s="137"/>
      <c r="F452" s="137"/>
      <c r="G452" s="102"/>
      <c r="H452" s="137"/>
      <c r="I452" s="137"/>
      <c r="J452" s="137"/>
      <c r="K452" s="170"/>
      <c r="L452" s="170"/>
      <c r="M452" s="170"/>
      <c r="N452" s="137"/>
      <c r="O452" s="137"/>
    </row>
    <row r="453" spans="1:15" x14ac:dyDescent="0.35">
      <c r="A453" s="137"/>
      <c r="B453" s="137"/>
      <c r="C453" s="137"/>
      <c r="D453" s="137"/>
      <c r="E453" s="137"/>
      <c r="F453" s="137"/>
      <c r="G453" s="102"/>
      <c r="H453" s="137"/>
      <c r="I453" s="137"/>
      <c r="J453" s="137"/>
      <c r="K453" s="170"/>
      <c r="L453" s="170"/>
      <c r="M453" s="170"/>
      <c r="N453" s="137"/>
      <c r="O453" s="137"/>
    </row>
    <row r="454" spans="1:15" x14ac:dyDescent="0.35">
      <c r="A454" s="137"/>
      <c r="B454" s="137"/>
      <c r="C454" s="137"/>
      <c r="D454" s="137"/>
      <c r="E454" s="137"/>
      <c r="F454" s="137"/>
      <c r="G454" s="102"/>
      <c r="H454" s="137"/>
      <c r="I454" s="137"/>
      <c r="J454" s="137"/>
      <c r="K454" s="170"/>
      <c r="L454" s="170"/>
      <c r="M454" s="170"/>
      <c r="N454" s="137"/>
      <c r="O454" s="137"/>
    </row>
    <row r="455" spans="1:15" x14ac:dyDescent="0.35">
      <c r="A455" s="137"/>
      <c r="B455" s="137"/>
      <c r="C455" s="137"/>
      <c r="D455" s="137"/>
      <c r="E455" s="137"/>
      <c r="F455" s="137"/>
      <c r="G455" s="102"/>
      <c r="H455" s="137"/>
      <c r="I455" s="137"/>
      <c r="J455" s="137"/>
      <c r="K455" s="170"/>
      <c r="L455" s="170"/>
      <c r="M455" s="170"/>
      <c r="N455" s="137"/>
      <c r="O455" s="137"/>
    </row>
    <row r="456" spans="1:15" x14ac:dyDescent="0.35">
      <c r="A456" s="137"/>
      <c r="B456" s="137"/>
      <c r="C456" s="137"/>
      <c r="D456" s="137"/>
      <c r="E456" s="137"/>
      <c r="F456" s="137"/>
      <c r="G456" s="102"/>
      <c r="H456" s="137"/>
      <c r="I456" s="137"/>
      <c r="J456" s="137"/>
      <c r="K456" s="170"/>
      <c r="L456" s="170"/>
      <c r="M456" s="170"/>
      <c r="N456" s="137"/>
      <c r="O456" s="137"/>
    </row>
    <row r="457" spans="1:15" x14ac:dyDescent="0.35">
      <c r="A457" s="137"/>
      <c r="B457" s="137"/>
      <c r="C457" s="137"/>
      <c r="D457" s="137"/>
      <c r="E457" s="137"/>
      <c r="F457" s="137"/>
      <c r="G457" s="102"/>
      <c r="H457" s="137"/>
      <c r="I457" s="137"/>
      <c r="J457" s="137"/>
      <c r="K457" s="170"/>
      <c r="L457" s="170"/>
      <c r="M457" s="170"/>
      <c r="N457" s="137"/>
      <c r="O457" s="137"/>
    </row>
    <row r="458" spans="1:15" x14ac:dyDescent="0.35">
      <c r="A458" s="137"/>
      <c r="B458" s="137"/>
      <c r="C458" s="137"/>
      <c r="D458" s="137"/>
      <c r="E458" s="137"/>
      <c r="F458" s="137"/>
      <c r="G458" s="102"/>
      <c r="H458" s="137"/>
      <c r="I458" s="137"/>
      <c r="J458" s="137"/>
      <c r="K458" s="170"/>
      <c r="L458" s="170"/>
      <c r="M458" s="170"/>
      <c r="N458" s="137"/>
      <c r="O458" s="137"/>
    </row>
    <row r="459" spans="1:15" x14ac:dyDescent="0.35">
      <c r="A459" s="137"/>
      <c r="B459" s="137"/>
      <c r="C459" s="137"/>
      <c r="D459" s="137"/>
      <c r="E459" s="137"/>
      <c r="F459" s="137"/>
      <c r="G459" s="102"/>
      <c r="H459" s="137"/>
      <c r="I459" s="137"/>
      <c r="J459" s="137"/>
      <c r="K459" s="170"/>
      <c r="L459" s="170"/>
      <c r="M459" s="170"/>
      <c r="N459" s="137"/>
      <c r="O459" s="137"/>
    </row>
    <row r="460" spans="1:15" x14ac:dyDescent="0.35">
      <c r="A460" s="137"/>
      <c r="B460" s="137"/>
      <c r="C460" s="137"/>
      <c r="D460" s="137"/>
      <c r="E460" s="137"/>
      <c r="F460" s="137"/>
      <c r="G460" s="102"/>
      <c r="H460" s="137"/>
      <c r="I460" s="137"/>
      <c r="J460" s="137"/>
      <c r="K460" s="170"/>
      <c r="L460" s="170"/>
      <c r="M460" s="170"/>
      <c r="N460" s="137"/>
      <c r="O460" s="137"/>
    </row>
    <row r="461" spans="1:15" x14ac:dyDescent="0.35">
      <c r="A461" s="137"/>
      <c r="B461" s="137"/>
      <c r="C461" s="137"/>
      <c r="D461" s="137"/>
      <c r="E461" s="137"/>
      <c r="F461" s="137"/>
      <c r="G461" s="102"/>
      <c r="H461" s="137"/>
      <c r="I461" s="137"/>
      <c r="J461" s="137"/>
      <c r="K461" s="170"/>
      <c r="L461" s="170"/>
      <c r="M461" s="170"/>
      <c r="N461" s="137"/>
      <c r="O461" s="137"/>
    </row>
    <row r="462" spans="1:15" x14ac:dyDescent="0.35">
      <c r="A462" s="137"/>
      <c r="B462" s="137"/>
      <c r="C462" s="137"/>
      <c r="D462" s="137"/>
      <c r="E462" s="137"/>
      <c r="F462" s="137"/>
      <c r="G462" s="102"/>
      <c r="H462" s="137"/>
      <c r="I462" s="137"/>
      <c r="J462" s="137"/>
      <c r="K462" s="170"/>
      <c r="L462" s="170"/>
      <c r="M462" s="170"/>
    </row>
    <row r="463" spans="1:15" x14ac:dyDescent="0.35">
      <c r="A463" s="137"/>
      <c r="B463" s="137"/>
      <c r="C463" s="137"/>
      <c r="D463" s="137"/>
      <c r="E463" s="137"/>
      <c r="F463" s="137"/>
      <c r="G463" s="102"/>
      <c r="H463" s="137"/>
      <c r="I463" s="137"/>
      <c r="J463" s="137"/>
      <c r="K463" s="170"/>
      <c r="L463" s="170"/>
      <c r="M463" s="170"/>
      <c r="N463" s="137"/>
      <c r="O463" s="137"/>
    </row>
    <row r="464" spans="1:15" x14ac:dyDescent="0.35">
      <c r="A464" s="137"/>
      <c r="B464" s="137"/>
      <c r="C464" s="137"/>
      <c r="D464" s="137"/>
      <c r="E464" s="137"/>
      <c r="F464" s="137"/>
      <c r="G464" s="102"/>
      <c r="H464" s="137"/>
      <c r="I464" s="137"/>
      <c r="J464" s="137"/>
      <c r="K464" s="170"/>
      <c r="L464" s="170"/>
      <c r="M464" s="170"/>
      <c r="N464" s="31"/>
      <c r="O464" s="31"/>
    </row>
    <row r="465" spans="1:15" x14ac:dyDescent="0.35">
      <c r="A465" s="137"/>
      <c r="B465" s="137"/>
      <c r="C465" s="137"/>
      <c r="D465" s="137"/>
      <c r="E465" s="137"/>
      <c r="F465" s="137"/>
      <c r="G465" s="102"/>
      <c r="H465" s="137"/>
      <c r="I465" s="137"/>
      <c r="J465" s="137"/>
      <c r="K465" s="170"/>
      <c r="L465" s="170"/>
      <c r="M465" s="170"/>
      <c r="N465" s="137"/>
      <c r="O465" s="137"/>
    </row>
    <row r="466" spans="1:15" x14ac:dyDescent="0.35">
      <c r="A466" s="137"/>
      <c r="B466" s="137"/>
      <c r="C466" s="137"/>
      <c r="D466" s="137"/>
      <c r="E466" s="137"/>
      <c r="F466" s="137"/>
      <c r="G466" s="102"/>
      <c r="H466" s="137"/>
      <c r="I466" s="137"/>
      <c r="J466" s="137"/>
      <c r="K466" s="170"/>
      <c r="L466" s="170"/>
      <c r="M466" s="170"/>
      <c r="N466" s="137"/>
      <c r="O466" s="137"/>
    </row>
    <row r="467" spans="1:15" x14ac:dyDescent="0.35">
      <c r="A467" s="137"/>
      <c r="B467" s="137"/>
      <c r="C467" s="137"/>
      <c r="D467" s="137"/>
      <c r="E467" s="137"/>
      <c r="F467" s="137"/>
      <c r="G467" s="102"/>
      <c r="H467" s="137"/>
      <c r="I467" s="137"/>
      <c r="J467" s="137"/>
      <c r="K467" s="170"/>
      <c r="L467" s="170"/>
      <c r="M467" s="170"/>
      <c r="N467" s="137"/>
      <c r="O467" s="137"/>
    </row>
    <row r="468" spans="1:15" x14ac:dyDescent="0.35">
      <c r="A468" s="137"/>
      <c r="B468" s="137"/>
      <c r="C468" s="137"/>
      <c r="D468" s="137"/>
      <c r="E468" s="137"/>
      <c r="F468" s="137"/>
      <c r="G468" s="102"/>
      <c r="H468" s="137"/>
      <c r="I468" s="137"/>
      <c r="J468" s="137"/>
      <c r="K468" s="170"/>
      <c r="L468" s="170"/>
      <c r="M468" s="170"/>
      <c r="N468" s="137"/>
      <c r="O468" s="137"/>
    </row>
    <row r="469" spans="1:15" x14ac:dyDescent="0.35">
      <c r="A469" s="137"/>
      <c r="B469" s="137"/>
      <c r="C469" s="137"/>
      <c r="D469" s="137"/>
      <c r="E469" s="137"/>
      <c r="F469" s="137"/>
      <c r="G469" s="102"/>
      <c r="H469" s="137"/>
      <c r="I469" s="137"/>
      <c r="J469" s="137"/>
      <c r="K469" s="170"/>
      <c r="L469" s="170"/>
      <c r="M469" s="170"/>
      <c r="N469" s="137"/>
      <c r="O469" s="137"/>
    </row>
    <row r="470" spans="1:15" x14ac:dyDescent="0.35">
      <c r="A470" s="137"/>
      <c r="B470" s="137"/>
      <c r="C470" s="137"/>
      <c r="D470" s="137"/>
      <c r="E470" s="137"/>
      <c r="F470" s="137"/>
      <c r="G470" s="102"/>
      <c r="H470" s="137"/>
      <c r="I470" s="137"/>
      <c r="J470" s="137"/>
      <c r="K470" s="170"/>
      <c r="L470" s="170"/>
      <c r="M470" s="170"/>
      <c r="N470" s="137"/>
      <c r="O470" s="137"/>
    </row>
    <row r="471" spans="1:15" x14ac:dyDescent="0.35">
      <c r="A471" s="137"/>
      <c r="B471" s="137"/>
      <c r="C471" s="137"/>
      <c r="D471" s="137"/>
      <c r="E471" s="137"/>
      <c r="F471" s="137"/>
      <c r="G471" s="102"/>
      <c r="H471" s="137"/>
      <c r="I471" s="137"/>
      <c r="J471" s="137"/>
      <c r="K471" s="170"/>
      <c r="L471" s="170"/>
      <c r="M471" s="170"/>
      <c r="N471" s="137"/>
      <c r="O471" s="137"/>
    </row>
    <row r="472" spans="1:15" x14ac:dyDescent="0.35">
      <c r="A472" s="137"/>
      <c r="B472" s="137"/>
      <c r="C472" s="137"/>
      <c r="D472" s="137"/>
      <c r="E472" s="137"/>
      <c r="F472" s="137"/>
      <c r="G472" s="102"/>
      <c r="H472" s="137"/>
      <c r="I472" s="137"/>
      <c r="J472" s="137"/>
      <c r="K472" s="170"/>
      <c r="L472" s="170"/>
      <c r="M472" s="170"/>
      <c r="N472" s="137"/>
      <c r="O472" s="137"/>
    </row>
    <row r="473" spans="1:15" x14ac:dyDescent="0.35">
      <c r="A473" s="137"/>
      <c r="B473" s="137"/>
      <c r="C473" s="137"/>
      <c r="D473" s="137"/>
      <c r="E473" s="137"/>
      <c r="F473" s="137"/>
      <c r="G473" s="102"/>
      <c r="H473" s="137"/>
      <c r="I473" s="137"/>
      <c r="J473" s="137"/>
      <c r="K473" s="170"/>
      <c r="L473" s="170"/>
      <c r="M473" s="170"/>
      <c r="N473" s="137"/>
      <c r="O473" s="137"/>
    </row>
    <row r="474" spans="1:15" x14ac:dyDescent="0.35">
      <c r="A474" s="137"/>
      <c r="B474" s="137"/>
      <c r="C474" s="137"/>
      <c r="D474" s="137"/>
      <c r="E474" s="137"/>
      <c r="F474" s="137"/>
      <c r="G474" s="102"/>
      <c r="H474" s="137"/>
      <c r="I474" s="137"/>
      <c r="J474" s="137"/>
      <c r="K474" s="170"/>
      <c r="L474" s="170"/>
      <c r="M474" s="170"/>
      <c r="N474" s="137"/>
      <c r="O474" s="137"/>
    </row>
    <row r="475" spans="1:15" x14ac:dyDescent="0.35">
      <c r="A475" s="137"/>
      <c r="B475" s="137"/>
      <c r="C475" s="137"/>
      <c r="D475" s="137"/>
      <c r="E475" s="137"/>
      <c r="F475" s="137"/>
      <c r="G475" s="102"/>
      <c r="H475" s="137"/>
      <c r="I475" s="137"/>
      <c r="J475" s="137"/>
      <c r="K475" s="170"/>
      <c r="L475" s="170"/>
      <c r="M475" s="170"/>
      <c r="N475" s="137"/>
      <c r="O475" s="137"/>
    </row>
    <row r="476" spans="1:15" x14ac:dyDescent="0.35">
      <c r="A476" s="137"/>
      <c r="B476" s="137"/>
      <c r="C476" s="137"/>
      <c r="D476" s="137"/>
      <c r="E476" s="137"/>
      <c r="F476" s="137"/>
      <c r="G476" s="102"/>
      <c r="H476" s="137"/>
      <c r="I476" s="137"/>
      <c r="J476" s="137"/>
      <c r="K476" s="170"/>
      <c r="L476" s="170"/>
      <c r="M476" s="170"/>
      <c r="N476" s="137"/>
      <c r="O476" s="137"/>
    </row>
    <row r="477" spans="1:15" x14ac:dyDescent="0.35">
      <c r="A477" s="137"/>
      <c r="B477" s="137"/>
      <c r="C477" s="137"/>
      <c r="D477" s="137"/>
      <c r="E477" s="137"/>
      <c r="F477" s="137"/>
      <c r="G477" s="102"/>
      <c r="H477" s="137"/>
      <c r="I477" s="137"/>
      <c r="J477" s="137"/>
      <c r="K477" s="170"/>
      <c r="L477" s="170"/>
      <c r="M477" s="170"/>
      <c r="N477" s="137"/>
      <c r="O477" s="137"/>
    </row>
    <row r="478" spans="1:15" x14ac:dyDescent="0.35">
      <c r="A478" s="137"/>
      <c r="B478" s="137"/>
      <c r="C478" s="137"/>
      <c r="D478" s="137"/>
      <c r="E478" s="137"/>
      <c r="F478" s="137"/>
      <c r="G478" s="102"/>
      <c r="H478" s="137"/>
      <c r="I478" s="137"/>
      <c r="J478" s="137"/>
      <c r="K478" s="170"/>
      <c r="L478" s="170"/>
      <c r="M478" s="170"/>
      <c r="N478" s="137"/>
      <c r="O478" s="137"/>
    </row>
    <row r="479" spans="1:15" x14ac:dyDescent="0.35">
      <c r="A479" s="137"/>
      <c r="B479" s="137"/>
      <c r="C479" s="137"/>
      <c r="D479" s="137"/>
      <c r="E479" s="137"/>
      <c r="F479" s="137"/>
      <c r="G479" s="102"/>
      <c r="H479" s="137"/>
      <c r="I479" s="137"/>
      <c r="J479" s="137"/>
      <c r="K479" s="170"/>
      <c r="L479" s="170"/>
      <c r="M479" s="170"/>
      <c r="N479" s="137"/>
      <c r="O479" s="137"/>
    </row>
    <row r="480" spans="1:15" x14ac:dyDescent="0.35">
      <c r="A480" s="137"/>
      <c r="B480" s="137"/>
      <c r="C480" s="137"/>
      <c r="D480" s="137"/>
      <c r="E480" s="137"/>
      <c r="F480" s="137"/>
      <c r="G480" s="102"/>
      <c r="H480" s="137"/>
      <c r="I480" s="137"/>
      <c r="J480" s="137"/>
      <c r="K480" s="170"/>
      <c r="L480" s="170"/>
      <c r="M480" s="170"/>
      <c r="N480" s="137"/>
      <c r="O480" s="137"/>
    </row>
    <row r="481" spans="1:15" x14ac:dyDescent="0.35">
      <c r="A481" s="137"/>
      <c r="B481" s="137"/>
      <c r="C481" s="137"/>
      <c r="D481" s="137"/>
      <c r="E481" s="137"/>
      <c r="F481" s="137"/>
      <c r="G481" s="102"/>
      <c r="H481" s="137"/>
      <c r="I481" s="137"/>
      <c r="J481" s="137"/>
      <c r="K481" s="170"/>
      <c r="L481" s="170"/>
      <c r="M481" s="170"/>
      <c r="N481" s="137"/>
      <c r="O481" s="137"/>
    </row>
    <row r="482" spans="1:15" x14ac:dyDescent="0.35">
      <c r="A482" s="137"/>
      <c r="B482" s="137"/>
      <c r="C482" s="137"/>
      <c r="D482" s="137"/>
      <c r="E482" s="137"/>
      <c r="F482" s="137"/>
      <c r="G482" s="102"/>
      <c r="H482" s="137"/>
      <c r="I482" s="137"/>
      <c r="J482" s="137"/>
      <c r="K482" s="170"/>
      <c r="L482" s="170"/>
      <c r="M482" s="170"/>
      <c r="N482" s="137"/>
      <c r="O482" s="137"/>
    </row>
    <row r="483" spans="1:15" x14ac:dyDescent="0.35">
      <c r="A483" s="137"/>
      <c r="B483" s="137"/>
      <c r="C483" s="137"/>
      <c r="D483" s="137"/>
      <c r="E483" s="137"/>
      <c r="F483" s="137"/>
      <c r="G483" s="102"/>
      <c r="H483" s="137"/>
      <c r="I483" s="137"/>
      <c r="J483" s="137"/>
      <c r="K483" s="170"/>
      <c r="L483" s="170"/>
      <c r="M483" s="170"/>
      <c r="N483" s="137"/>
      <c r="O483" s="137"/>
    </row>
    <row r="484" spans="1:15" x14ac:dyDescent="0.35">
      <c r="A484" s="137"/>
      <c r="B484" s="137"/>
      <c r="C484" s="137"/>
      <c r="D484" s="137"/>
      <c r="E484" s="137"/>
      <c r="F484" s="137"/>
      <c r="G484" s="102"/>
      <c r="H484" s="137"/>
      <c r="I484" s="137"/>
      <c r="J484" s="137"/>
      <c r="K484" s="170"/>
      <c r="L484" s="170"/>
      <c r="M484" s="170"/>
      <c r="N484" s="137"/>
      <c r="O484" s="137"/>
    </row>
    <row r="485" spans="1:15" x14ac:dyDescent="0.35">
      <c r="A485" s="137"/>
      <c r="B485" s="137"/>
      <c r="C485" s="137"/>
      <c r="D485" s="137"/>
      <c r="E485" s="137"/>
      <c r="F485" s="137"/>
      <c r="G485" s="102"/>
      <c r="H485" s="137"/>
      <c r="I485" s="137"/>
      <c r="J485" s="137"/>
      <c r="K485" s="170"/>
      <c r="L485" s="170"/>
      <c r="M485" s="170"/>
      <c r="N485" s="137"/>
      <c r="O485" s="137"/>
    </row>
    <row r="486" spans="1:15" x14ac:dyDescent="0.35">
      <c r="A486" s="137"/>
      <c r="B486" s="137"/>
      <c r="C486" s="137"/>
      <c r="D486" s="137"/>
      <c r="E486" s="137"/>
      <c r="F486" s="137"/>
      <c r="G486" s="102"/>
      <c r="H486" s="137"/>
      <c r="I486" s="137"/>
      <c r="J486" s="137"/>
      <c r="K486" s="170"/>
      <c r="L486" s="170"/>
      <c r="M486" s="170"/>
      <c r="N486" s="137"/>
      <c r="O486" s="137"/>
    </row>
    <row r="487" spans="1:15" x14ac:dyDescent="0.35">
      <c r="A487" s="137"/>
      <c r="B487" s="137"/>
      <c r="C487" s="137"/>
      <c r="D487" s="137"/>
      <c r="E487" s="137"/>
      <c r="F487" s="137"/>
      <c r="G487" s="102"/>
      <c r="H487" s="137"/>
      <c r="I487" s="137"/>
      <c r="J487" s="137"/>
      <c r="K487" s="170"/>
      <c r="L487" s="170"/>
      <c r="M487" s="170"/>
      <c r="N487" s="137"/>
      <c r="O487" s="137"/>
    </row>
    <row r="488" spans="1:15" x14ac:dyDescent="0.35">
      <c r="A488" s="137"/>
      <c r="B488" s="137"/>
      <c r="C488" s="137"/>
      <c r="D488" s="137"/>
      <c r="E488" s="137"/>
      <c r="F488" s="137"/>
      <c r="G488" s="102"/>
      <c r="H488" s="137"/>
      <c r="I488" s="137"/>
      <c r="J488" s="137"/>
      <c r="K488" s="170"/>
      <c r="L488" s="170"/>
      <c r="M488" s="170"/>
      <c r="N488" s="137"/>
      <c r="O488" s="137"/>
    </row>
    <row r="489" spans="1:15" x14ac:dyDescent="0.35">
      <c r="A489" s="137"/>
      <c r="B489" s="137"/>
      <c r="C489" s="137"/>
      <c r="D489" s="137"/>
      <c r="E489" s="137"/>
      <c r="F489" s="137"/>
      <c r="G489" s="102"/>
      <c r="H489" s="137"/>
      <c r="I489" s="137"/>
      <c r="J489" s="137"/>
      <c r="K489" s="170"/>
      <c r="L489" s="170"/>
      <c r="M489" s="170"/>
      <c r="N489" s="137"/>
      <c r="O489" s="137"/>
    </row>
    <row r="490" spans="1:15" x14ac:dyDescent="0.35">
      <c r="A490" s="137"/>
      <c r="B490" s="137"/>
      <c r="C490" s="137"/>
      <c r="D490" s="137"/>
      <c r="E490" s="137"/>
      <c r="F490" s="137"/>
      <c r="G490" s="102"/>
      <c r="H490" s="137"/>
      <c r="I490" s="137"/>
      <c r="J490" s="137"/>
      <c r="K490" s="170"/>
      <c r="L490" s="170"/>
      <c r="M490" s="170"/>
      <c r="N490" s="137"/>
      <c r="O490" s="137"/>
    </row>
    <row r="491" spans="1:15" x14ac:dyDescent="0.35">
      <c r="A491" s="137"/>
      <c r="B491" s="137"/>
      <c r="C491" s="137"/>
      <c r="D491" s="137"/>
      <c r="E491" s="137"/>
      <c r="F491" s="137"/>
      <c r="G491" s="102"/>
      <c r="H491" s="137"/>
      <c r="I491" s="137"/>
      <c r="J491" s="137"/>
      <c r="K491" s="170"/>
      <c r="L491" s="170"/>
      <c r="M491" s="170"/>
      <c r="N491" s="137"/>
      <c r="O491" s="137"/>
    </row>
    <row r="492" spans="1:15" x14ac:dyDescent="0.35">
      <c r="A492" s="137"/>
      <c r="B492" s="137"/>
      <c r="C492" s="137"/>
      <c r="D492" s="137"/>
      <c r="E492" s="137"/>
      <c r="F492" s="137"/>
      <c r="G492" s="102"/>
      <c r="H492" s="137"/>
      <c r="I492" s="137"/>
      <c r="J492" s="137"/>
      <c r="K492" s="170"/>
      <c r="L492" s="170"/>
      <c r="M492" s="170"/>
      <c r="N492" s="137"/>
      <c r="O492" s="137"/>
    </row>
    <row r="493" spans="1:15" x14ac:dyDescent="0.35">
      <c r="A493" s="137"/>
      <c r="B493" s="137"/>
      <c r="C493" s="137"/>
      <c r="D493" s="137"/>
      <c r="E493" s="137"/>
      <c r="F493" s="137"/>
      <c r="G493" s="102"/>
      <c r="H493" s="137"/>
      <c r="I493" s="137"/>
      <c r="J493" s="137"/>
      <c r="K493" s="170"/>
      <c r="L493" s="170"/>
      <c r="M493" s="170"/>
      <c r="N493" s="137"/>
      <c r="O493" s="137"/>
    </row>
    <row r="494" spans="1:15" x14ac:dyDescent="0.35">
      <c r="A494" s="137"/>
      <c r="B494" s="137"/>
      <c r="C494" s="137"/>
      <c r="D494" s="137"/>
      <c r="E494" s="137"/>
      <c r="F494" s="137"/>
      <c r="G494" s="102"/>
      <c r="H494" s="137"/>
      <c r="I494" s="137"/>
      <c r="J494" s="137"/>
      <c r="K494" s="170"/>
      <c r="L494" s="170"/>
      <c r="M494" s="170"/>
      <c r="N494" s="137"/>
      <c r="O494" s="137"/>
    </row>
    <row r="495" spans="1:15" x14ac:dyDescent="0.35">
      <c r="A495" s="137"/>
      <c r="B495" s="137"/>
      <c r="C495" s="137"/>
      <c r="D495" s="137"/>
      <c r="E495" s="137"/>
      <c r="F495" s="137"/>
      <c r="G495" s="102"/>
      <c r="H495" s="137"/>
      <c r="I495" s="137"/>
      <c r="J495" s="137"/>
      <c r="K495" s="170"/>
      <c r="L495" s="170"/>
      <c r="M495" s="170"/>
      <c r="N495" s="137"/>
      <c r="O495" s="137"/>
    </row>
    <row r="496" spans="1:15" x14ac:dyDescent="0.35">
      <c r="A496" s="137"/>
      <c r="B496" s="137"/>
      <c r="C496" s="137"/>
      <c r="D496" s="137"/>
      <c r="E496" s="137"/>
      <c r="F496" s="137"/>
      <c r="G496" s="102"/>
      <c r="H496" s="137"/>
      <c r="I496" s="137"/>
      <c r="J496" s="137"/>
      <c r="K496" s="170"/>
      <c r="L496" s="170"/>
      <c r="M496" s="170"/>
      <c r="N496" s="137"/>
      <c r="O496" s="137"/>
    </row>
    <row r="497" spans="1:15" x14ac:dyDescent="0.35">
      <c r="A497" s="137"/>
      <c r="B497" s="137"/>
      <c r="C497" s="137"/>
      <c r="D497" s="137"/>
      <c r="E497" s="137"/>
      <c r="F497" s="137"/>
      <c r="G497" s="102"/>
      <c r="H497" s="137"/>
      <c r="I497" s="137"/>
      <c r="J497" s="137"/>
      <c r="K497" s="170"/>
      <c r="L497" s="170"/>
      <c r="M497" s="170"/>
      <c r="N497" s="137"/>
      <c r="O497" s="137"/>
    </row>
    <row r="498" spans="1:15" x14ac:dyDescent="0.35">
      <c r="A498" s="137"/>
      <c r="B498" s="137"/>
      <c r="C498" s="137"/>
      <c r="D498" s="137"/>
      <c r="E498" s="137"/>
      <c r="F498" s="137"/>
      <c r="G498" s="102"/>
      <c r="H498" s="137"/>
      <c r="I498" s="137"/>
      <c r="J498" s="137"/>
      <c r="K498" s="170"/>
      <c r="L498" s="170"/>
      <c r="M498" s="170"/>
      <c r="N498" s="137"/>
      <c r="O498" s="137"/>
    </row>
    <row r="499" spans="1:15" x14ac:dyDescent="0.35">
      <c r="A499" s="137"/>
      <c r="B499" s="137"/>
      <c r="C499" s="137"/>
      <c r="D499" s="137"/>
      <c r="E499" s="137"/>
      <c r="F499" s="137"/>
      <c r="G499" s="102"/>
      <c r="H499" s="137"/>
      <c r="I499" s="137"/>
      <c r="J499" s="137"/>
      <c r="K499" s="170"/>
      <c r="L499" s="170"/>
      <c r="M499" s="170"/>
      <c r="N499" s="137"/>
      <c r="O499" s="137"/>
    </row>
    <row r="500" spans="1:15" x14ac:dyDescent="0.35">
      <c r="A500" s="137"/>
      <c r="B500" s="137"/>
      <c r="C500" s="137"/>
      <c r="D500" s="137"/>
      <c r="E500" s="137"/>
      <c r="F500" s="137"/>
      <c r="G500" s="102"/>
      <c r="H500" s="137"/>
      <c r="I500" s="137"/>
      <c r="J500" s="137"/>
      <c r="K500" s="170"/>
      <c r="L500" s="170"/>
      <c r="M500" s="170"/>
      <c r="N500" s="137"/>
      <c r="O500" s="137"/>
    </row>
    <row r="501" spans="1:15" x14ac:dyDescent="0.35">
      <c r="A501" s="137"/>
      <c r="B501" s="137"/>
      <c r="C501" s="137"/>
      <c r="D501" s="137"/>
      <c r="E501" s="137"/>
      <c r="F501" s="137"/>
      <c r="G501" s="102"/>
      <c r="H501" s="137"/>
      <c r="I501" s="137"/>
      <c r="J501" s="137"/>
      <c r="K501" s="170"/>
      <c r="L501" s="170"/>
      <c r="M501" s="170"/>
      <c r="N501" s="137"/>
      <c r="O501" s="137"/>
    </row>
    <row r="502" spans="1:15" x14ac:dyDescent="0.35">
      <c r="A502" s="137"/>
      <c r="B502" s="137"/>
      <c r="C502" s="137"/>
      <c r="D502" s="137"/>
      <c r="E502" s="137"/>
      <c r="F502" s="137"/>
      <c r="G502" s="102"/>
      <c r="H502" s="137"/>
      <c r="I502" s="137"/>
      <c r="J502" s="137"/>
      <c r="K502" s="170"/>
      <c r="L502" s="170"/>
      <c r="M502" s="170"/>
      <c r="N502" s="137"/>
      <c r="O502" s="137"/>
    </row>
    <row r="503" spans="1:15" x14ac:dyDescent="0.35">
      <c r="A503" s="137"/>
      <c r="B503" s="137"/>
      <c r="C503" s="137"/>
      <c r="D503" s="137"/>
      <c r="E503" s="137"/>
      <c r="F503" s="137"/>
      <c r="G503" s="102"/>
      <c r="H503" s="137"/>
      <c r="I503" s="137"/>
      <c r="J503" s="137"/>
      <c r="K503" s="170"/>
      <c r="L503" s="170"/>
      <c r="M503" s="170"/>
      <c r="N503" s="137"/>
      <c r="O503" s="137"/>
    </row>
    <row r="504" spans="1:15" x14ac:dyDescent="0.35">
      <c r="A504" s="137"/>
      <c r="B504" s="137"/>
      <c r="C504" s="137"/>
      <c r="D504" s="137"/>
      <c r="E504" s="137"/>
      <c r="F504" s="137"/>
      <c r="G504" s="102"/>
      <c r="H504" s="137"/>
      <c r="I504" s="137"/>
      <c r="J504" s="137"/>
      <c r="K504" s="170"/>
      <c r="L504" s="170"/>
      <c r="M504" s="170"/>
      <c r="N504" s="137"/>
      <c r="O504" s="137"/>
    </row>
    <row r="505" spans="1:15" x14ac:dyDescent="0.35">
      <c r="A505" s="137"/>
      <c r="B505" s="137"/>
      <c r="C505" s="137"/>
      <c r="D505" s="137"/>
      <c r="E505" s="137"/>
      <c r="F505" s="137"/>
      <c r="G505" s="102"/>
      <c r="H505" s="137"/>
      <c r="I505" s="137"/>
      <c r="J505" s="137"/>
      <c r="K505" s="170"/>
      <c r="L505" s="170"/>
      <c r="M505" s="170"/>
      <c r="N505" s="137"/>
      <c r="O505" s="137"/>
    </row>
    <row r="506" spans="1:15" x14ac:dyDescent="0.35">
      <c r="A506" s="137"/>
      <c r="B506" s="137"/>
      <c r="C506" s="137"/>
      <c r="D506" s="137"/>
      <c r="E506" s="137"/>
      <c r="F506" s="137"/>
      <c r="G506" s="102"/>
      <c r="H506" s="137"/>
      <c r="I506" s="137"/>
      <c r="J506" s="137"/>
      <c r="K506" s="170"/>
      <c r="L506" s="170"/>
      <c r="M506" s="170"/>
      <c r="N506" s="137"/>
      <c r="O506" s="137"/>
    </row>
    <row r="507" spans="1:15" x14ac:dyDescent="0.35">
      <c r="A507" s="137"/>
      <c r="B507" s="137"/>
      <c r="C507" s="137"/>
      <c r="D507" s="137"/>
      <c r="E507" s="137"/>
      <c r="F507" s="137"/>
      <c r="G507" s="102"/>
      <c r="H507" s="137"/>
      <c r="I507" s="137"/>
      <c r="J507" s="137"/>
      <c r="K507" s="170"/>
      <c r="L507" s="170"/>
      <c r="M507" s="170"/>
      <c r="N507" s="137"/>
      <c r="O507" s="137"/>
    </row>
    <row r="508" spans="1:15" x14ac:dyDescent="0.35">
      <c r="A508" s="137"/>
      <c r="B508" s="137"/>
      <c r="C508" s="137"/>
      <c r="D508" s="137"/>
      <c r="E508" s="137"/>
      <c r="F508" s="137"/>
      <c r="G508" s="102"/>
      <c r="H508" s="137"/>
      <c r="I508" s="137"/>
      <c r="J508" s="137"/>
      <c r="K508" s="170"/>
      <c r="L508" s="170"/>
      <c r="M508" s="170"/>
      <c r="N508" s="137"/>
      <c r="O508" s="137"/>
    </row>
    <row r="509" spans="1:15" x14ac:dyDescent="0.35">
      <c r="A509" s="137"/>
      <c r="B509" s="137"/>
      <c r="C509" s="137"/>
      <c r="D509" s="137"/>
      <c r="E509" s="137"/>
      <c r="F509" s="137"/>
      <c r="G509" s="102"/>
      <c r="H509" s="137"/>
      <c r="I509" s="137"/>
      <c r="J509" s="137"/>
      <c r="K509" s="170"/>
      <c r="L509" s="170"/>
      <c r="M509" s="170"/>
      <c r="N509" s="137"/>
      <c r="O509" s="137"/>
    </row>
    <row r="510" spans="1:15" x14ac:dyDescent="0.35">
      <c r="A510" s="137"/>
      <c r="B510" s="137"/>
      <c r="C510" s="137"/>
      <c r="D510" s="137"/>
      <c r="E510" s="137"/>
      <c r="F510" s="137"/>
      <c r="G510" s="102"/>
      <c r="H510" s="137"/>
      <c r="I510" s="137"/>
      <c r="J510" s="137"/>
      <c r="K510" s="170"/>
      <c r="L510" s="170"/>
      <c r="M510" s="170"/>
      <c r="N510" s="137"/>
      <c r="O510" s="137"/>
    </row>
    <row r="511" spans="1:15" x14ac:dyDescent="0.35">
      <c r="A511" s="137"/>
      <c r="B511" s="137"/>
      <c r="C511" s="137"/>
      <c r="D511" s="137"/>
      <c r="E511" s="137"/>
      <c r="F511" s="137"/>
      <c r="G511" s="102"/>
      <c r="H511" s="137"/>
      <c r="I511" s="137"/>
      <c r="J511" s="137"/>
      <c r="K511" s="170"/>
      <c r="L511" s="170"/>
      <c r="M511" s="170"/>
      <c r="N511" s="137"/>
      <c r="O511" s="137"/>
    </row>
    <row r="512" spans="1:15" x14ac:dyDescent="0.35">
      <c r="A512" s="137"/>
      <c r="B512" s="137"/>
      <c r="C512" s="137"/>
      <c r="D512" s="137"/>
      <c r="E512" s="137"/>
      <c r="F512" s="137"/>
      <c r="G512" s="102"/>
      <c r="H512" s="137"/>
      <c r="I512" s="137"/>
      <c r="J512" s="137"/>
      <c r="K512" s="170"/>
      <c r="L512" s="170"/>
      <c r="M512" s="170"/>
      <c r="N512" s="137"/>
      <c r="O512" s="137"/>
    </row>
    <row r="513" spans="1:15" x14ac:dyDescent="0.35">
      <c r="A513" s="137"/>
      <c r="B513" s="137"/>
      <c r="C513" s="137"/>
      <c r="D513" s="137"/>
      <c r="E513" s="137"/>
      <c r="F513" s="137"/>
      <c r="G513" s="102"/>
      <c r="H513" s="137"/>
      <c r="I513" s="137"/>
      <c r="J513" s="137"/>
      <c r="K513" s="170"/>
      <c r="L513" s="170"/>
      <c r="M513" s="170"/>
      <c r="N513" s="137"/>
      <c r="O513" s="137"/>
    </row>
    <row r="514" spans="1:15" x14ac:dyDescent="0.35">
      <c r="A514" s="137"/>
      <c r="B514" s="137"/>
      <c r="C514" s="137"/>
      <c r="D514" s="137"/>
      <c r="E514" s="137"/>
      <c r="F514" s="137"/>
      <c r="G514" s="102"/>
      <c r="H514" s="137"/>
      <c r="I514" s="137"/>
      <c r="J514" s="137"/>
      <c r="K514" s="170"/>
      <c r="L514" s="170"/>
      <c r="M514" s="170"/>
      <c r="N514" s="137"/>
      <c r="O514" s="137"/>
    </row>
    <row r="515" spans="1:15" x14ac:dyDescent="0.35">
      <c r="A515" s="137"/>
      <c r="B515" s="137"/>
      <c r="C515" s="137"/>
      <c r="D515" s="137"/>
      <c r="E515" s="137"/>
      <c r="F515" s="137"/>
      <c r="G515" s="102"/>
      <c r="H515" s="137"/>
      <c r="I515" s="137"/>
      <c r="J515" s="137"/>
      <c r="K515" s="170"/>
      <c r="L515" s="170"/>
      <c r="M515" s="170"/>
    </row>
    <row r="516" spans="1:15" x14ac:dyDescent="0.35">
      <c r="A516" s="137"/>
      <c r="B516" s="137"/>
      <c r="C516" s="137"/>
      <c r="D516" s="137"/>
      <c r="E516" s="137"/>
      <c r="F516" s="137"/>
      <c r="G516" s="102"/>
      <c r="H516" s="137"/>
      <c r="I516" s="137"/>
      <c r="J516" s="137"/>
      <c r="K516" s="170"/>
      <c r="L516" s="170"/>
      <c r="M516" s="170"/>
      <c r="N516" s="137"/>
      <c r="O516" s="137"/>
    </row>
    <row r="517" spans="1:15" x14ac:dyDescent="0.35">
      <c r="A517" s="137"/>
      <c r="B517" s="137"/>
      <c r="C517" s="137"/>
      <c r="D517" s="137"/>
      <c r="E517" s="137"/>
      <c r="F517" s="137"/>
      <c r="G517" s="102"/>
      <c r="H517" s="137"/>
      <c r="I517" s="137"/>
      <c r="J517" s="137"/>
      <c r="K517" s="170"/>
      <c r="L517" s="170"/>
      <c r="M517" s="170"/>
      <c r="N517" s="137"/>
      <c r="O517" s="137"/>
    </row>
    <row r="518" spans="1:15" x14ac:dyDescent="0.35">
      <c r="A518" s="137"/>
      <c r="B518" s="137"/>
      <c r="C518" s="137"/>
      <c r="D518" s="137"/>
      <c r="E518" s="137"/>
      <c r="F518" s="137"/>
      <c r="G518" s="102"/>
      <c r="H518" s="137"/>
      <c r="I518" s="137"/>
      <c r="J518" s="137"/>
      <c r="K518" s="170"/>
      <c r="L518" s="170"/>
      <c r="M518" s="170"/>
      <c r="N518" s="137"/>
      <c r="O518" s="137"/>
    </row>
    <row r="519" spans="1:15" x14ac:dyDescent="0.35">
      <c r="A519" s="137"/>
      <c r="B519" s="137"/>
      <c r="C519" s="137"/>
      <c r="D519" s="137"/>
      <c r="E519" s="137"/>
      <c r="F519" s="137"/>
      <c r="G519" s="102"/>
      <c r="H519" s="137"/>
      <c r="I519" s="137"/>
      <c r="J519" s="137"/>
      <c r="K519" s="170"/>
      <c r="L519" s="170"/>
      <c r="M519" s="170"/>
      <c r="N519" s="137"/>
      <c r="O519" s="137"/>
    </row>
    <row r="520" spans="1:15" x14ac:dyDescent="0.35">
      <c r="A520" s="137"/>
      <c r="B520" s="137"/>
      <c r="C520" s="137"/>
      <c r="D520" s="137"/>
      <c r="E520" s="137"/>
      <c r="F520" s="137"/>
      <c r="G520" s="102"/>
      <c r="H520" s="137"/>
      <c r="I520" s="137"/>
      <c r="J520" s="137"/>
      <c r="K520" s="170"/>
      <c r="L520" s="170"/>
      <c r="M520" s="170"/>
      <c r="N520" s="137"/>
      <c r="O520" s="137"/>
    </row>
    <row r="521" spans="1:15" x14ac:dyDescent="0.35">
      <c r="A521" s="137"/>
      <c r="B521" s="137"/>
      <c r="C521" s="137"/>
      <c r="D521" s="137"/>
      <c r="E521" s="137"/>
      <c r="F521" s="137"/>
      <c r="G521" s="102"/>
      <c r="H521" s="137"/>
      <c r="I521" s="137"/>
      <c r="J521" s="137"/>
      <c r="K521" s="170"/>
      <c r="L521" s="170"/>
      <c r="M521" s="170"/>
      <c r="N521" s="137"/>
      <c r="O521" s="137"/>
    </row>
    <row r="522" spans="1:15" x14ac:dyDescent="0.35">
      <c r="A522" s="137"/>
      <c r="B522" s="137"/>
      <c r="C522" s="137"/>
      <c r="D522" s="137"/>
      <c r="E522" s="137"/>
      <c r="F522" s="137"/>
      <c r="G522" s="102"/>
      <c r="H522" s="137"/>
      <c r="I522" s="137"/>
      <c r="J522" s="137"/>
      <c r="K522" s="170"/>
      <c r="L522" s="170"/>
      <c r="M522" s="170"/>
    </row>
    <row r="523" spans="1:15" x14ac:dyDescent="0.35">
      <c r="A523" s="137"/>
      <c r="B523" s="137"/>
      <c r="C523" s="137"/>
      <c r="D523" s="137"/>
      <c r="E523" s="137"/>
      <c r="F523" s="137"/>
      <c r="G523" s="102"/>
      <c r="H523" s="137"/>
      <c r="I523" s="137"/>
      <c r="J523" s="137"/>
      <c r="K523" s="170"/>
      <c r="L523" s="170"/>
      <c r="M523" s="170"/>
      <c r="N523" s="137"/>
      <c r="O523" s="137"/>
    </row>
    <row r="524" spans="1:15" x14ac:dyDescent="0.35">
      <c r="A524" s="137"/>
      <c r="B524" s="137"/>
      <c r="C524" s="137"/>
      <c r="D524" s="137"/>
      <c r="E524" s="137"/>
      <c r="F524" s="137"/>
      <c r="G524" s="102"/>
      <c r="H524" s="137"/>
      <c r="I524" s="137"/>
      <c r="J524" s="137"/>
      <c r="K524" s="170"/>
      <c r="L524" s="170"/>
      <c r="M524" s="170"/>
    </row>
    <row r="525" spans="1:15" x14ac:dyDescent="0.35">
      <c r="A525" s="137"/>
      <c r="B525" s="137"/>
      <c r="C525" s="137"/>
      <c r="D525" s="137"/>
      <c r="E525" s="137"/>
      <c r="F525" s="137"/>
      <c r="G525" s="102"/>
      <c r="H525" s="137"/>
      <c r="I525" s="137"/>
      <c r="J525" s="137"/>
      <c r="K525" s="170"/>
      <c r="L525" s="170"/>
      <c r="M525" s="170"/>
      <c r="N525" s="137"/>
      <c r="O525" s="137"/>
    </row>
    <row r="526" spans="1:15" x14ac:dyDescent="0.35">
      <c r="A526" s="137"/>
      <c r="B526" s="137"/>
      <c r="C526" s="137"/>
      <c r="D526" s="137"/>
      <c r="E526" s="137"/>
      <c r="F526" s="137"/>
      <c r="G526" s="102"/>
      <c r="H526" s="137"/>
      <c r="I526" s="137"/>
      <c r="J526" s="137"/>
      <c r="K526" s="170"/>
      <c r="L526" s="170"/>
      <c r="M526" s="170"/>
      <c r="N526" s="137"/>
      <c r="O526" s="137"/>
    </row>
    <row r="527" spans="1:15" x14ac:dyDescent="0.35">
      <c r="A527" s="137"/>
      <c r="B527" s="137"/>
      <c r="C527" s="137"/>
      <c r="D527" s="137"/>
      <c r="E527" s="137"/>
      <c r="F527" s="137"/>
      <c r="G527" s="102"/>
      <c r="H527" s="137"/>
      <c r="I527" s="137"/>
      <c r="J527" s="137"/>
      <c r="K527" s="170"/>
      <c r="L527" s="170"/>
      <c r="M527" s="170"/>
      <c r="N527" s="137"/>
      <c r="O527" s="137"/>
    </row>
    <row r="528" spans="1:15" x14ac:dyDescent="0.35">
      <c r="A528" s="137"/>
      <c r="B528" s="137"/>
      <c r="C528" s="137"/>
      <c r="D528" s="137"/>
      <c r="E528" s="137"/>
      <c r="F528" s="137"/>
      <c r="G528" s="102"/>
      <c r="H528" s="137"/>
      <c r="I528" s="137"/>
      <c r="J528" s="137"/>
      <c r="K528" s="170"/>
      <c r="L528" s="170"/>
      <c r="M528" s="170"/>
      <c r="N528" s="137"/>
      <c r="O528" s="137"/>
    </row>
    <row r="529" spans="1:15" x14ac:dyDescent="0.35">
      <c r="A529" s="137"/>
      <c r="B529" s="137"/>
      <c r="C529" s="137"/>
      <c r="D529" s="137"/>
      <c r="E529" s="137"/>
      <c r="F529" s="137"/>
      <c r="G529" s="102"/>
      <c r="H529" s="137"/>
      <c r="I529" s="137"/>
      <c r="J529" s="137"/>
      <c r="K529" s="170"/>
      <c r="L529" s="170"/>
      <c r="M529" s="170"/>
      <c r="N529" s="137"/>
      <c r="O529" s="137"/>
    </row>
    <row r="530" spans="1:15" x14ac:dyDescent="0.35">
      <c r="A530" s="137"/>
      <c r="B530" s="137"/>
      <c r="C530" s="137"/>
      <c r="D530" s="137"/>
      <c r="E530" s="137"/>
      <c r="F530" s="137"/>
      <c r="G530" s="102"/>
      <c r="H530" s="137"/>
      <c r="I530" s="137"/>
      <c r="J530" s="137"/>
      <c r="K530" s="170"/>
      <c r="L530" s="170"/>
      <c r="M530" s="170"/>
      <c r="N530" s="137"/>
      <c r="O530" s="137"/>
    </row>
    <row r="531" spans="1:15" x14ac:dyDescent="0.35">
      <c r="A531" s="137"/>
      <c r="B531" s="137"/>
      <c r="C531" s="137"/>
      <c r="D531" s="137"/>
      <c r="E531" s="137"/>
      <c r="F531" s="137"/>
      <c r="G531" s="102"/>
      <c r="H531" s="137"/>
      <c r="I531" s="137"/>
      <c r="J531" s="137"/>
      <c r="K531" s="170"/>
      <c r="L531" s="170"/>
      <c r="M531" s="170"/>
      <c r="N531" s="137"/>
      <c r="O531" s="137"/>
    </row>
    <row r="532" spans="1:15" x14ac:dyDescent="0.35">
      <c r="A532" s="137"/>
      <c r="B532" s="137"/>
      <c r="C532" s="137"/>
      <c r="D532" s="137"/>
      <c r="E532" s="137"/>
      <c r="F532" s="137"/>
      <c r="G532" s="102"/>
      <c r="H532" s="137"/>
      <c r="I532" s="137"/>
      <c r="J532" s="137"/>
      <c r="K532" s="170"/>
      <c r="L532" s="170"/>
      <c r="M532" s="170"/>
      <c r="N532" s="137"/>
      <c r="O532" s="137"/>
    </row>
    <row r="533" spans="1:15" x14ac:dyDescent="0.35">
      <c r="A533" s="137"/>
      <c r="B533" s="137"/>
      <c r="C533" s="137"/>
      <c r="D533" s="137"/>
      <c r="E533" s="137"/>
      <c r="F533" s="137"/>
      <c r="G533" s="102"/>
      <c r="H533" s="137"/>
      <c r="I533" s="137"/>
      <c r="J533" s="137"/>
      <c r="K533" s="170"/>
      <c r="L533" s="170"/>
      <c r="M533" s="170"/>
    </row>
    <row r="534" spans="1:15" x14ac:dyDescent="0.35">
      <c r="A534" s="137"/>
      <c r="B534" s="137"/>
      <c r="C534" s="137"/>
      <c r="D534" s="137"/>
      <c r="E534" s="137"/>
      <c r="F534" s="137"/>
      <c r="G534" s="102"/>
      <c r="H534" s="137"/>
      <c r="I534" s="137"/>
      <c r="J534" s="137"/>
      <c r="K534" s="170"/>
      <c r="L534" s="170"/>
      <c r="M534" s="170"/>
      <c r="N534" s="137"/>
      <c r="O534" s="137"/>
    </row>
    <row r="535" spans="1:15" x14ac:dyDescent="0.35">
      <c r="A535" s="137"/>
      <c r="B535" s="137"/>
      <c r="C535" s="137"/>
      <c r="D535" s="137"/>
      <c r="E535" s="137"/>
      <c r="F535" s="137"/>
      <c r="G535" s="102"/>
      <c r="H535" s="137"/>
      <c r="I535" s="137"/>
      <c r="J535" s="137"/>
      <c r="K535" s="170"/>
      <c r="L535" s="170"/>
      <c r="M535" s="170"/>
      <c r="N535" s="31"/>
      <c r="O535" s="31"/>
    </row>
    <row r="536" spans="1:15" x14ac:dyDescent="0.35">
      <c r="A536" s="137"/>
      <c r="B536" s="137"/>
      <c r="C536" s="137"/>
      <c r="D536" s="137"/>
      <c r="E536" s="137"/>
      <c r="F536" s="137"/>
      <c r="G536" s="102"/>
      <c r="H536" s="137"/>
      <c r="I536" s="137"/>
      <c r="J536" s="137"/>
      <c r="K536" s="170"/>
      <c r="L536" s="170"/>
      <c r="M536" s="170"/>
      <c r="N536" s="137"/>
      <c r="O536" s="137"/>
    </row>
    <row r="537" spans="1:15" x14ac:dyDescent="0.35">
      <c r="A537" s="137"/>
      <c r="B537" s="137"/>
      <c r="C537" s="137"/>
      <c r="D537" s="137"/>
      <c r="E537" s="137"/>
      <c r="F537" s="137"/>
      <c r="G537" s="102"/>
      <c r="H537" s="137"/>
      <c r="I537" s="137"/>
      <c r="J537" s="137"/>
      <c r="K537" s="170"/>
      <c r="L537" s="170"/>
      <c r="M537" s="170"/>
      <c r="N537" s="137"/>
      <c r="O537" s="137"/>
    </row>
    <row r="538" spans="1:15" x14ac:dyDescent="0.35">
      <c r="A538" s="137"/>
      <c r="B538" s="137"/>
      <c r="C538" s="137"/>
      <c r="D538" s="137"/>
      <c r="E538" s="137"/>
      <c r="F538" s="137"/>
      <c r="G538" s="102"/>
      <c r="H538" s="137"/>
      <c r="I538" s="137"/>
      <c r="J538" s="137"/>
      <c r="K538" s="170"/>
      <c r="L538" s="170"/>
      <c r="M538" s="170"/>
      <c r="N538" s="137"/>
      <c r="O538" s="137"/>
    </row>
    <row r="539" spans="1:15" x14ac:dyDescent="0.35">
      <c r="A539" s="137"/>
      <c r="B539" s="137"/>
      <c r="C539" s="137"/>
      <c r="D539" s="137"/>
      <c r="E539" s="137"/>
      <c r="F539" s="137"/>
      <c r="G539" s="102"/>
      <c r="H539" s="137"/>
      <c r="I539" s="137"/>
      <c r="J539" s="137"/>
      <c r="K539" s="170"/>
      <c r="L539" s="170"/>
      <c r="M539" s="170"/>
      <c r="N539" s="137"/>
      <c r="O539" s="137"/>
    </row>
    <row r="540" spans="1:15" x14ac:dyDescent="0.35">
      <c r="A540" s="137"/>
      <c r="B540" s="137"/>
      <c r="C540" s="137"/>
      <c r="D540" s="137"/>
      <c r="E540" s="137"/>
      <c r="F540" s="137"/>
      <c r="G540" s="102"/>
      <c r="H540" s="137"/>
      <c r="I540" s="137"/>
      <c r="J540" s="137"/>
      <c r="K540" s="170"/>
      <c r="L540" s="170"/>
      <c r="M540" s="170"/>
      <c r="N540" s="137"/>
      <c r="O540" s="137"/>
    </row>
    <row r="541" spans="1:15" x14ac:dyDescent="0.35">
      <c r="A541" s="137"/>
      <c r="B541" s="137"/>
      <c r="C541" s="137"/>
      <c r="D541" s="137"/>
      <c r="E541" s="137"/>
      <c r="F541" s="137"/>
      <c r="G541" s="102"/>
      <c r="H541" s="137"/>
      <c r="I541" s="137"/>
      <c r="J541" s="137"/>
      <c r="K541" s="170"/>
      <c r="L541" s="170"/>
      <c r="M541" s="170"/>
      <c r="N541" s="137"/>
      <c r="O541" s="137"/>
    </row>
    <row r="542" spans="1:15" x14ac:dyDescent="0.35">
      <c r="A542" s="137"/>
      <c r="B542" s="137"/>
      <c r="C542" s="137"/>
      <c r="D542" s="137"/>
      <c r="E542" s="137"/>
      <c r="F542" s="137"/>
      <c r="G542" s="102"/>
      <c r="H542" s="137"/>
      <c r="I542" s="137"/>
      <c r="J542" s="137"/>
      <c r="K542" s="170"/>
      <c r="L542" s="170"/>
      <c r="M542" s="170"/>
      <c r="N542" s="137"/>
      <c r="O542" s="137"/>
    </row>
    <row r="543" spans="1:15" x14ac:dyDescent="0.35">
      <c r="A543" s="137"/>
      <c r="B543" s="137"/>
      <c r="C543" s="137"/>
      <c r="D543" s="137"/>
      <c r="E543" s="137"/>
      <c r="F543" s="137"/>
      <c r="G543" s="102"/>
      <c r="H543" s="137"/>
      <c r="I543" s="137"/>
      <c r="J543" s="137"/>
      <c r="K543" s="170"/>
      <c r="L543" s="170"/>
      <c r="M543" s="170"/>
      <c r="N543" s="137"/>
      <c r="O543" s="137"/>
    </row>
    <row r="544" spans="1:15" x14ac:dyDescent="0.35">
      <c r="A544" s="137"/>
      <c r="B544" s="137"/>
      <c r="C544" s="137"/>
      <c r="D544" s="137"/>
      <c r="E544" s="137"/>
      <c r="F544" s="137"/>
      <c r="G544" s="102"/>
      <c r="H544" s="137"/>
      <c r="I544" s="137"/>
      <c r="J544" s="137"/>
      <c r="K544" s="170"/>
      <c r="L544" s="170"/>
      <c r="M544" s="170"/>
      <c r="N544" s="137"/>
      <c r="O544" s="137"/>
    </row>
    <row r="545" spans="1:15" x14ac:dyDescent="0.35">
      <c r="A545" s="137"/>
      <c r="B545" s="137"/>
      <c r="C545" s="137"/>
      <c r="D545" s="137"/>
      <c r="E545" s="137"/>
      <c r="F545" s="137"/>
      <c r="G545" s="102"/>
      <c r="H545" s="137"/>
      <c r="I545" s="137"/>
      <c r="J545" s="137"/>
      <c r="K545" s="170"/>
      <c r="L545" s="170"/>
      <c r="M545" s="170"/>
      <c r="N545" s="137"/>
      <c r="O545" s="137"/>
    </row>
    <row r="546" spans="1:15" x14ac:dyDescent="0.35">
      <c r="A546" s="137"/>
      <c r="B546" s="137"/>
      <c r="C546" s="137"/>
      <c r="D546" s="137"/>
      <c r="E546" s="137"/>
      <c r="F546" s="137"/>
      <c r="G546" s="102"/>
      <c r="H546" s="137"/>
      <c r="I546" s="137"/>
      <c r="J546" s="137"/>
      <c r="K546" s="170"/>
      <c r="L546" s="170"/>
      <c r="M546" s="170"/>
      <c r="N546" s="137"/>
      <c r="O546" s="137"/>
    </row>
    <row r="547" spans="1:15" x14ac:dyDescent="0.35">
      <c r="A547" s="137"/>
      <c r="B547" s="137"/>
      <c r="C547" s="137"/>
      <c r="D547" s="137"/>
      <c r="E547" s="137"/>
      <c r="F547" s="137"/>
      <c r="G547" s="102"/>
      <c r="H547" s="137"/>
      <c r="I547" s="137"/>
      <c r="J547" s="137"/>
      <c r="K547" s="170"/>
      <c r="L547" s="170"/>
      <c r="M547" s="170"/>
      <c r="N547" s="137"/>
      <c r="O547" s="137"/>
    </row>
    <row r="548" spans="1:15" x14ac:dyDescent="0.35">
      <c r="A548" s="137"/>
      <c r="B548" s="137"/>
      <c r="C548" s="137"/>
      <c r="D548" s="137"/>
      <c r="E548" s="137"/>
      <c r="F548" s="137"/>
      <c r="G548" s="102"/>
      <c r="H548" s="137"/>
      <c r="I548" s="137"/>
      <c r="J548" s="137"/>
      <c r="K548" s="170"/>
      <c r="L548" s="170"/>
      <c r="M548" s="170"/>
      <c r="N548" s="137"/>
      <c r="O548" s="137"/>
    </row>
    <row r="549" spans="1:15" x14ac:dyDescent="0.35">
      <c r="A549" s="137"/>
      <c r="B549" s="137"/>
      <c r="C549" s="137"/>
      <c r="D549" s="137"/>
      <c r="E549" s="137"/>
      <c r="F549" s="137"/>
      <c r="G549" s="102"/>
      <c r="H549" s="137"/>
      <c r="I549" s="137"/>
      <c r="J549" s="137"/>
      <c r="K549" s="170"/>
      <c r="L549" s="170"/>
      <c r="M549" s="170"/>
      <c r="N549" s="137"/>
      <c r="O549" s="137"/>
    </row>
    <row r="550" spans="1:15" x14ac:dyDescent="0.35">
      <c r="A550" s="137"/>
      <c r="B550" s="137"/>
      <c r="C550" s="137"/>
      <c r="D550" s="137"/>
      <c r="E550" s="137"/>
      <c r="F550" s="137"/>
      <c r="G550" s="102"/>
      <c r="H550" s="137"/>
      <c r="I550" s="137"/>
      <c r="J550" s="137"/>
      <c r="K550" s="170"/>
      <c r="L550" s="170"/>
      <c r="M550" s="170"/>
      <c r="N550" s="137"/>
      <c r="O550" s="137"/>
    </row>
    <row r="551" spans="1:15" x14ac:dyDescent="0.35">
      <c r="A551" s="137"/>
      <c r="B551" s="137"/>
      <c r="C551" s="137"/>
      <c r="D551" s="137"/>
      <c r="E551" s="137"/>
      <c r="F551" s="137"/>
      <c r="G551" s="102"/>
      <c r="H551" s="137"/>
      <c r="I551" s="137"/>
      <c r="J551" s="137"/>
      <c r="K551" s="170"/>
      <c r="L551" s="170"/>
      <c r="M551" s="170"/>
      <c r="N551" s="137"/>
      <c r="O551" s="137"/>
    </row>
    <row r="552" spans="1:15" x14ac:dyDescent="0.35">
      <c r="A552" s="137"/>
      <c r="B552" s="137"/>
      <c r="C552" s="137"/>
      <c r="D552" s="137"/>
      <c r="E552" s="137"/>
      <c r="F552" s="137"/>
      <c r="G552" s="102"/>
      <c r="H552" s="137"/>
      <c r="I552" s="137"/>
      <c r="J552" s="137"/>
      <c r="K552" s="170"/>
      <c r="L552" s="170"/>
      <c r="M552" s="170"/>
      <c r="N552" s="137"/>
      <c r="O552" s="137"/>
    </row>
    <row r="553" spans="1:15" x14ac:dyDescent="0.35">
      <c r="A553" s="137"/>
      <c r="B553" s="137"/>
      <c r="C553" s="137"/>
      <c r="D553" s="137"/>
      <c r="E553" s="137"/>
      <c r="F553" s="137"/>
      <c r="G553" s="102"/>
      <c r="H553" s="137"/>
      <c r="I553" s="137"/>
      <c r="J553" s="137"/>
      <c r="K553" s="170"/>
      <c r="L553" s="170"/>
      <c r="M553" s="170"/>
      <c r="N553" s="137"/>
      <c r="O553" s="137"/>
    </row>
    <row r="554" spans="1:15" x14ac:dyDescent="0.35">
      <c r="A554" s="137"/>
      <c r="B554" s="137"/>
      <c r="C554" s="137"/>
      <c r="D554" s="137"/>
      <c r="E554" s="137"/>
      <c r="F554" s="137"/>
      <c r="G554" s="102"/>
      <c r="H554" s="137"/>
      <c r="I554" s="137"/>
      <c r="J554" s="137"/>
      <c r="K554" s="170"/>
      <c r="L554" s="170"/>
      <c r="M554" s="170"/>
      <c r="N554" s="137"/>
      <c r="O554" s="137"/>
    </row>
    <row r="555" spans="1:15" x14ac:dyDescent="0.35">
      <c r="A555" s="137"/>
      <c r="B555" s="137"/>
      <c r="C555" s="137"/>
      <c r="D555" s="137"/>
      <c r="E555" s="137"/>
      <c r="F555" s="137"/>
      <c r="G555" s="102"/>
      <c r="H555" s="137"/>
      <c r="I555" s="137"/>
      <c r="J555" s="137"/>
      <c r="K555" s="170"/>
      <c r="L555" s="170"/>
      <c r="M555" s="170"/>
      <c r="N555" s="137"/>
      <c r="O555" s="137"/>
    </row>
    <row r="556" spans="1:15" x14ac:dyDescent="0.35">
      <c r="A556" s="137"/>
      <c r="B556" s="137"/>
      <c r="C556" s="137"/>
      <c r="D556" s="137"/>
      <c r="E556" s="137"/>
      <c r="F556" s="137"/>
      <c r="G556" s="102"/>
      <c r="H556" s="137"/>
      <c r="I556" s="137"/>
      <c r="J556" s="137"/>
      <c r="K556" s="170"/>
      <c r="L556" s="170"/>
      <c r="M556" s="170"/>
      <c r="N556" s="137"/>
      <c r="O556" s="137"/>
    </row>
    <row r="557" spans="1:15" x14ac:dyDescent="0.35">
      <c r="A557" s="137"/>
      <c r="B557" s="137"/>
      <c r="C557" s="137"/>
      <c r="D557" s="137"/>
      <c r="E557" s="137"/>
      <c r="F557" s="137"/>
      <c r="G557" s="102"/>
      <c r="H557" s="137"/>
      <c r="I557" s="137"/>
      <c r="J557" s="137"/>
      <c r="K557" s="170"/>
      <c r="L557" s="170"/>
      <c r="M557" s="170"/>
      <c r="N557" s="137"/>
      <c r="O557" s="137"/>
    </row>
    <row r="558" spans="1:15" x14ac:dyDescent="0.35">
      <c r="A558" s="137"/>
      <c r="B558" s="137"/>
      <c r="C558" s="137"/>
      <c r="D558" s="137"/>
      <c r="E558" s="137"/>
      <c r="F558" s="137"/>
      <c r="G558" s="102"/>
      <c r="H558" s="137"/>
      <c r="I558" s="137"/>
      <c r="J558" s="137"/>
      <c r="K558" s="170"/>
      <c r="L558" s="170"/>
      <c r="M558" s="170"/>
      <c r="N558" s="137"/>
      <c r="O558" s="137"/>
    </row>
    <row r="559" spans="1:15" x14ac:dyDescent="0.35">
      <c r="A559" s="137"/>
      <c r="B559" s="137"/>
      <c r="C559" s="137"/>
      <c r="D559" s="137"/>
      <c r="E559" s="137"/>
      <c r="F559" s="137"/>
      <c r="G559" s="102"/>
      <c r="H559" s="137"/>
      <c r="I559" s="137"/>
      <c r="J559" s="137"/>
      <c r="K559" s="170"/>
      <c r="L559" s="170"/>
      <c r="M559" s="170"/>
      <c r="N559" s="137"/>
      <c r="O559" s="137"/>
    </row>
    <row r="560" spans="1:15" x14ac:dyDescent="0.35">
      <c r="A560" s="137"/>
      <c r="B560" s="137"/>
      <c r="C560" s="137"/>
      <c r="D560" s="137"/>
      <c r="E560" s="137"/>
      <c r="F560" s="137"/>
      <c r="G560" s="102"/>
      <c r="H560" s="137"/>
      <c r="I560" s="137"/>
      <c r="J560" s="137"/>
      <c r="K560" s="170"/>
      <c r="L560" s="170"/>
      <c r="M560" s="170"/>
      <c r="N560" s="137"/>
      <c r="O560" s="137"/>
    </row>
    <row r="561" spans="1:15" x14ac:dyDescent="0.35">
      <c r="A561" s="137"/>
      <c r="B561" s="137"/>
      <c r="C561" s="137"/>
      <c r="D561" s="137"/>
      <c r="E561" s="137"/>
      <c r="F561" s="137"/>
      <c r="G561" s="102"/>
      <c r="H561" s="137"/>
      <c r="I561" s="137"/>
      <c r="J561" s="137"/>
      <c r="K561" s="170"/>
      <c r="L561" s="170"/>
      <c r="M561" s="170"/>
      <c r="N561" s="137"/>
      <c r="O561" s="137"/>
    </row>
    <row r="562" spans="1:15" x14ac:dyDescent="0.35">
      <c r="A562" s="137"/>
      <c r="B562" s="137"/>
      <c r="C562" s="137"/>
      <c r="D562" s="137"/>
      <c r="E562" s="137"/>
      <c r="F562" s="137"/>
      <c r="G562" s="102"/>
      <c r="H562" s="137"/>
      <c r="I562" s="137"/>
      <c r="J562" s="137"/>
      <c r="K562" s="170"/>
      <c r="L562" s="170"/>
      <c r="M562" s="170"/>
      <c r="N562" s="137"/>
      <c r="O562" s="137"/>
    </row>
    <row r="563" spans="1:15" x14ac:dyDescent="0.35">
      <c r="A563" s="137"/>
      <c r="B563" s="137"/>
      <c r="C563" s="137"/>
      <c r="D563" s="137"/>
      <c r="E563" s="137"/>
      <c r="F563" s="137"/>
      <c r="G563" s="102"/>
      <c r="H563" s="137"/>
      <c r="I563" s="137"/>
      <c r="J563" s="137"/>
      <c r="K563" s="170"/>
      <c r="L563" s="170"/>
      <c r="M563" s="170"/>
      <c r="N563" s="137"/>
      <c r="O563" s="137"/>
    </row>
    <row r="564" spans="1:15" x14ac:dyDescent="0.35">
      <c r="A564" s="137"/>
      <c r="B564" s="137"/>
      <c r="C564" s="137"/>
      <c r="D564" s="137"/>
      <c r="E564" s="137"/>
      <c r="F564" s="137"/>
      <c r="G564" s="102"/>
      <c r="H564" s="137"/>
      <c r="I564" s="137"/>
      <c r="J564" s="137"/>
      <c r="K564" s="170"/>
      <c r="L564" s="170"/>
      <c r="M564" s="170"/>
      <c r="N564" s="137"/>
      <c r="O564" s="137"/>
    </row>
    <row r="565" spans="1:15" x14ac:dyDescent="0.35">
      <c r="A565" s="137"/>
      <c r="B565" s="137"/>
      <c r="C565" s="137"/>
      <c r="D565" s="137"/>
      <c r="E565" s="137"/>
      <c r="F565" s="137"/>
      <c r="G565" s="102"/>
      <c r="H565" s="137"/>
      <c r="I565" s="137"/>
      <c r="J565" s="137"/>
      <c r="K565" s="170"/>
      <c r="L565" s="170"/>
      <c r="M565" s="170"/>
    </row>
    <row r="566" spans="1:15" x14ac:dyDescent="0.35">
      <c r="A566" s="137"/>
      <c r="B566" s="137"/>
      <c r="C566" s="137"/>
      <c r="D566" s="137"/>
      <c r="E566" s="137"/>
      <c r="F566" s="137"/>
      <c r="G566" s="102"/>
      <c r="H566" s="137"/>
      <c r="I566" s="137"/>
      <c r="J566" s="137"/>
      <c r="K566" s="170"/>
      <c r="L566" s="170"/>
      <c r="M566" s="170"/>
      <c r="N566" s="137"/>
      <c r="O566" s="137"/>
    </row>
    <row r="567" spans="1:15" x14ac:dyDescent="0.35">
      <c r="A567" s="137"/>
      <c r="B567" s="137"/>
      <c r="C567" s="137"/>
      <c r="D567" s="137"/>
      <c r="E567" s="137"/>
      <c r="F567" s="137"/>
      <c r="G567" s="102"/>
      <c r="H567" s="137"/>
      <c r="I567" s="137"/>
      <c r="J567" s="137"/>
      <c r="K567" s="170"/>
      <c r="L567" s="170"/>
      <c r="M567" s="170"/>
      <c r="N567" s="137"/>
      <c r="O567" s="137"/>
    </row>
    <row r="568" spans="1:15" x14ac:dyDescent="0.35">
      <c r="A568" s="137"/>
      <c r="B568" s="137"/>
      <c r="C568" s="137"/>
      <c r="D568" s="137"/>
      <c r="E568" s="137"/>
      <c r="F568" s="137"/>
      <c r="G568" s="102"/>
      <c r="H568" s="137"/>
      <c r="I568" s="137"/>
      <c r="J568" s="137"/>
      <c r="K568" s="170"/>
      <c r="L568" s="170"/>
      <c r="M568" s="170"/>
      <c r="N568" s="137"/>
      <c r="O568" s="137"/>
    </row>
    <row r="569" spans="1:15" x14ac:dyDescent="0.35">
      <c r="A569" s="137"/>
      <c r="B569" s="137"/>
      <c r="C569" s="137"/>
      <c r="D569" s="137"/>
      <c r="E569" s="137"/>
      <c r="F569" s="137"/>
      <c r="G569" s="102"/>
      <c r="H569" s="137"/>
      <c r="I569" s="137"/>
      <c r="J569" s="137"/>
      <c r="K569" s="170"/>
      <c r="L569" s="170"/>
      <c r="M569" s="170"/>
      <c r="N569" s="137"/>
      <c r="O569" s="137"/>
    </row>
    <row r="570" spans="1:15" x14ac:dyDescent="0.35">
      <c r="A570" s="137"/>
      <c r="B570" s="137"/>
      <c r="C570" s="137"/>
      <c r="D570" s="137"/>
      <c r="E570" s="137"/>
      <c r="F570" s="137"/>
      <c r="G570" s="102"/>
      <c r="H570" s="137"/>
      <c r="I570" s="137"/>
      <c r="J570" s="137"/>
      <c r="K570" s="170"/>
      <c r="L570" s="170"/>
      <c r="M570" s="170"/>
    </row>
    <row r="571" spans="1:15" x14ac:dyDescent="0.35">
      <c r="A571" s="137"/>
      <c r="B571" s="137"/>
      <c r="C571" s="137"/>
      <c r="D571" s="137"/>
      <c r="E571" s="137"/>
      <c r="F571" s="137"/>
      <c r="G571" s="102"/>
      <c r="H571" s="137"/>
      <c r="I571" s="137"/>
      <c r="J571" s="137"/>
      <c r="K571" s="170"/>
      <c r="L571" s="170"/>
      <c r="M571" s="170"/>
      <c r="N571" s="137"/>
      <c r="O571" s="137"/>
    </row>
    <row r="572" spans="1:15" x14ac:dyDescent="0.35">
      <c r="A572" s="137"/>
      <c r="B572" s="137"/>
      <c r="C572" s="137"/>
      <c r="D572" s="137"/>
      <c r="E572" s="137"/>
      <c r="F572" s="137"/>
      <c r="G572" s="102"/>
      <c r="H572" s="137"/>
      <c r="I572" s="137"/>
      <c r="J572" s="137"/>
      <c r="K572" s="170"/>
      <c r="L572" s="170"/>
      <c r="M572" s="170"/>
      <c r="N572" s="31"/>
      <c r="O572" s="31"/>
    </row>
    <row r="573" spans="1:15" x14ac:dyDescent="0.35">
      <c r="A573" s="137"/>
      <c r="B573" s="137"/>
      <c r="C573" s="137"/>
      <c r="D573" s="137"/>
      <c r="E573" s="137"/>
      <c r="F573" s="137"/>
      <c r="G573" s="102"/>
      <c r="H573" s="137"/>
      <c r="I573" s="137"/>
      <c r="J573" s="137"/>
      <c r="K573" s="170"/>
      <c r="L573" s="170"/>
      <c r="M573" s="170"/>
      <c r="N573" s="137"/>
      <c r="O573" s="137"/>
    </row>
    <row r="574" spans="1:15" x14ac:dyDescent="0.35">
      <c r="A574" s="137"/>
      <c r="B574" s="137"/>
      <c r="C574" s="137"/>
      <c r="D574" s="137"/>
      <c r="E574" s="137"/>
      <c r="F574" s="137"/>
      <c r="G574" s="102"/>
      <c r="H574" s="137"/>
      <c r="I574" s="137"/>
      <c r="J574" s="137"/>
      <c r="K574" s="170"/>
      <c r="L574" s="170"/>
      <c r="M574" s="170"/>
      <c r="N574" s="137"/>
      <c r="O574" s="137"/>
    </row>
    <row r="575" spans="1:15" x14ac:dyDescent="0.35">
      <c r="A575" s="137"/>
      <c r="B575" s="137"/>
      <c r="C575" s="137"/>
      <c r="D575" s="137"/>
      <c r="E575" s="137"/>
      <c r="F575" s="137"/>
      <c r="G575" s="102"/>
      <c r="H575" s="137"/>
      <c r="I575" s="137"/>
      <c r="J575" s="137"/>
      <c r="K575" s="170"/>
      <c r="L575" s="170"/>
      <c r="M575" s="170"/>
      <c r="N575" s="137"/>
      <c r="O575" s="137"/>
    </row>
    <row r="576" spans="1:15" x14ac:dyDescent="0.35">
      <c r="A576" s="137"/>
      <c r="B576" s="137"/>
      <c r="C576" s="137"/>
      <c r="D576" s="137"/>
      <c r="E576" s="137"/>
      <c r="F576" s="137"/>
      <c r="G576" s="102"/>
      <c r="H576" s="137"/>
      <c r="I576" s="137"/>
      <c r="J576" s="137"/>
      <c r="K576" s="170"/>
      <c r="L576" s="170"/>
      <c r="M576" s="170"/>
      <c r="N576" s="137"/>
      <c r="O576" s="137"/>
    </row>
    <row r="577" spans="1:32" x14ac:dyDescent="0.35">
      <c r="A577" s="137"/>
      <c r="B577" s="137"/>
      <c r="C577" s="137"/>
      <c r="D577" s="137"/>
      <c r="E577" s="137"/>
      <c r="F577" s="137"/>
      <c r="G577" s="102"/>
      <c r="H577" s="137"/>
      <c r="I577" s="137"/>
      <c r="J577" s="137"/>
      <c r="K577" s="170"/>
      <c r="L577" s="170"/>
      <c r="M577" s="170"/>
      <c r="N577" s="137"/>
      <c r="O577" s="137"/>
    </row>
    <row r="578" spans="1:32" x14ac:dyDescent="0.35">
      <c r="A578" s="137"/>
      <c r="B578" s="137"/>
      <c r="C578" s="137"/>
      <c r="D578" s="137"/>
      <c r="E578" s="137"/>
      <c r="F578" s="137"/>
      <c r="G578" s="102"/>
      <c r="H578" s="137"/>
      <c r="I578" s="137"/>
      <c r="J578" s="137"/>
      <c r="K578" s="170"/>
      <c r="L578" s="170"/>
      <c r="M578" s="170"/>
      <c r="N578" s="137"/>
      <c r="O578" s="137"/>
    </row>
    <row r="579" spans="1:32" x14ac:dyDescent="0.35">
      <c r="A579" s="137"/>
      <c r="B579" s="137"/>
      <c r="C579" s="137"/>
      <c r="D579" s="137"/>
      <c r="E579" s="137"/>
      <c r="F579" s="137"/>
      <c r="G579" s="102"/>
      <c r="H579" s="137"/>
      <c r="I579" s="137"/>
      <c r="J579" s="137"/>
      <c r="K579" s="170"/>
      <c r="L579" s="170"/>
      <c r="M579" s="170"/>
      <c r="N579" s="137"/>
      <c r="O579" s="137"/>
    </row>
    <row r="580" spans="1:32" x14ac:dyDescent="0.35">
      <c r="A580" s="137"/>
      <c r="B580" s="137"/>
      <c r="C580" s="137"/>
      <c r="D580" s="137"/>
      <c r="E580" s="137"/>
      <c r="F580" s="137"/>
      <c r="G580" s="102"/>
      <c r="H580" s="137"/>
      <c r="I580" s="137"/>
      <c r="J580" s="137"/>
      <c r="K580" s="170"/>
      <c r="L580" s="170"/>
      <c r="M580" s="170"/>
      <c r="N580" s="137"/>
      <c r="O580" s="137"/>
    </row>
    <row r="581" spans="1:32" x14ac:dyDescent="0.35">
      <c r="A581" s="137"/>
      <c r="B581" s="137"/>
      <c r="C581" s="137"/>
      <c r="D581" s="137"/>
      <c r="E581" s="137"/>
      <c r="F581" s="137"/>
      <c r="G581" s="102"/>
      <c r="H581" s="137"/>
      <c r="I581" s="137"/>
      <c r="J581" s="137"/>
      <c r="K581" s="170"/>
      <c r="L581" s="170"/>
      <c r="M581" s="170"/>
      <c r="N581" s="137"/>
      <c r="O581" s="137"/>
    </row>
    <row r="582" spans="1:32" x14ac:dyDescent="0.35">
      <c r="A582" s="137"/>
      <c r="B582" s="137"/>
      <c r="C582" s="137"/>
      <c r="D582" s="137"/>
      <c r="E582" s="137"/>
      <c r="F582" s="137"/>
      <c r="G582" s="102"/>
      <c r="H582" s="137"/>
      <c r="I582" s="137"/>
      <c r="J582" s="137"/>
      <c r="K582" s="170"/>
      <c r="L582" s="170"/>
      <c r="M582" s="170"/>
      <c r="N582" s="137"/>
      <c r="O582" s="137"/>
    </row>
    <row r="583" spans="1:32" x14ac:dyDescent="0.35">
      <c r="A583" s="137"/>
      <c r="B583" s="137"/>
      <c r="C583" s="137"/>
      <c r="D583" s="137"/>
      <c r="E583" s="137"/>
      <c r="F583" s="137"/>
      <c r="G583" s="102"/>
      <c r="H583" s="137"/>
      <c r="I583" s="137"/>
      <c r="J583" s="137"/>
      <c r="K583" s="170"/>
      <c r="L583" s="170"/>
      <c r="M583" s="170"/>
      <c r="N583" s="81"/>
      <c r="O583" s="81"/>
      <c r="P583" s="79"/>
      <c r="R583" s="78"/>
      <c r="T583" s="81"/>
      <c r="U583" s="81"/>
      <c r="W583" s="81"/>
      <c r="X583" s="81"/>
      <c r="Y583" s="81"/>
      <c r="Z583" s="81"/>
      <c r="AA583" s="81"/>
      <c r="AB583" s="81"/>
      <c r="AC583" s="81"/>
      <c r="AD583" s="81"/>
      <c r="AE583" s="81"/>
      <c r="AF583" s="81"/>
    </row>
    <row r="584" spans="1:32" x14ac:dyDescent="0.35">
      <c r="A584" s="137"/>
      <c r="B584" s="137"/>
      <c r="C584" s="137"/>
      <c r="D584" s="137"/>
      <c r="E584" s="137"/>
      <c r="F584" s="137"/>
      <c r="G584" s="102"/>
      <c r="H584" s="137"/>
      <c r="I584" s="137"/>
      <c r="J584" s="137"/>
      <c r="K584" s="170"/>
      <c r="L584" s="170"/>
      <c r="M584" s="170"/>
      <c r="N584" s="137"/>
      <c r="O584" s="137"/>
    </row>
    <row r="585" spans="1:32" x14ac:dyDescent="0.35">
      <c r="A585" s="137"/>
      <c r="B585" s="137"/>
      <c r="C585" s="137"/>
      <c r="D585" s="137"/>
      <c r="E585" s="137"/>
      <c r="F585" s="137"/>
      <c r="G585" s="102"/>
      <c r="H585" s="137"/>
      <c r="I585" s="137"/>
      <c r="J585" s="137"/>
      <c r="K585" s="170"/>
      <c r="L585" s="170"/>
      <c r="M585" s="170"/>
      <c r="N585" s="137"/>
      <c r="O585" s="137"/>
    </row>
    <row r="586" spans="1:32" x14ac:dyDescent="0.35">
      <c r="A586" s="137"/>
      <c r="B586" s="137"/>
      <c r="C586" s="137"/>
      <c r="D586" s="137"/>
      <c r="E586" s="137"/>
      <c r="F586" s="137"/>
      <c r="G586" s="102"/>
      <c r="H586" s="137"/>
      <c r="I586" s="137"/>
      <c r="J586" s="137"/>
      <c r="K586" s="170"/>
      <c r="L586" s="170"/>
      <c r="M586" s="170"/>
      <c r="N586" s="137"/>
      <c r="O586" s="137"/>
    </row>
    <row r="587" spans="1:32" x14ac:dyDescent="0.35">
      <c r="A587" s="137"/>
      <c r="B587" s="137"/>
      <c r="C587" s="137"/>
      <c r="D587" s="137"/>
      <c r="E587" s="137"/>
      <c r="F587" s="137"/>
      <c r="G587" s="102"/>
      <c r="H587" s="137"/>
      <c r="I587" s="137"/>
      <c r="J587" s="137"/>
      <c r="K587" s="170"/>
      <c r="L587" s="170"/>
      <c r="M587" s="170"/>
      <c r="N587" s="137"/>
      <c r="O587" s="137"/>
    </row>
    <row r="588" spans="1:32" x14ac:dyDescent="0.35">
      <c r="A588" s="137"/>
      <c r="B588" s="137"/>
      <c r="C588" s="137"/>
      <c r="D588" s="137"/>
      <c r="E588" s="137"/>
      <c r="F588" s="137"/>
      <c r="G588" s="102"/>
      <c r="H588" s="137"/>
      <c r="I588" s="137"/>
      <c r="J588" s="137"/>
      <c r="K588" s="170"/>
      <c r="L588" s="170"/>
      <c r="M588" s="170"/>
      <c r="N588" s="137"/>
      <c r="O588" s="137"/>
    </row>
    <row r="589" spans="1:32" x14ac:dyDescent="0.35">
      <c r="A589" s="137"/>
      <c r="B589" s="137"/>
      <c r="C589" s="137"/>
      <c r="D589" s="137"/>
      <c r="E589" s="137"/>
      <c r="F589" s="137"/>
      <c r="G589" s="102"/>
      <c r="H589" s="137"/>
      <c r="I589" s="137"/>
      <c r="J589" s="137"/>
      <c r="K589" s="170"/>
      <c r="L589" s="170"/>
      <c r="M589" s="170"/>
      <c r="N589" s="137"/>
      <c r="O589" s="137"/>
    </row>
    <row r="590" spans="1:32" x14ac:dyDescent="0.35">
      <c r="A590" s="137"/>
      <c r="B590" s="137"/>
      <c r="C590" s="137"/>
      <c r="D590" s="137"/>
      <c r="E590" s="137"/>
      <c r="F590" s="137"/>
      <c r="G590" s="102"/>
      <c r="H590" s="137"/>
      <c r="I590" s="137"/>
      <c r="J590" s="137"/>
      <c r="K590" s="170"/>
      <c r="L590" s="170"/>
      <c r="M590" s="170"/>
      <c r="N590" s="137"/>
      <c r="O590" s="137"/>
    </row>
    <row r="591" spans="1:32" x14ac:dyDescent="0.35">
      <c r="A591" s="137"/>
      <c r="B591" s="137"/>
      <c r="C591" s="137"/>
      <c r="D591" s="137"/>
      <c r="E591" s="137"/>
      <c r="F591" s="137"/>
      <c r="G591" s="102"/>
      <c r="H591" s="137"/>
      <c r="I591" s="137"/>
      <c r="J591" s="137"/>
      <c r="K591" s="170"/>
      <c r="L591" s="170"/>
      <c r="M591" s="170"/>
      <c r="N591" s="137"/>
      <c r="O591" s="137"/>
    </row>
    <row r="592" spans="1:32" x14ac:dyDescent="0.35">
      <c r="A592" s="137"/>
      <c r="B592" s="137"/>
      <c r="C592" s="137"/>
      <c r="D592" s="137"/>
      <c r="E592" s="137"/>
      <c r="F592" s="137"/>
      <c r="G592" s="102"/>
      <c r="H592" s="137"/>
      <c r="I592" s="137"/>
      <c r="J592" s="137"/>
      <c r="K592" s="170"/>
      <c r="L592" s="170"/>
      <c r="M592" s="170"/>
      <c r="N592" s="137"/>
      <c r="O592" s="137"/>
    </row>
    <row r="593" spans="1:15" x14ac:dyDescent="0.35">
      <c r="A593" s="137"/>
      <c r="B593" s="137"/>
      <c r="C593" s="137"/>
      <c r="D593" s="137"/>
      <c r="E593" s="137"/>
      <c r="F593" s="137"/>
      <c r="G593" s="102"/>
      <c r="H593" s="137"/>
      <c r="I593" s="137"/>
      <c r="J593" s="137"/>
      <c r="K593" s="170"/>
      <c r="L593" s="170"/>
      <c r="M593" s="170"/>
    </row>
    <row r="594" spans="1:15" x14ac:dyDescent="0.35">
      <c r="A594" s="137"/>
      <c r="B594" s="137"/>
      <c r="C594" s="137"/>
      <c r="D594" s="137"/>
      <c r="E594" s="137"/>
      <c r="F594" s="137"/>
      <c r="G594" s="102"/>
      <c r="H594" s="137"/>
      <c r="I594" s="137"/>
      <c r="J594" s="137"/>
      <c r="K594" s="170"/>
      <c r="L594" s="170"/>
      <c r="M594" s="170"/>
    </row>
    <row r="595" spans="1:15" x14ac:dyDescent="0.35">
      <c r="A595" s="137"/>
      <c r="B595" s="137"/>
      <c r="C595" s="137"/>
      <c r="D595" s="137"/>
      <c r="E595" s="137"/>
      <c r="F595" s="137"/>
      <c r="G595" s="102"/>
      <c r="H595" s="137"/>
      <c r="I595" s="137"/>
      <c r="J595" s="137"/>
      <c r="K595" s="170"/>
      <c r="L595" s="170"/>
      <c r="M595" s="170"/>
      <c r="N595" s="137"/>
      <c r="O595" s="137"/>
    </row>
    <row r="596" spans="1:15" x14ac:dyDescent="0.35">
      <c r="A596" s="137"/>
      <c r="B596" s="137"/>
      <c r="C596" s="137"/>
      <c r="D596" s="137"/>
      <c r="E596" s="137"/>
      <c r="F596" s="137"/>
      <c r="G596" s="102"/>
      <c r="H596" s="137"/>
      <c r="I596" s="137"/>
      <c r="J596" s="137"/>
      <c r="K596" s="170"/>
      <c r="L596" s="170"/>
      <c r="M596" s="170"/>
      <c r="N596" s="137"/>
      <c r="O596" s="137"/>
    </row>
    <row r="597" spans="1:15" x14ac:dyDescent="0.35">
      <c r="A597" s="137"/>
      <c r="B597" s="137"/>
      <c r="C597" s="137"/>
      <c r="D597" s="137"/>
      <c r="E597" s="137"/>
      <c r="F597" s="137"/>
      <c r="G597" s="102"/>
      <c r="H597" s="137"/>
      <c r="I597" s="137"/>
      <c r="J597" s="137"/>
      <c r="K597" s="170"/>
      <c r="L597" s="170"/>
      <c r="M597" s="170"/>
      <c r="N597" s="137"/>
      <c r="O597" s="137"/>
    </row>
    <row r="598" spans="1:15" x14ac:dyDescent="0.35">
      <c r="A598" s="137"/>
      <c r="B598" s="137"/>
      <c r="C598" s="137"/>
      <c r="D598" s="137"/>
      <c r="E598" s="137"/>
      <c r="F598" s="137"/>
      <c r="G598" s="102"/>
      <c r="H598" s="137"/>
      <c r="I598" s="137"/>
      <c r="J598" s="137"/>
      <c r="K598" s="170"/>
      <c r="L598" s="170"/>
      <c r="M598" s="170"/>
    </row>
    <row r="599" spans="1:15" x14ac:dyDescent="0.35">
      <c r="A599" s="137"/>
      <c r="B599" s="137"/>
      <c r="C599" s="137"/>
      <c r="D599" s="137"/>
      <c r="E599" s="137"/>
      <c r="F599" s="137"/>
      <c r="G599" s="102"/>
      <c r="H599" s="137"/>
      <c r="I599" s="137"/>
      <c r="J599" s="137"/>
      <c r="K599" s="170"/>
      <c r="L599" s="170"/>
      <c r="M599" s="170"/>
      <c r="N599" s="31"/>
      <c r="O599" s="31"/>
    </row>
    <row r="600" spans="1:15" x14ac:dyDescent="0.35">
      <c r="A600" s="137"/>
      <c r="B600" s="137"/>
      <c r="C600" s="137"/>
      <c r="D600" s="137"/>
      <c r="E600" s="137"/>
      <c r="F600" s="137"/>
      <c r="G600" s="102"/>
      <c r="H600" s="137"/>
      <c r="I600" s="137"/>
      <c r="J600" s="137"/>
      <c r="K600" s="170"/>
      <c r="L600" s="170"/>
      <c r="M600" s="170"/>
    </row>
    <row r="601" spans="1:15" x14ac:dyDescent="0.35">
      <c r="A601" s="137"/>
      <c r="B601" s="137"/>
      <c r="C601" s="137"/>
      <c r="D601" s="137"/>
      <c r="E601" s="137"/>
      <c r="F601" s="137"/>
      <c r="G601" s="102"/>
      <c r="H601" s="137"/>
      <c r="I601" s="137"/>
      <c r="J601" s="137"/>
      <c r="K601" s="170"/>
      <c r="L601" s="170"/>
      <c r="M601" s="170"/>
    </row>
    <row r="602" spans="1:15" x14ac:dyDescent="0.35">
      <c r="A602" s="137"/>
      <c r="B602" s="137"/>
      <c r="C602" s="137"/>
      <c r="D602" s="137"/>
      <c r="E602" s="137"/>
      <c r="F602" s="137"/>
      <c r="G602" s="102"/>
      <c r="H602" s="137"/>
      <c r="I602" s="137"/>
      <c r="J602" s="137"/>
      <c r="K602" s="170"/>
      <c r="L602" s="170"/>
      <c r="M602" s="170"/>
    </row>
    <row r="603" spans="1:15" x14ac:dyDescent="0.35">
      <c r="A603" s="137"/>
      <c r="B603" s="137"/>
      <c r="C603" s="137"/>
      <c r="D603" s="137"/>
      <c r="E603" s="137"/>
      <c r="F603" s="137"/>
      <c r="G603" s="102"/>
      <c r="H603" s="137"/>
      <c r="I603" s="137"/>
      <c r="J603" s="137"/>
      <c r="K603" s="170"/>
      <c r="L603" s="170"/>
      <c r="M603" s="170"/>
      <c r="N603" s="137"/>
      <c r="O603" s="137"/>
    </row>
    <row r="604" spans="1:15" x14ac:dyDescent="0.35">
      <c r="A604" s="137"/>
      <c r="B604" s="137"/>
      <c r="C604" s="137"/>
      <c r="D604" s="137"/>
      <c r="E604" s="137"/>
      <c r="F604" s="137"/>
      <c r="G604" s="102"/>
      <c r="H604" s="137"/>
      <c r="I604" s="137"/>
      <c r="J604" s="137"/>
      <c r="K604" s="170"/>
      <c r="L604" s="170"/>
      <c r="M604" s="170"/>
    </row>
    <row r="605" spans="1:15" x14ac:dyDescent="0.35">
      <c r="A605" s="137"/>
      <c r="B605" s="137"/>
      <c r="C605" s="137"/>
      <c r="D605" s="137"/>
      <c r="E605" s="137"/>
      <c r="F605" s="137"/>
      <c r="G605" s="102"/>
      <c r="H605" s="137"/>
      <c r="I605" s="137"/>
      <c r="J605" s="137"/>
      <c r="K605" s="170"/>
      <c r="L605" s="170"/>
      <c r="M605" s="170"/>
    </row>
    <row r="606" spans="1:15" x14ac:dyDescent="0.35">
      <c r="A606" s="137"/>
      <c r="B606" s="137"/>
      <c r="C606" s="137"/>
      <c r="D606" s="137"/>
      <c r="E606" s="137"/>
      <c r="F606" s="137"/>
      <c r="G606" s="102"/>
      <c r="H606" s="137"/>
      <c r="I606" s="137"/>
      <c r="J606" s="137"/>
      <c r="K606" s="170"/>
      <c r="L606" s="170"/>
      <c r="M606" s="170"/>
    </row>
    <row r="607" spans="1:15" x14ac:dyDescent="0.35">
      <c r="A607" s="137"/>
      <c r="B607" s="137"/>
      <c r="C607" s="137"/>
      <c r="D607" s="137"/>
      <c r="E607" s="137"/>
      <c r="F607" s="137"/>
      <c r="G607" s="102"/>
      <c r="H607" s="137"/>
      <c r="I607" s="137"/>
      <c r="J607" s="137"/>
      <c r="K607" s="170"/>
      <c r="L607" s="170"/>
      <c r="M607" s="170"/>
    </row>
    <row r="608" spans="1:15" x14ac:dyDescent="0.35">
      <c r="A608" s="137"/>
      <c r="B608" s="137"/>
      <c r="C608" s="137"/>
      <c r="D608" s="137"/>
      <c r="E608" s="137"/>
      <c r="F608" s="137"/>
      <c r="G608" s="102"/>
      <c r="H608" s="137"/>
      <c r="I608" s="137"/>
      <c r="J608" s="137"/>
      <c r="K608" s="170"/>
      <c r="L608" s="170"/>
      <c r="M608" s="170"/>
      <c r="N608" s="137"/>
      <c r="O608" s="137"/>
    </row>
    <row r="609" spans="1:15" x14ac:dyDescent="0.35">
      <c r="A609" s="137"/>
      <c r="B609" s="137"/>
      <c r="C609" s="137"/>
      <c r="D609" s="137"/>
      <c r="E609" s="137"/>
      <c r="F609" s="137"/>
      <c r="G609" s="102"/>
      <c r="H609" s="137"/>
      <c r="I609" s="137"/>
      <c r="J609" s="137"/>
      <c r="K609" s="170"/>
      <c r="L609" s="170"/>
      <c r="M609" s="170"/>
      <c r="N609" s="31"/>
      <c r="O609" s="31"/>
    </row>
    <row r="610" spans="1:15" x14ac:dyDescent="0.35">
      <c r="A610" s="137"/>
      <c r="B610" s="137"/>
      <c r="C610" s="137"/>
      <c r="D610" s="137"/>
      <c r="E610" s="137"/>
      <c r="F610" s="137"/>
      <c r="G610" s="102"/>
      <c r="H610" s="137"/>
      <c r="I610" s="137"/>
      <c r="J610" s="137"/>
      <c r="K610" s="170"/>
      <c r="L610" s="170"/>
      <c r="M610" s="170"/>
      <c r="N610" s="137"/>
      <c r="O610" s="137"/>
    </row>
    <row r="611" spans="1:15" x14ac:dyDescent="0.35">
      <c r="A611" s="137"/>
      <c r="B611" s="137"/>
      <c r="C611" s="137"/>
      <c r="D611" s="137"/>
      <c r="E611" s="137"/>
      <c r="F611" s="137"/>
      <c r="G611" s="102"/>
      <c r="H611" s="137"/>
      <c r="I611" s="137"/>
      <c r="J611" s="137"/>
      <c r="K611" s="170"/>
      <c r="L611" s="170"/>
      <c r="M611" s="170"/>
      <c r="N611" s="137"/>
      <c r="O611" s="137"/>
    </row>
    <row r="612" spans="1:15" x14ac:dyDescent="0.35">
      <c r="A612" s="137"/>
      <c r="B612" s="137"/>
      <c r="C612" s="137"/>
      <c r="D612" s="137"/>
      <c r="E612" s="137"/>
      <c r="F612" s="137"/>
      <c r="G612" s="102"/>
      <c r="H612" s="137"/>
      <c r="I612" s="137"/>
      <c r="J612" s="137"/>
      <c r="K612" s="170"/>
      <c r="L612" s="170"/>
      <c r="M612" s="170"/>
      <c r="N612" s="137"/>
      <c r="O612" s="137"/>
    </row>
    <row r="613" spans="1:15" x14ac:dyDescent="0.35">
      <c r="A613" s="137"/>
      <c r="B613" s="137"/>
      <c r="C613" s="137"/>
      <c r="D613" s="137"/>
      <c r="E613" s="137"/>
      <c r="F613" s="137"/>
      <c r="G613" s="102"/>
      <c r="H613" s="137"/>
      <c r="I613" s="137"/>
      <c r="J613" s="137"/>
      <c r="K613" s="170"/>
      <c r="L613" s="170"/>
      <c r="M613" s="170"/>
      <c r="N613" s="137"/>
      <c r="O613" s="137"/>
    </row>
    <row r="614" spans="1:15" x14ac:dyDescent="0.35">
      <c r="A614" s="137"/>
      <c r="B614" s="137"/>
      <c r="C614" s="137"/>
      <c r="D614" s="137"/>
      <c r="E614" s="137"/>
      <c r="F614" s="137"/>
      <c r="G614" s="102"/>
      <c r="H614" s="137"/>
      <c r="I614" s="137"/>
      <c r="J614" s="137"/>
      <c r="K614" s="170"/>
      <c r="L614" s="170"/>
      <c r="M614" s="170"/>
      <c r="N614" s="137"/>
      <c r="O614" s="137"/>
    </row>
    <row r="615" spans="1:15" x14ac:dyDescent="0.35">
      <c r="A615" s="137"/>
      <c r="B615" s="137"/>
      <c r="C615" s="137"/>
      <c r="D615" s="137"/>
      <c r="E615" s="137"/>
      <c r="F615" s="137"/>
      <c r="G615" s="102"/>
      <c r="H615" s="137"/>
      <c r="I615" s="137"/>
      <c r="J615" s="137"/>
      <c r="K615" s="170"/>
      <c r="L615" s="170"/>
      <c r="M615" s="170"/>
      <c r="N615" s="137"/>
      <c r="O615" s="137"/>
    </row>
    <row r="616" spans="1:15" x14ac:dyDescent="0.35">
      <c r="A616" s="137"/>
      <c r="B616" s="137"/>
      <c r="C616" s="137"/>
      <c r="D616" s="137"/>
      <c r="E616" s="137"/>
      <c r="F616" s="137"/>
      <c r="G616" s="102"/>
      <c r="H616" s="137"/>
      <c r="I616" s="137"/>
      <c r="J616" s="137"/>
      <c r="K616" s="170"/>
      <c r="L616" s="170"/>
      <c r="M616" s="170"/>
      <c r="N616" s="137"/>
      <c r="O616" s="137"/>
    </row>
    <row r="617" spans="1:15" x14ac:dyDescent="0.35">
      <c r="A617" s="137"/>
      <c r="B617" s="137"/>
      <c r="C617" s="137"/>
      <c r="D617" s="137"/>
      <c r="E617" s="137"/>
      <c r="F617" s="137"/>
      <c r="G617" s="102"/>
      <c r="H617" s="137"/>
      <c r="I617" s="137"/>
      <c r="J617" s="137"/>
      <c r="K617" s="170"/>
      <c r="L617" s="170"/>
      <c r="M617" s="170"/>
      <c r="N617" s="137"/>
      <c r="O617" s="137"/>
    </row>
    <row r="618" spans="1:15" x14ac:dyDescent="0.35">
      <c r="A618" s="137"/>
      <c r="B618" s="137"/>
      <c r="C618" s="137"/>
      <c r="D618" s="137"/>
      <c r="E618" s="137"/>
      <c r="F618" s="137"/>
      <c r="G618" s="102"/>
      <c r="H618" s="137"/>
      <c r="I618" s="137"/>
      <c r="J618" s="137"/>
      <c r="K618" s="170"/>
      <c r="L618" s="170"/>
      <c r="M618" s="170"/>
      <c r="N618" s="137"/>
      <c r="O618" s="137"/>
    </row>
    <row r="619" spans="1:15" x14ac:dyDescent="0.35">
      <c r="A619" s="137"/>
      <c r="B619" s="137"/>
      <c r="C619" s="137"/>
      <c r="D619" s="137"/>
      <c r="E619" s="137"/>
      <c r="F619" s="137"/>
      <c r="G619" s="102"/>
      <c r="H619" s="137"/>
      <c r="I619" s="137"/>
      <c r="J619" s="137"/>
      <c r="K619" s="170"/>
      <c r="L619" s="170"/>
      <c r="M619" s="170"/>
      <c r="N619" s="137"/>
      <c r="O619" s="137"/>
    </row>
    <row r="620" spans="1:15" x14ac:dyDescent="0.35">
      <c r="A620" s="137"/>
      <c r="B620" s="137"/>
      <c r="C620" s="137"/>
      <c r="D620" s="137"/>
      <c r="E620" s="137"/>
      <c r="F620" s="137"/>
      <c r="G620" s="102"/>
      <c r="H620" s="137"/>
      <c r="I620" s="137"/>
      <c r="J620" s="137"/>
      <c r="K620" s="170"/>
      <c r="L620" s="170"/>
      <c r="M620" s="170"/>
      <c r="N620" s="137"/>
      <c r="O620" s="137"/>
    </row>
    <row r="621" spans="1:15" x14ac:dyDescent="0.35">
      <c r="A621" s="137"/>
      <c r="B621" s="137"/>
      <c r="C621" s="137"/>
      <c r="D621" s="137"/>
      <c r="E621" s="137"/>
      <c r="F621" s="137"/>
      <c r="G621" s="102"/>
      <c r="H621" s="137"/>
      <c r="I621" s="137"/>
      <c r="J621" s="137"/>
      <c r="K621" s="170"/>
      <c r="L621" s="170"/>
      <c r="M621" s="170"/>
      <c r="N621" s="137"/>
      <c r="O621" s="137"/>
    </row>
    <row r="622" spans="1:15" x14ac:dyDescent="0.35">
      <c r="A622" s="137"/>
      <c r="B622" s="137"/>
      <c r="C622" s="137"/>
      <c r="D622" s="137"/>
      <c r="E622" s="137"/>
      <c r="F622" s="137"/>
      <c r="G622" s="102"/>
      <c r="H622" s="137"/>
      <c r="I622" s="137"/>
      <c r="J622" s="137"/>
      <c r="K622" s="170"/>
      <c r="L622" s="170"/>
      <c r="M622" s="170"/>
    </row>
    <row r="623" spans="1:15" x14ac:dyDescent="0.35">
      <c r="A623" s="137"/>
      <c r="B623" s="137"/>
      <c r="C623" s="137"/>
      <c r="D623" s="137"/>
      <c r="E623" s="137"/>
      <c r="F623" s="137"/>
      <c r="G623" s="102"/>
      <c r="H623" s="137"/>
      <c r="I623" s="137"/>
      <c r="J623" s="137"/>
      <c r="K623" s="170"/>
      <c r="L623" s="170"/>
      <c r="M623" s="170"/>
    </row>
    <row r="624" spans="1:15" x14ac:dyDescent="0.35">
      <c r="A624" s="137"/>
      <c r="B624" s="137"/>
      <c r="C624" s="137"/>
      <c r="D624" s="137"/>
      <c r="E624" s="137"/>
      <c r="F624" s="137"/>
      <c r="G624" s="102"/>
      <c r="H624" s="137"/>
      <c r="I624" s="137"/>
      <c r="J624" s="137"/>
      <c r="K624" s="170"/>
      <c r="L624" s="170"/>
      <c r="M624" s="170"/>
    </row>
    <row r="625" spans="1:15" x14ac:dyDescent="0.35">
      <c r="A625" s="137"/>
      <c r="B625" s="137"/>
      <c r="C625" s="137"/>
      <c r="D625" s="137"/>
      <c r="E625" s="137"/>
      <c r="F625" s="137"/>
      <c r="G625" s="102"/>
      <c r="H625" s="137"/>
      <c r="I625" s="137"/>
      <c r="J625" s="137"/>
      <c r="K625" s="170"/>
      <c r="L625" s="170"/>
      <c r="M625" s="170"/>
    </row>
    <row r="626" spans="1:15" x14ac:dyDescent="0.35">
      <c r="A626" s="137"/>
      <c r="B626" s="137"/>
      <c r="C626" s="137"/>
      <c r="D626" s="137"/>
      <c r="E626" s="137"/>
      <c r="F626" s="137"/>
      <c r="G626" s="102"/>
      <c r="H626" s="137"/>
      <c r="I626" s="137"/>
      <c r="J626" s="137"/>
      <c r="K626" s="170"/>
      <c r="L626" s="170"/>
      <c r="M626" s="170"/>
      <c r="N626" s="31"/>
      <c r="O626" s="31"/>
    </row>
    <row r="627" spans="1:15" x14ac:dyDescent="0.35">
      <c r="A627" s="137"/>
      <c r="B627" s="137"/>
      <c r="C627" s="137"/>
      <c r="D627" s="137"/>
      <c r="E627" s="137"/>
      <c r="F627" s="137"/>
      <c r="G627" s="102"/>
      <c r="H627" s="137"/>
      <c r="I627" s="137"/>
      <c r="J627" s="137"/>
      <c r="K627" s="170"/>
      <c r="L627" s="170"/>
      <c r="M627" s="170"/>
      <c r="N627" s="31"/>
      <c r="O627" s="31"/>
    </row>
    <row r="628" spans="1:15" x14ac:dyDescent="0.35">
      <c r="A628" s="137"/>
      <c r="B628" s="137"/>
      <c r="C628" s="137"/>
      <c r="D628" s="137"/>
      <c r="E628" s="137"/>
      <c r="F628" s="137"/>
      <c r="G628" s="102"/>
      <c r="H628" s="137"/>
      <c r="I628" s="137"/>
      <c r="J628" s="137"/>
      <c r="K628" s="170"/>
      <c r="L628" s="170"/>
      <c r="M628" s="170"/>
    </row>
    <row r="629" spans="1:15" x14ac:dyDescent="0.35">
      <c r="A629" s="137"/>
      <c r="B629" s="137"/>
      <c r="C629" s="137"/>
      <c r="D629" s="137"/>
      <c r="E629" s="137"/>
      <c r="F629" s="137"/>
      <c r="G629" s="102"/>
      <c r="H629" s="137"/>
      <c r="I629" s="137"/>
      <c r="J629" s="137"/>
      <c r="K629" s="170"/>
      <c r="L629" s="170"/>
      <c r="M629" s="170"/>
    </row>
    <row r="630" spans="1:15" x14ac:dyDescent="0.35">
      <c r="A630" s="137"/>
      <c r="B630" s="137"/>
      <c r="C630" s="137"/>
      <c r="D630" s="137"/>
      <c r="E630" s="137"/>
      <c r="F630" s="137"/>
      <c r="G630" s="102"/>
      <c r="H630" s="137"/>
      <c r="I630" s="137"/>
      <c r="J630" s="137"/>
      <c r="K630" s="170"/>
      <c r="L630" s="170"/>
      <c r="M630" s="170"/>
    </row>
    <row r="631" spans="1:15" x14ac:dyDescent="0.35">
      <c r="A631" s="137"/>
      <c r="B631" s="137"/>
      <c r="C631" s="137"/>
      <c r="D631" s="137"/>
      <c r="E631" s="137"/>
      <c r="F631" s="137"/>
      <c r="G631" s="102"/>
      <c r="H631" s="137"/>
      <c r="I631" s="137"/>
      <c r="J631" s="137"/>
      <c r="K631" s="170"/>
      <c r="L631" s="170"/>
      <c r="M631" s="170"/>
    </row>
    <row r="632" spans="1:15" x14ac:dyDescent="0.35">
      <c r="A632" s="137"/>
      <c r="B632" s="137"/>
      <c r="C632" s="137"/>
      <c r="D632" s="137"/>
      <c r="E632" s="137"/>
      <c r="F632" s="137"/>
      <c r="G632" s="102"/>
      <c r="H632" s="137"/>
      <c r="I632" s="137"/>
      <c r="J632" s="137"/>
      <c r="K632" s="170"/>
      <c r="L632" s="170"/>
      <c r="M632" s="170"/>
    </row>
    <row r="633" spans="1:15" x14ac:dyDescent="0.35">
      <c r="A633" s="137"/>
      <c r="B633" s="137"/>
      <c r="C633" s="137"/>
      <c r="D633" s="137"/>
      <c r="E633" s="137"/>
      <c r="F633" s="137"/>
      <c r="G633" s="102"/>
      <c r="H633" s="137"/>
      <c r="I633" s="137"/>
      <c r="J633" s="137"/>
      <c r="K633" s="170"/>
      <c r="L633" s="170"/>
      <c r="M633" s="170"/>
      <c r="N633" s="31"/>
      <c r="O633" s="31"/>
    </row>
    <row r="634" spans="1:15" x14ac:dyDescent="0.35">
      <c r="A634" s="137"/>
      <c r="B634" s="137"/>
      <c r="C634" s="137"/>
      <c r="D634" s="137"/>
      <c r="E634" s="137"/>
      <c r="F634" s="137"/>
      <c r="G634" s="102"/>
      <c r="H634" s="137"/>
      <c r="I634" s="137"/>
      <c r="J634" s="137"/>
      <c r="K634" s="170"/>
      <c r="L634" s="170"/>
      <c r="M634" s="170"/>
      <c r="N634" s="137"/>
      <c r="O634" s="137"/>
    </row>
    <row r="635" spans="1:15" x14ac:dyDescent="0.35">
      <c r="A635" s="137"/>
      <c r="B635" s="137"/>
      <c r="C635" s="137"/>
      <c r="D635" s="137"/>
      <c r="E635" s="137"/>
      <c r="F635" s="137"/>
      <c r="G635" s="102"/>
      <c r="H635" s="137"/>
      <c r="I635" s="137"/>
      <c r="J635" s="137"/>
      <c r="K635" s="170"/>
      <c r="L635" s="170"/>
      <c r="M635" s="170"/>
      <c r="N635" s="31"/>
      <c r="O635" s="31"/>
    </row>
    <row r="636" spans="1:15" x14ac:dyDescent="0.35">
      <c r="A636" s="137"/>
      <c r="B636" s="137"/>
      <c r="C636" s="137"/>
      <c r="D636" s="137"/>
      <c r="E636" s="137"/>
      <c r="F636" s="137"/>
      <c r="G636" s="102"/>
      <c r="H636" s="137"/>
      <c r="I636" s="137"/>
      <c r="J636" s="137"/>
      <c r="K636" s="170"/>
      <c r="L636" s="170"/>
      <c r="M636" s="170"/>
    </row>
    <row r="637" spans="1:15" x14ac:dyDescent="0.35">
      <c r="A637" s="137"/>
      <c r="B637" s="137"/>
      <c r="C637" s="137"/>
      <c r="D637" s="137"/>
      <c r="E637" s="137"/>
      <c r="F637" s="137"/>
      <c r="G637" s="102"/>
      <c r="H637" s="137"/>
      <c r="I637" s="137"/>
      <c r="J637" s="137"/>
      <c r="K637" s="170"/>
      <c r="L637" s="170"/>
      <c r="M637" s="170"/>
    </row>
    <row r="638" spans="1:15" x14ac:dyDescent="0.35">
      <c r="A638" s="137"/>
      <c r="B638" s="137"/>
      <c r="C638" s="137"/>
      <c r="D638" s="137"/>
      <c r="E638" s="137"/>
      <c r="F638" s="137"/>
      <c r="G638" s="102"/>
      <c r="H638" s="137"/>
      <c r="I638" s="137"/>
      <c r="J638" s="137"/>
      <c r="K638" s="170"/>
      <c r="L638" s="170"/>
      <c r="M638" s="170"/>
      <c r="N638" s="31"/>
      <c r="O638" s="31"/>
    </row>
    <row r="639" spans="1:15" x14ac:dyDescent="0.35">
      <c r="A639" s="137"/>
      <c r="B639" s="137"/>
      <c r="C639" s="137"/>
      <c r="D639" s="137"/>
      <c r="E639" s="137"/>
      <c r="F639" s="137"/>
      <c r="G639" s="102"/>
      <c r="H639" s="137"/>
      <c r="I639" s="137"/>
      <c r="J639" s="137"/>
      <c r="K639" s="170"/>
      <c r="L639" s="170"/>
      <c r="M639" s="170"/>
    </row>
    <row r="640" spans="1:15" x14ac:dyDescent="0.35">
      <c r="A640" s="137"/>
      <c r="B640" s="137"/>
      <c r="C640" s="137"/>
      <c r="D640" s="137"/>
      <c r="E640" s="137"/>
      <c r="F640" s="137"/>
      <c r="G640" s="102"/>
      <c r="H640" s="137"/>
      <c r="I640" s="137"/>
      <c r="J640" s="137"/>
      <c r="K640" s="170"/>
      <c r="L640" s="170"/>
      <c r="M640" s="170"/>
    </row>
    <row r="641" spans="1:15" x14ac:dyDescent="0.35">
      <c r="A641" s="137"/>
      <c r="B641" s="137"/>
      <c r="C641" s="137"/>
      <c r="D641" s="137"/>
      <c r="E641" s="137"/>
      <c r="F641" s="137"/>
      <c r="G641" s="102"/>
      <c r="H641" s="137"/>
      <c r="I641" s="137"/>
      <c r="J641" s="137"/>
      <c r="K641" s="170"/>
      <c r="L641" s="170"/>
      <c r="M641" s="170"/>
    </row>
    <row r="642" spans="1:15" x14ac:dyDescent="0.35">
      <c r="A642" s="137"/>
      <c r="B642" s="137"/>
      <c r="C642" s="137"/>
      <c r="D642" s="137"/>
      <c r="E642" s="137"/>
      <c r="F642" s="137"/>
      <c r="G642" s="102"/>
      <c r="H642" s="137"/>
      <c r="I642" s="137"/>
      <c r="J642" s="137"/>
      <c r="K642" s="170"/>
      <c r="L642" s="170"/>
      <c r="M642" s="170"/>
      <c r="N642" s="31"/>
      <c r="O642" s="31"/>
    </row>
    <row r="643" spans="1:15" x14ac:dyDescent="0.35">
      <c r="A643" s="137"/>
      <c r="B643" s="137"/>
      <c r="C643" s="137"/>
      <c r="D643" s="137"/>
      <c r="E643" s="137"/>
      <c r="F643" s="137"/>
      <c r="G643" s="102"/>
      <c r="H643" s="137"/>
      <c r="I643" s="137"/>
      <c r="J643" s="137"/>
      <c r="K643" s="170"/>
      <c r="L643" s="170"/>
      <c r="M643" s="170"/>
    </row>
    <row r="644" spans="1:15" x14ac:dyDescent="0.35">
      <c r="A644" s="137"/>
      <c r="B644" s="137"/>
      <c r="C644" s="137"/>
      <c r="D644" s="137"/>
      <c r="E644" s="137"/>
      <c r="F644" s="137"/>
      <c r="G644" s="102"/>
      <c r="H644" s="137"/>
      <c r="I644" s="137"/>
      <c r="J644" s="137"/>
      <c r="K644" s="170"/>
      <c r="L644" s="170"/>
      <c r="M644" s="170"/>
    </row>
    <row r="645" spans="1:15" x14ac:dyDescent="0.35">
      <c r="A645" s="137"/>
      <c r="B645" s="137"/>
      <c r="C645" s="137"/>
      <c r="D645" s="137"/>
      <c r="E645" s="137"/>
      <c r="F645" s="137"/>
      <c r="G645" s="102"/>
      <c r="H645" s="137"/>
      <c r="I645" s="137"/>
      <c r="J645" s="137"/>
      <c r="K645" s="170"/>
      <c r="L645" s="170"/>
      <c r="M645" s="170"/>
    </row>
    <row r="646" spans="1:15" x14ac:dyDescent="0.35">
      <c r="A646" s="137"/>
      <c r="B646" s="137"/>
      <c r="C646" s="137"/>
      <c r="D646" s="137"/>
      <c r="E646" s="137"/>
      <c r="F646" s="137"/>
      <c r="G646" s="102"/>
      <c r="H646" s="137"/>
      <c r="I646" s="137"/>
      <c r="J646" s="137"/>
      <c r="K646" s="170"/>
      <c r="L646" s="170"/>
      <c r="M646" s="170"/>
    </row>
    <row r="647" spans="1:15" x14ac:dyDescent="0.35">
      <c r="A647" s="137"/>
      <c r="B647" s="137"/>
      <c r="C647" s="137"/>
      <c r="D647" s="137"/>
      <c r="E647" s="137"/>
      <c r="F647" s="137"/>
      <c r="G647" s="102"/>
      <c r="H647" s="137"/>
      <c r="I647" s="137"/>
      <c r="J647" s="137"/>
      <c r="K647" s="170"/>
      <c r="L647" s="170"/>
      <c r="M647" s="170"/>
    </row>
    <row r="648" spans="1:15" x14ac:dyDescent="0.35">
      <c r="A648" s="137"/>
      <c r="B648" s="137"/>
      <c r="C648" s="137"/>
      <c r="D648" s="137"/>
      <c r="E648" s="137"/>
      <c r="F648" s="137"/>
      <c r="G648" s="102"/>
      <c r="H648" s="137"/>
      <c r="I648" s="137"/>
      <c r="J648" s="137"/>
      <c r="K648" s="170"/>
      <c r="L648" s="170"/>
      <c r="M648" s="170"/>
      <c r="N648" s="137"/>
      <c r="O648" s="137"/>
    </row>
    <row r="649" spans="1:15" x14ac:dyDescent="0.35">
      <c r="A649" s="137"/>
      <c r="B649" s="137"/>
      <c r="C649" s="137"/>
      <c r="D649" s="137"/>
      <c r="E649" s="137"/>
      <c r="F649" s="137"/>
      <c r="G649" s="102"/>
      <c r="H649" s="137"/>
      <c r="I649" s="137"/>
      <c r="J649" s="137"/>
      <c r="K649" s="170"/>
      <c r="L649" s="170"/>
      <c r="M649" s="170"/>
    </row>
    <row r="650" spans="1:15" x14ac:dyDescent="0.35">
      <c r="A650" s="137"/>
      <c r="B650" s="137"/>
      <c r="C650" s="137"/>
      <c r="D650" s="137"/>
      <c r="E650" s="137"/>
      <c r="F650" s="137"/>
      <c r="G650" s="102"/>
      <c r="H650" s="137"/>
      <c r="I650" s="137"/>
      <c r="J650" s="137"/>
      <c r="K650" s="170"/>
      <c r="L650" s="170"/>
      <c r="M650" s="170"/>
      <c r="N650" s="137"/>
      <c r="O650" s="137"/>
    </row>
    <row r="651" spans="1:15" x14ac:dyDescent="0.35">
      <c r="A651" s="137"/>
      <c r="B651" s="137"/>
      <c r="C651" s="137"/>
      <c r="D651" s="137"/>
      <c r="E651" s="137"/>
      <c r="F651" s="137"/>
      <c r="G651" s="102"/>
      <c r="H651" s="137"/>
      <c r="I651" s="137"/>
      <c r="J651" s="137"/>
      <c r="K651" s="170"/>
      <c r="L651" s="170"/>
      <c r="M651" s="170"/>
      <c r="N651" s="137"/>
      <c r="O651" s="137"/>
    </row>
    <row r="652" spans="1:15" x14ac:dyDescent="0.35">
      <c r="A652" s="137"/>
      <c r="B652" s="137"/>
      <c r="C652" s="137"/>
      <c r="D652" s="137"/>
      <c r="E652" s="137"/>
      <c r="F652" s="137"/>
      <c r="G652" s="102"/>
      <c r="H652" s="137"/>
      <c r="I652" s="137"/>
      <c r="J652" s="137"/>
      <c r="K652" s="170"/>
      <c r="L652" s="170"/>
      <c r="M652" s="170"/>
      <c r="N652" s="31"/>
      <c r="O652" s="31"/>
    </row>
    <row r="653" spans="1:15" x14ac:dyDescent="0.35">
      <c r="A653" s="137"/>
      <c r="B653" s="137"/>
      <c r="C653" s="137"/>
      <c r="D653" s="137"/>
      <c r="E653" s="137"/>
      <c r="F653" s="137"/>
      <c r="G653" s="102"/>
      <c r="H653" s="137"/>
      <c r="I653" s="137"/>
      <c r="J653" s="137"/>
      <c r="K653" s="170"/>
      <c r="L653" s="170"/>
      <c r="M653" s="170"/>
    </row>
    <row r="654" spans="1:15" x14ac:dyDescent="0.35">
      <c r="A654" s="137"/>
      <c r="B654" s="137"/>
      <c r="C654" s="137"/>
      <c r="D654" s="137"/>
      <c r="E654" s="137"/>
      <c r="F654" s="137"/>
      <c r="G654" s="102"/>
      <c r="H654" s="137"/>
      <c r="I654" s="137"/>
      <c r="J654" s="137"/>
      <c r="K654" s="170"/>
      <c r="L654" s="170"/>
      <c r="M654" s="170"/>
    </row>
    <row r="655" spans="1:15" x14ac:dyDescent="0.35">
      <c r="A655" s="137"/>
      <c r="B655" s="137"/>
      <c r="C655" s="137"/>
      <c r="D655" s="137"/>
      <c r="E655" s="137"/>
      <c r="F655" s="137"/>
      <c r="G655" s="102"/>
      <c r="H655" s="137"/>
      <c r="I655" s="137"/>
      <c r="J655" s="137"/>
      <c r="K655" s="170"/>
      <c r="L655" s="170"/>
      <c r="M655" s="170"/>
    </row>
    <row r="656" spans="1:15" x14ac:dyDescent="0.35">
      <c r="A656" s="137"/>
      <c r="B656" s="137"/>
      <c r="C656" s="137"/>
      <c r="D656" s="137"/>
      <c r="E656" s="137"/>
      <c r="F656" s="137"/>
      <c r="G656" s="102"/>
      <c r="H656" s="137"/>
      <c r="I656" s="137"/>
      <c r="J656" s="137"/>
      <c r="K656" s="170"/>
      <c r="L656" s="170"/>
      <c r="M656" s="170"/>
    </row>
    <row r="657" spans="1:15" x14ac:dyDescent="0.35">
      <c r="A657" s="137"/>
      <c r="B657" s="137"/>
      <c r="C657" s="137"/>
      <c r="D657" s="137"/>
      <c r="E657" s="137"/>
      <c r="F657" s="137"/>
      <c r="G657" s="102"/>
      <c r="H657" s="137"/>
      <c r="I657" s="137"/>
      <c r="J657" s="137"/>
      <c r="K657" s="170"/>
      <c r="L657" s="170"/>
      <c r="M657" s="170"/>
    </row>
    <row r="658" spans="1:15" x14ac:dyDescent="0.35">
      <c r="A658" s="137"/>
      <c r="B658" s="137"/>
      <c r="C658" s="137"/>
      <c r="D658" s="137"/>
      <c r="E658" s="137"/>
      <c r="F658" s="137"/>
      <c r="G658" s="102"/>
      <c r="H658" s="137"/>
      <c r="I658" s="137"/>
      <c r="J658" s="137"/>
      <c r="K658" s="170"/>
      <c r="L658" s="170"/>
      <c r="M658" s="170"/>
      <c r="N658" s="137"/>
      <c r="O658" s="137"/>
    </row>
    <row r="659" spans="1:15" x14ac:dyDescent="0.35">
      <c r="A659" s="137"/>
      <c r="B659" s="137"/>
      <c r="C659" s="137"/>
      <c r="D659" s="137"/>
      <c r="E659" s="137"/>
      <c r="F659" s="137"/>
      <c r="G659" s="102"/>
      <c r="H659" s="137"/>
      <c r="I659" s="137"/>
      <c r="J659" s="137"/>
      <c r="K659" s="170"/>
      <c r="L659" s="170"/>
      <c r="M659" s="170"/>
    </row>
    <row r="660" spans="1:15" x14ac:dyDescent="0.35">
      <c r="A660" s="137"/>
      <c r="B660" s="137"/>
      <c r="C660" s="137"/>
      <c r="D660" s="137"/>
      <c r="E660" s="137"/>
      <c r="F660" s="137"/>
      <c r="G660" s="102"/>
      <c r="H660" s="137"/>
      <c r="I660" s="137"/>
      <c r="J660" s="137"/>
      <c r="K660" s="170"/>
      <c r="L660" s="170"/>
      <c r="M660" s="170"/>
      <c r="N660" s="31"/>
      <c r="O660" s="31"/>
    </row>
    <row r="661" spans="1:15" x14ac:dyDescent="0.35">
      <c r="A661" s="137"/>
      <c r="B661" s="137"/>
      <c r="C661" s="137"/>
      <c r="D661" s="137"/>
      <c r="E661" s="137"/>
      <c r="F661" s="137"/>
      <c r="G661" s="102"/>
      <c r="H661" s="137"/>
      <c r="I661" s="137"/>
      <c r="J661" s="137"/>
      <c r="K661" s="170"/>
      <c r="L661" s="170"/>
      <c r="M661" s="170"/>
      <c r="N661" s="137"/>
      <c r="O661" s="137"/>
    </row>
    <row r="662" spans="1:15" x14ac:dyDescent="0.35">
      <c r="A662" s="137"/>
      <c r="B662" s="137"/>
      <c r="C662" s="137"/>
      <c r="D662" s="137"/>
      <c r="E662" s="137"/>
      <c r="F662" s="137"/>
      <c r="G662" s="102"/>
      <c r="H662" s="137"/>
      <c r="I662" s="137"/>
      <c r="J662" s="137"/>
      <c r="K662" s="170"/>
      <c r="L662" s="170"/>
      <c r="M662" s="170"/>
      <c r="N662" s="137"/>
      <c r="O662" s="137"/>
    </row>
    <row r="663" spans="1:15" x14ac:dyDescent="0.35">
      <c r="A663" s="137"/>
      <c r="B663" s="137"/>
      <c r="C663" s="137"/>
      <c r="D663" s="137"/>
      <c r="E663" s="137"/>
      <c r="F663" s="137"/>
      <c r="G663" s="102"/>
      <c r="H663" s="137"/>
      <c r="I663" s="137"/>
      <c r="J663" s="137"/>
      <c r="K663" s="170"/>
      <c r="L663" s="170"/>
      <c r="M663" s="170"/>
    </row>
    <row r="664" spans="1:15" x14ac:dyDescent="0.35">
      <c r="A664" s="137"/>
      <c r="B664" s="137"/>
      <c r="C664" s="137"/>
      <c r="D664" s="137"/>
      <c r="E664" s="137"/>
      <c r="F664" s="137"/>
      <c r="G664" s="102"/>
      <c r="H664" s="137"/>
      <c r="I664" s="137"/>
      <c r="J664" s="137"/>
      <c r="K664" s="170"/>
      <c r="L664" s="170"/>
      <c r="M664" s="170"/>
      <c r="N664" s="31"/>
      <c r="O664" s="31"/>
    </row>
    <row r="665" spans="1:15" x14ac:dyDescent="0.35">
      <c r="A665" s="137"/>
      <c r="B665" s="137"/>
      <c r="C665" s="137"/>
      <c r="D665" s="137"/>
      <c r="E665" s="137"/>
      <c r="F665" s="137"/>
      <c r="G665" s="102"/>
      <c r="H665" s="137"/>
      <c r="I665" s="137"/>
      <c r="J665" s="137"/>
      <c r="K665" s="170"/>
      <c r="L665" s="170"/>
      <c r="M665" s="170"/>
      <c r="N665" s="137"/>
      <c r="O665" s="137"/>
    </row>
    <row r="666" spans="1:15" x14ac:dyDescent="0.35">
      <c r="A666" s="137"/>
      <c r="B666" s="137"/>
      <c r="C666" s="137"/>
      <c r="D666" s="137"/>
      <c r="E666" s="137"/>
      <c r="F666" s="137"/>
      <c r="G666" s="102"/>
      <c r="H666" s="137"/>
      <c r="I666" s="137"/>
      <c r="J666" s="137"/>
      <c r="K666" s="170"/>
      <c r="L666" s="170"/>
      <c r="M666" s="170"/>
      <c r="N666" s="137"/>
      <c r="O666" s="137"/>
    </row>
    <row r="667" spans="1:15" x14ac:dyDescent="0.35">
      <c r="A667" s="137"/>
      <c r="B667" s="137"/>
      <c r="C667" s="137"/>
      <c r="D667" s="137"/>
      <c r="E667" s="137"/>
      <c r="F667" s="137"/>
      <c r="G667" s="102"/>
      <c r="H667" s="137"/>
      <c r="I667" s="137"/>
      <c r="J667" s="137"/>
      <c r="K667" s="170"/>
      <c r="L667" s="170"/>
      <c r="M667" s="170"/>
      <c r="N667" s="137"/>
      <c r="O667" s="137"/>
    </row>
    <row r="668" spans="1:15" x14ac:dyDescent="0.35">
      <c r="A668" s="137"/>
      <c r="B668" s="137"/>
      <c r="C668" s="137"/>
      <c r="D668" s="137"/>
      <c r="E668" s="137"/>
      <c r="F668" s="137"/>
      <c r="G668" s="102"/>
      <c r="H668" s="137"/>
      <c r="I668" s="137"/>
      <c r="J668" s="137"/>
      <c r="K668" s="170"/>
      <c r="L668" s="170"/>
      <c r="M668" s="170"/>
      <c r="N668" s="137"/>
      <c r="O668" s="137"/>
    </row>
    <row r="669" spans="1:15" x14ac:dyDescent="0.35">
      <c r="A669" s="137"/>
      <c r="B669" s="137"/>
      <c r="C669" s="137"/>
      <c r="D669" s="137"/>
      <c r="E669" s="137"/>
      <c r="F669" s="137"/>
      <c r="G669" s="102"/>
      <c r="H669" s="137"/>
      <c r="I669" s="137"/>
      <c r="J669" s="137"/>
      <c r="K669" s="170"/>
      <c r="L669" s="170"/>
      <c r="M669" s="170"/>
      <c r="N669" s="137"/>
      <c r="O669" s="137"/>
    </row>
    <row r="670" spans="1:15" x14ac:dyDescent="0.35">
      <c r="A670" s="137"/>
      <c r="B670" s="137"/>
      <c r="C670" s="137"/>
      <c r="D670" s="137"/>
      <c r="E670" s="137"/>
      <c r="F670" s="137"/>
      <c r="G670" s="102"/>
      <c r="H670" s="137"/>
      <c r="I670" s="137"/>
      <c r="J670" s="137"/>
      <c r="K670" s="170"/>
      <c r="L670" s="170"/>
      <c r="M670" s="170"/>
      <c r="N670" s="137"/>
      <c r="O670" s="137"/>
    </row>
    <row r="671" spans="1:15" x14ac:dyDescent="0.35">
      <c r="A671" s="137"/>
      <c r="B671" s="137"/>
      <c r="C671" s="137"/>
      <c r="D671" s="137"/>
      <c r="E671" s="137"/>
      <c r="F671" s="137"/>
      <c r="G671" s="102"/>
      <c r="H671" s="137"/>
      <c r="I671" s="137"/>
      <c r="J671" s="137"/>
      <c r="K671" s="170"/>
      <c r="L671" s="170"/>
      <c r="M671" s="170"/>
    </row>
    <row r="672" spans="1:15" x14ac:dyDescent="0.35">
      <c r="A672" s="137"/>
      <c r="B672" s="137"/>
      <c r="C672" s="137"/>
      <c r="D672" s="137"/>
      <c r="E672" s="137"/>
      <c r="F672" s="137"/>
      <c r="G672" s="102"/>
      <c r="H672" s="137"/>
      <c r="I672" s="137"/>
      <c r="J672" s="137"/>
      <c r="K672" s="170"/>
      <c r="L672" s="170"/>
      <c r="M672" s="170"/>
    </row>
    <row r="673" spans="1:13" x14ac:dyDescent="0.35">
      <c r="A673" s="137"/>
      <c r="B673" s="137"/>
      <c r="C673" s="137"/>
      <c r="D673" s="137"/>
      <c r="E673" s="137"/>
      <c r="F673" s="137"/>
      <c r="G673" s="102"/>
      <c r="H673" s="137"/>
      <c r="I673" s="137"/>
      <c r="J673" s="137"/>
      <c r="K673" s="170"/>
      <c r="L673" s="170"/>
      <c r="M673" s="170"/>
    </row>
    <row r="674" spans="1:13" x14ac:dyDescent="0.35">
      <c r="A674" s="137"/>
      <c r="B674" s="137"/>
      <c r="C674" s="137"/>
      <c r="D674" s="137"/>
      <c r="E674" s="137"/>
      <c r="F674" s="137"/>
      <c r="G674" s="102"/>
      <c r="H674" s="137"/>
      <c r="I674" s="137"/>
      <c r="J674" s="137"/>
      <c r="K674" s="170"/>
      <c r="L674" s="170"/>
      <c r="M674" s="170"/>
    </row>
    <row r="675" spans="1:13" x14ac:dyDescent="0.35">
      <c r="A675" s="137"/>
      <c r="B675" s="137"/>
      <c r="C675" s="137"/>
      <c r="D675" s="137"/>
      <c r="E675" s="137"/>
      <c r="F675" s="137"/>
      <c r="G675" s="102"/>
      <c r="H675" s="137"/>
      <c r="I675" s="137"/>
      <c r="J675" s="137"/>
      <c r="K675" s="170"/>
      <c r="L675" s="170"/>
      <c r="M675" s="170"/>
    </row>
    <row r="676" spans="1:13" x14ac:dyDescent="0.35">
      <c r="A676" s="137"/>
      <c r="B676" s="137"/>
      <c r="C676" s="137"/>
      <c r="D676" s="137"/>
      <c r="E676" s="137"/>
      <c r="F676" s="137"/>
      <c r="G676" s="102"/>
      <c r="H676" s="137"/>
      <c r="I676" s="137"/>
      <c r="J676" s="137"/>
      <c r="K676" s="170"/>
      <c r="L676" s="170"/>
      <c r="M676" s="170"/>
    </row>
    <row r="677" spans="1:13" x14ac:dyDescent="0.35">
      <c r="A677" s="137"/>
      <c r="B677" s="137"/>
      <c r="C677" s="137"/>
      <c r="D677" s="137"/>
      <c r="E677" s="137"/>
      <c r="F677" s="137"/>
      <c r="G677" s="102"/>
      <c r="H677" s="137"/>
      <c r="I677" s="137"/>
      <c r="J677" s="137"/>
      <c r="K677" s="170"/>
      <c r="L677" s="170"/>
      <c r="M677" s="170"/>
    </row>
    <row r="678" spans="1:13" x14ac:dyDescent="0.35">
      <c r="A678" s="137"/>
      <c r="B678" s="137"/>
      <c r="C678" s="137"/>
      <c r="D678" s="137"/>
      <c r="E678" s="137"/>
      <c r="F678" s="137"/>
      <c r="G678" s="102"/>
      <c r="H678" s="137"/>
      <c r="I678" s="137"/>
      <c r="J678" s="137"/>
      <c r="K678" s="170"/>
      <c r="L678" s="170"/>
      <c r="M678" s="170"/>
    </row>
    <row r="679" spans="1:13" x14ac:dyDescent="0.35">
      <c r="A679" s="137"/>
      <c r="B679" s="137"/>
      <c r="C679" s="137"/>
      <c r="D679" s="137"/>
      <c r="E679" s="137"/>
      <c r="F679" s="137"/>
      <c r="G679" s="102"/>
      <c r="H679" s="137"/>
      <c r="I679" s="137"/>
      <c r="J679" s="137"/>
      <c r="K679" s="170"/>
      <c r="L679" s="170"/>
      <c r="M679" s="170"/>
    </row>
    <row r="680" spans="1:13" x14ac:dyDescent="0.35">
      <c r="A680" s="137"/>
      <c r="B680" s="137"/>
      <c r="C680" s="137"/>
      <c r="D680" s="137"/>
      <c r="E680" s="137"/>
      <c r="F680" s="137"/>
      <c r="G680" s="102"/>
      <c r="H680" s="137"/>
      <c r="I680" s="137"/>
      <c r="J680" s="137"/>
      <c r="K680" s="170"/>
      <c r="L680" s="170"/>
      <c r="M680" s="170"/>
    </row>
    <row r="681" spans="1:13" x14ac:dyDescent="0.35">
      <c r="A681" s="137"/>
      <c r="B681" s="137"/>
      <c r="C681" s="137"/>
      <c r="D681" s="137"/>
      <c r="E681" s="137"/>
      <c r="F681" s="137"/>
      <c r="G681" s="102"/>
      <c r="H681" s="137"/>
      <c r="I681" s="137"/>
      <c r="J681" s="137"/>
      <c r="K681" s="170"/>
      <c r="L681" s="170"/>
      <c r="M681" s="170"/>
    </row>
    <row r="682" spans="1:13" x14ac:dyDescent="0.35">
      <c r="A682" s="137"/>
      <c r="B682" s="137"/>
      <c r="C682" s="137"/>
      <c r="D682" s="137"/>
      <c r="E682" s="137"/>
      <c r="F682" s="137"/>
      <c r="G682" s="102"/>
      <c r="H682" s="137"/>
      <c r="I682" s="137"/>
      <c r="J682" s="137"/>
      <c r="K682" s="170"/>
      <c r="L682" s="170"/>
      <c r="M682" s="170"/>
    </row>
    <row r="683" spans="1:13" x14ac:dyDescent="0.35">
      <c r="A683" s="137"/>
      <c r="B683" s="137"/>
      <c r="C683" s="137"/>
      <c r="D683" s="137"/>
      <c r="E683" s="137"/>
      <c r="F683" s="137"/>
      <c r="G683" s="102"/>
      <c r="H683" s="137"/>
      <c r="I683" s="137"/>
      <c r="J683" s="137"/>
      <c r="K683" s="170"/>
      <c r="L683" s="170"/>
      <c r="M683" s="170"/>
    </row>
    <row r="684" spans="1:13" x14ac:dyDescent="0.35">
      <c r="A684" s="137"/>
      <c r="B684" s="137"/>
      <c r="C684" s="137"/>
      <c r="D684" s="137"/>
      <c r="E684" s="137"/>
      <c r="F684" s="137"/>
      <c r="G684" s="102"/>
      <c r="H684" s="137"/>
      <c r="I684" s="137"/>
      <c r="J684" s="137"/>
      <c r="K684" s="170"/>
      <c r="L684" s="170"/>
      <c r="M684" s="170"/>
    </row>
    <row r="685" spans="1:13" x14ac:dyDescent="0.35">
      <c r="A685" s="137"/>
      <c r="B685" s="137"/>
      <c r="C685" s="137"/>
      <c r="D685" s="137"/>
      <c r="E685" s="137"/>
      <c r="F685" s="137"/>
      <c r="G685" s="102"/>
      <c r="H685" s="137"/>
      <c r="I685" s="137"/>
      <c r="J685" s="137"/>
      <c r="K685" s="170"/>
      <c r="L685" s="170"/>
      <c r="M685" s="170"/>
    </row>
    <row r="686" spans="1:13" x14ac:dyDescent="0.35">
      <c r="A686" s="137"/>
      <c r="B686" s="137"/>
      <c r="C686" s="137"/>
      <c r="D686" s="137"/>
      <c r="E686" s="137"/>
      <c r="F686" s="137"/>
      <c r="G686" s="102"/>
      <c r="H686" s="137"/>
      <c r="I686" s="137"/>
      <c r="J686" s="137"/>
      <c r="K686" s="170"/>
      <c r="L686" s="170"/>
      <c r="M686" s="170"/>
    </row>
    <row r="687" spans="1:13" x14ac:dyDescent="0.35">
      <c r="A687" s="137"/>
      <c r="B687" s="137"/>
      <c r="C687" s="137"/>
      <c r="D687" s="137"/>
      <c r="E687" s="137"/>
      <c r="F687" s="137"/>
      <c r="G687" s="102"/>
      <c r="H687" s="137"/>
      <c r="I687" s="137"/>
      <c r="J687" s="137"/>
      <c r="K687" s="170"/>
      <c r="L687" s="170"/>
      <c r="M687" s="170"/>
    </row>
    <row r="688" spans="1:13" x14ac:dyDescent="0.35">
      <c r="A688" s="137"/>
      <c r="B688" s="137"/>
      <c r="C688" s="137"/>
      <c r="D688" s="137"/>
      <c r="E688" s="137"/>
      <c r="F688" s="137"/>
      <c r="G688" s="102"/>
      <c r="H688" s="137"/>
      <c r="I688" s="137"/>
      <c r="J688" s="137"/>
      <c r="K688" s="170"/>
      <c r="L688" s="170"/>
      <c r="M688" s="170"/>
    </row>
    <row r="689" spans="1:15" x14ac:dyDescent="0.35">
      <c r="A689" s="137"/>
      <c r="B689" s="137"/>
      <c r="C689" s="137"/>
      <c r="D689" s="137"/>
      <c r="E689" s="137"/>
      <c r="F689" s="137"/>
      <c r="G689" s="102"/>
      <c r="H689" s="137"/>
      <c r="I689" s="137"/>
      <c r="J689" s="137"/>
      <c r="K689" s="170"/>
      <c r="L689" s="170"/>
      <c r="M689" s="170"/>
    </row>
    <row r="690" spans="1:15" x14ac:dyDescent="0.35">
      <c r="A690" s="137"/>
      <c r="B690" s="137"/>
      <c r="C690" s="137"/>
      <c r="D690" s="137"/>
      <c r="E690" s="137"/>
      <c r="F690" s="137"/>
      <c r="G690" s="102"/>
      <c r="H690" s="137"/>
      <c r="I690" s="137"/>
      <c r="J690" s="137"/>
      <c r="K690" s="170"/>
      <c r="L690" s="170"/>
      <c r="M690" s="170"/>
      <c r="N690" s="137"/>
      <c r="O690" s="137"/>
    </row>
    <row r="691" spans="1:15" x14ac:dyDescent="0.35">
      <c r="A691" s="137"/>
      <c r="B691" s="137"/>
      <c r="C691" s="137"/>
      <c r="D691" s="137"/>
      <c r="E691" s="137"/>
      <c r="F691" s="137"/>
      <c r="G691" s="102"/>
      <c r="H691" s="137"/>
      <c r="I691" s="137"/>
      <c r="J691" s="137"/>
      <c r="K691" s="170"/>
      <c r="L691" s="170"/>
      <c r="M691" s="170"/>
    </row>
    <row r="692" spans="1:15" x14ac:dyDescent="0.35">
      <c r="A692" s="137"/>
      <c r="B692" s="137"/>
      <c r="C692" s="137"/>
      <c r="D692" s="137"/>
      <c r="E692" s="137"/>
      <c r="F692" s="137"/>
      <c r="G692" s="102"/>
      <c r="H692" s="137"/>
      <c r="I692" s="137"/>
      <c r="J692" s="137"/>
      <c r="K692" s="170"/>
      <c r="L692" s="170"/>
      <c r="M692" s="170"/>
    </row>
    <row r="693" spans="1:15" x14ac:dyDescent="0.35">
      <c r="A693" s="137"/>
      <c r="B693" s="137"/>
      <c r="C693" s="137"/>
      <c r="D693" s="137"/>
      <c r="E693" s="137"/>
      <c r="F693" s="137"/>
      <c r="G693" s="102"/>
      <c r="H693" s="137"/>
      <c r="I693" s="137"/>
      <c r="J693" s="137"/>
      <c r="K693" s="170"/>
      <c r="L693" s="170"/>
      <c r="M693" s="170"/>
      <c r="N693" s="137"/>
      <c r="O693" s="137"/>
    </row>
    <row r="694" spans="1:15" x14ac:dyDescent="0.35">
      <c r="A694" s="137"/>
      <c r="B694" s="137"/>
      <c r="C694" s="137"/>
      <c r="D694" s="137"/>
      <c r="E694" s="137"/>
      <c r="F694" s="137"/>
      <c r="G694" s="102"/>
      <c r="H694" s="137"/>
      <c r="I694" s="137"/>
      <c r="J694" s="137"/>
      <c r="K694" s="170"/>
      <c r="L694" s="170"/>
      <c r="M694" s="170"/>
    </row>
    <row r="695" spans="1:15" x14ac:dyDescent="0.35">
      <c r="A695" s="137"/>
      <c r="B695" s="137"/>
      <c r="C695" s="137"/>
      <c r="D695" s="137"/>
      <c r="E695" s="137"/>
      <c r="F695" s="137"/>
      <c r="G695" s="102"/>
      <c r="H695" s="137"/>
      <c r="I695" s="137"/>
      <c r="J695" s="137"/>
      <c r="K695" s="170"/>
      <c r="L695" s="170"/>
      <c r="M695" s="170"/>
    </row>
    <row r="696" spans="1:15" x14ac:dyDescent="0.35">
      <c r="A696" s="137"/>
      <c r="B696" s="137"/>
      <c r="C696" s="137"/>
      <c r="D696" s="137"/>
      <c r="E696" s="137"/>
      <c r="F696" s="137"/>
      <c r="G696" s="102"/>
      <c r="H696" s="137"/>
      <c r="I696" s="137"/>
      <c r="J696" s="137"/>
      <c r="K696" s="170"/>
      <c r="L696" s="170"/>
      <c r="M696" s="170"/>
    </row>
    <row r="697" spans="1:15" x14ac:dyDescent="0.35">
      <c r="A697" s="137"/>
      <c r="B697" s="137"/>
      <c r="C697" s="137"/>
      <c r="D697" s="137"/>
      <c r="E697" s="137"/>
      <c r="F697" s="137"/>
      <c r="G697" s="102"/>
      <c r="H697" s="137"/>
      <c r="I697" s="137"/>
      <c r="J697" s="137"/>
      <c r="K697" s="170"/>
      <c r="L697" s="170"/>
      <c r="M697" s="170"/>
    </row>
    <row r="698" spans="1:15" x14ac:dyDescent="0.35">
      <c r="A698" s="137"/>
      <c r="B698" s="137"/>
      <c r="C698" s="137"/>
      <c r="D698" s="137"/>
      <c r="E698" s="137"/>
      <c r="F698" s="137"/>
      <c r="G698" s="102"/>
      <c r="H698" s="137"/>
      <c r="I698" s="137"/>
      <c r="J698" s="137"/>
      <c r="K698" s="170"/>
      <c r="L698" s="170"/>
      <c r="M698" s="170"/>
    </row>
    <row r="699" spans="1:15" x14ac:dyDescent="0.35">
      <c r="A699" s="137"/>
      <c r="B699" s="137"/>
      <c r="C699" s="137"/>
      <c r="D699" s="137"/>
      <c r="E699" s="137"/>
      <c r="F699" s="137"/>
      <c r="G699" s="102"/>
      <c r="H699" s="137"/>
      <c r="I699" s="137"/>
      <c r="J699" s="137"/>
      <c r="K699" s="170"/>
      <c r="L699" s="170"/>
      <c r="M699" s="170"/>
    </row>
    <row r="700" spans="1:15" x14ac:dyDescent="0.35">
      <c r="A700" s="137"/>
      <c r="B700" s="137"/>
      <c r="C700" s="137"/>
      <c r="D700" s="137"/>
      <c r="E700" s="137"/>
      <c r="F700" s="137"/>
      <c r="G700" s="102"/>
      <c r="H700" s="137"/>
      <c r="I700" s="137"/>
      <c r="J700" s="137"/>
      <c r="K700" s="170"/>
      <c r="L700" s="170"/>
      <c r="M700" s="170"/>
      <c r="N700" s="31"/>
      <c r="O700" s="31"/>
    </row>
    <row r="701" spans="1:15" x14ac:dyDescent="0.35">
      <c r="A701" s="137"/>
      <c r="B701" s="137"/>
      <c r="C701" s="137"/>
      <c r="D701" s="137"/>
      <c r="E701" s="137"/>
      <c r="F701" s="137"/>
      <c r="G701" s="102"/>
      <c r="H701" s="137"/>
      <c r="I701" s="137"/>
      <c r="J701" s="137"/>
      <c r="K701" s="170"/>
      <c r="L701" s="170"/>
      <c r="M701" s="170"/>
    </row>
    <row r="702" spans="1:15" x14ac:dyDescent="0.35">
      <c r="A702" s="137"/>
      <c r="B702" s="137"/>
      <c r="C702" s="137"/>
      <c r="D702" s="137"/>
      <c r="E702" s="137"/>
      <c r="F702" s="137"/>
      <c r="G702" s="102"/>
      <c r="H702" s="137"/>
      <c r="I702" s="137"/>
      <c r="J702" s="137"/>
      <c r="K702" s="170"/>
      <c r="L702" s="170"/>
      <c r="M702" s="170"/>
      <c r="N702" s="31"/>
      <c r="O702" s="31"/>
    </row>
    <row r="703" spans="1:15" x14ac:dyDescent="0.35">
      <c r="A703" s="137"/>
      <c r="B703" s="137"/>
      <c r="C703" s="137"/>
      <c r="D703" s="137"/>
      <c r="E703" s="137"/>
      <c r="F703" s="137"/>
      <c r="G703" s="102"/>
      <c r="H703" s="137"/>
      <c r="I703" s="137"/>
      <c r="J703" s="137"/>
      <c r="K703" s="170"/>
      <c r="L703" s="170"/>
      <c r="M703" s="170"/>
      <c r="N703" s="137"/>
      <c r="O703" s="137"/>
    </row>
    <row r="704" spans="1:15" x14ac:dyDescent="0.35">
      <c r="A704" s="137"/>
      <c r="B704" s="137"/>
      <c r="C704" s="137"/>
      <c r="D704" s="137"/>
      <c r="E704" s="137"/>
      <c r="F704" s="137"/>
      <c r="G704" s="102"/>
      <c r="H704" s="137"/>
      <c r="I704" s="137"/>
      <c r="J704" s="137"/>
      <c r="K704" s="170"/>
      <c r="L704" s="170"/>
      <c r="M704" s="170"/>
      <c r="N704" s="31"/>
      <c r="O704" s="31"/>
    </row>
    <row r="705" spans="1:15" x14ac:dyDescent="0.35">
      <c r="A705" s="137"/>
      <c r="B705" s="137"/>
      <c r="C705" s="137"/>
      <c r="D705" s="137"/>
      <c r="E705" s="137"/>
      <c r="F705" s="137"/>
      <c r="G705" s="102"/>
      <c r="H705" s="137"/>
      <c r="I705" s="137"/>
      <c r="J705" s="137"/>
      <c r="K705" s="170"/>
      <c r="L705" s="170"/>
      <c r="M705" s="170"/>
      <c r="N705" s="31"/>
      <c r="O705" s="31"/>
    </row>
    <row r="706" spans="1:15" x14ac:dyDescent="0.35">
      <c r="A706" s="137"/>
      <c r="B706" s="137"/>
      <c r="C706" s="137"/>
      <c r="D706" s="137"/>
      <c r="E706" s="137"/>
      <c r="F706" s="137"/>
      <c r="G706" s="102"/>
      <c r="H706" s="137"/>
      <c r="I706" s="137"/>
      <c r="J706" s="137"/>
      <c r="K706" s="170"/>
      <c r="L706" s="170"/>
      <c r="M706" s="170"/>
    </row>
    <row r="707" spans="1:15" x14ac:dyDescent="0.35">
      <c r="A707" s="137"/>
      <c r="B707" s="137"/>
      <c r="C707" s="137"/>
      <c r="D707" s="137"/>
      <c r="E707" s="137"/>
      <c r="F707" s="137"/>
      <c r="G707" s="102"/>
      <c r="H707" s="137"/>
      <c r="I707" s="137"/>
      <c r="J707" s="137"/>
      <c r="K707" s="170"/>
      <c r="L707" s="170"/>
      <c r="M707" s="170"/>
    </row>
    <row r="708" spans="1:15" x14ac:dyDescent="0.35">
      <c r="A708" s="137"/>
      <c r="B708" s="137"/>
      <c r="C708" s="137"/>
      <c r="D708" s="137"/>
      <c r="E708" s="137"/>
      <c r="F708" s="137"/>
      <c r="G708" s="102"/>
      <c r="H708" s="137"/>
      <c r="I708" s="137"/>
      <c r="J708" s="137"/>
      <c r="K708" s="170"/>
      <c r="L708" s="170"/>
      <c r="M708" s="170"/>
    </row>
    <row r="709" spans="1:15" x14ac:dyDescent="0.35">
      <c r="A709" s="137"/>
      <c r="B709" s="137"/>
      <c r="C709" s="137"/>
      <c r="D709" s="137"/>
      <c r="E709" s="137"/>
      <c r="F709" s="137"/>
      <c r="G709" s="102"/>
      <c r="H709" s="137"/>
      <c r="I709" s="137"/>
      <c r="J709" s="137"/>
      <c r="K709" s="170"/>
      <c r="L709" s="170"/>
      <c r="M709" s="170"/>
      <c r="N709" s="137"/>
      <c r="O709" s="137"/>
    </row>
    <row r="710" spans="1:15" x14ac:dyDescent="0.35">
      <c r="A710" s="137"/>
      <c r="B710" s="137"/>
      <c r="C710" s="137"/>
      <c r="D710" s="137"/>
      <c r="E710" s="137"/>
      <c r="F710" s="137"/>
      <c r="G710" s="102"/>
      <c r="H710" s="137"/>
      <c r="I710" s="137"/>
      <c r="J710" s="137"/>
      <c r="K710" s="170"/>
      <c r="L710" s="170"/>
      <c r="M710" s="170"/>
    </row>
    <row r="711" spans="1:15" x14ac:dyDescent="0.35">
      <c r="A711" s="137"/>
      <c r="B711" s="137"/>
      <c r="C711" s="137"/>
      <c r="D711" s="137"/>
      <c r="E711" s="137"/>
      <c r="F711" s="137"/>
      <c r="G711" s="102"/>
      <c r="H711" s="137"/>
      <c r="I711" s="137"/>
      <c r="J711" s="137"/>
      <c r="K711" s="170"/>
      <c r="L711" s="170"/>
      <c r="M711" s="170"/>
    </row>
    <row r="712" spans="1:15" x14ac:dyDescent="0.35">
      <c r="A712" s="137"/>
      <c r="B712" s="137"/>
      <c r="C712" s="137"/>
      <c r="D712" s="137"/>
      <c r="E712" s="137"/>
      <c r="F712" s="137"/>
      <c r="G712" s="102"/>
      <c r="H712" s="137"/>
      <c r="I712" s="137"/>
      <c r="J712" s="137"/>
      <c r="K712" s="170"/>
      <c r="L712" s="170"/>
      <c r="M712" s="170"/>
    </row>
    <row r="713" spans="1:15" x14ac:dyDescent="0.35">
      <c r="A713" s="137"/>
      <c r="B713" s="137"/>
      <c r="C713" s="137"/>
      <c r="D713" s="137"/>
      <c r="E713" s="137"/>
      <c r="F713" s="137"/>
      <c r="G713" s="102"/>
      <c r="H713" s="137"/>
      <c r="I713" s="137"/>
      <c r="J713" s="137"/>
      <c r="K713" s="170"/>
      <c r="L713" s="170"/>
      <c r="M713" s="170"/>
      <c r="N713" s="137"/>
      <c r="O713" s="137"/>
    </row>
    <row r="714" spans="1:15" x14ac:dyDescent="0.35">
      <c r="A714" s="137"/>
      <c r="B714" s="137"/>
      <c r="C714" s="137"/>
      <c r="D714" s="137"/>
      <c r="E714" s="137"/>
      <c r="F714" s="137"/>
      <c r="G714" s="102"/>
      <c r="H714" s="137"/>
      <c r="I714" s="137"/>
      <c r="J714" s="137"/>
      <c r="K714" s="170"/>
      <c r="L714" s="170"/>
      <c r="M714" s="170"/>
    </row>
    <row r="715" spans="1:15" x14ac:dyDescent="0.35">
      <c r="A715" s="137"/>
      <c r="B715" s="137"/>
      <c r="C715" s="137"/>
      <c r="D715" s="137"/>
      <c r="E715" s="137"/>
      <c r="F715" s="137"/>
      <c r="G715" s="102"/>
      <c r="H715" s="137"/>
      <c r="I715" s="137"/>
      <c r="J715" s="137"/>
      <c r="K715" s="170"/>
      <c r="L715" s="170"/>
      <c r="M715" s="170"/>
      <c r="N715" s="137"/>
      <c r="O715" s="137"/>
    </row>
    <row r="716" spans="1:15" x14ac:dyDescent="0.35">
      <c r="A716" s="137"/>
      <c r="B716" s="137"/>
      <c r="C716" s="137"/>
      <c r="D716" s="137"/>
      <c r="E716" s="137"/>
      <c r="F716" s="137"/>
      <c r="G716" s="102"/>
      <c r="H716" s="137"/>
      <c r="I716" s="137"/>
      <c r="J716" s="137"/>
      <c r="K716" s="170"/>
      <c r="L716" s="170"/>
      <c r="M716" s="170"/>
      <c r="N716" s="137"/>
      <c r="O716" s="137"/>
    </row>
    <row r="717" spans="1:15" x14ac:dyDescent="0.35">
      <c r="A717" s="137"/>
      <c r="B717" s="137"/>
      <c r="C717" s="137"/>
      <c r="D717" s="137"/>
      <c r="E717" s="137"/>
      <c r="F717" s="137"/>
      <c r="G717" s="102"/>
      <c r="H717" s="137"/>
      <c r="I717" s="137"/>
      <c r="J717" s="137"/>
      <c r="K717" s="170"/>
      <c r="L717" s="170"/>
      <c r="M717" s="170"/>
    </row>
    <row r="718" spans="1:15" x14ac:dyDescent="0.35">
      <c r="A718" s="137"/>
      <c r="B718" s="137"/>
      <c r="C718" s="137"/>
      <c r="D718" s="137"/>
      <c r="E718" s="137"/>
      <c r="F718" s="137"/>
      <c r="G718" s="102"/>
      <c r="H718" s="137"/>
      <c r="I718" s="137"/>
      <c r="J718" s="137"/>
      <c r="K718" s="170"/>
      <c r="L718" s="170"/>
      <c r="M718" s="170"/>
      <c r="N718" s="137"/>
      <c r="O718" s="137"/>
    </row>
    <row r="719" spans="1:15" x14ac:dyDescent="0.35">
      <c r="A719" s="137"/>
      <c r="B719" s="137"/>
      <c r="C719" s="137"/>
      <c r="D719" s="137"/>
      <c r="E719" s="137"/>
      <c r="F719" s="137"/>
      <c r="G719" s="102"/>
      <c r="H719" s="137"/>
      <c r="I719" s="137"/>
      <c r="J719" s="137"/>
      <c r="K719" s="170"/>
      <c r="L719" s="170"/>
      <c r="M719" s="170"/>
      <c r="N719" s="137"/>
      <c r="O719" s="137"/>
    </row>
    <row r="720" spans="1:15" x14ac:dyDescent="0.35">
      <c r="A720" s="137"/>
      <c r="B720" s="137"/>
      <c r="C720" s="137"/>
      <c r="D720" s="137"/>
      <c r="E720" s="137"/>
      <c r="F720" s="137"/>
      <c r="G720" s="102"/>
      <c r="H720" s="137"/>
      <c r="I720" s="137"/>
      <c r="J720" s="137"/>
      <c r="K720" s="170"/>
      <c r="L720" s="170"/>
      <c r="M720" s="170"/>
      <c r="N720" s="137"/>
      <c r="O720" s="137"/>
    </row>
    <row r="721" spans="1:15" x14ac:dyDescent="0.35">
      <c r="A721" s="137"/>
      <c r="B721" s="137"/>
      <c r="C721" s="137"/>
      <c r="D721" s="137"/>
      <c r="E721" s="137"/>
      <c r="F721" s="137"/>
      <c r="G721" s="102"/>
      <c r="H721" s="137"/>
      <c r="I721" s="137"/>
      <c r="J721" s="137"/>
      <c r="K721" s="170"/>
      <c r="L721" s="170"/>
      <c r="M721" s="170"/>
      <c r="N721" s="137"/>
      <c r="O721" s="137"/>
    </row>
    <row r="722" spans="1:15" x14ac:dyDescent="0.35">
      <c r="A722" s="137"/>
      <c r="B722" s="137"/>
      <c r="C722" s="137"/>
      <c r="D722" s="137"/>
      <c r="E722" s="137"/>
      <c r="F722" s="137"/>
      <c r="G722" s="102"/>
      <c r="H722" s="137"/>
      <c r="I722" s="137"/>
      <c r="J722" s="137"/>
      <c r="K722" s="170"/>
      <c r="L722" s="170"/>
      <c r="M722" s="170"/>
      <c r="N722" s="137"/>
      <c r="O722" s="137"/>
    </row>
    <row r="723" spans="1:15" x14ac:dyDescent="0.35">
      <c r="A723" s="137"/>
      <c r="B723" s="137"/>
      <c r="C723" s="137"/>
      <c r="D723" s="137"/>
      <c r="E723" s="137"/>
      <c r="F723" s="137"/>
      <c r="G723" s="102"/>
      <c r="H723" s="137"/>
      <c r="I723" s="137"/>
      <c r="J723" s="137"/>
      <c r="K723" s="170"/>
      <c r="L723" s="170"/>
      <c r="M723" s="170"/>
      <c r="N723" s="137"/>
      <c r="O723" s="137"/>
    </row>
    <row r="724" spans="1:15" x14ac:dyDescent="0.35">
      <c r="A724" s="137"/>
      <c r="B724" s="137"/>
      <c r="C724" s="137"/>
      <c r="D724" s="137"/>
      <c r="E724" s="137"/>
      <c r="F724" s="137"/>
      <c r="G724" s="102"/>
      <c r="H724" s="137"/>
      <c r="I724" s="137"/>
      <c r="J724" s="137"/>
      <c r="K724" s="170"/>
      <c r="L724" s="170"/>
      <c r="M724" s="170"/>
    </row>
    <row r="725" spans="1:15" x14ac:dyDescent="0.35">
      <c r="A725" s="137"/>
      <c r="B725" s="137"/>
      <c r="C725" s="137"/>
      <c r="D725" s="137"/>
      <c r="E725" s="137"/>
      <c r="F725" s="137"/>
      <c r="G725" s="102"/>
      <c r="H725" s="137"/>
      <c r="I725" s="137"/>
      <c r="J725" s="137"/>
      <c r="K725" s="170"/>
      <c r="L725" s="170"/>
      <c r="M725" s="170"/>
      <c r="N725" s="137"/>
      <c r="O725" s="137"/>
    </row>
    <row r="726" spans="1:15" x14ac:dyDescent="0.35">
      <c r="A726" s="137"/>
      <c r="B726" s="137"/>
      <c r="C726" s="137"/>
      <c r="D726" s="137"/>
      <c r="E726" s="137"/>
      <c r="F726" s="137"/>
      <c r="G726" s="102"/>
      <c r="H726" s="137"/>
      <c r="I726" s="137"/>
      <c r="J726" s="137"/>
      <c r="K726" s="170"/>
      <c r="L726" s="170"/>
      <c r="M726" s="170"/>
      <c r="N726" s="137"/>
      <c r="O726" s="137"/>
    </row>
    <row r="727" spans="1:15" x14ac:dyDescent="0.35">
      <c r="A727" s="137"/>
      <c r="B727" s="137"/>
      <c r="C727" s="137"/>
      <c r="D727" s="137"/>
      <c r="E727" s="137"/>
      <c r="F727" s="137"/>
      <c r="G727" s="102"/>
      <c r="H727" s="137"/>
      <c r="I727" s="137"/>
      <c r="J727" s="137"/>
      <c r="K727" s="170"/>
      <c r="L727" s="170"/>
      <c r="M727" s="170"/>
    </row>
    <row r="728" spans="1:15" x14ac:dyDescent="0.35">
      <c r="A728" s="137"/>
      <c r="B728" s="137"/>
      <c r="C728" s="137"/>
      <c r="D728" s="137"/>
      <c r="E728" s="137"/>
      <c r="F728" s="137"/>
      <c r="G728" s="102"/>
      <c r="H728" s="137"/>
      <c r="I728" s="137"/>
      <c r="J728" s="137"/>
      <c r="K728" s="170"/>
      <c r="L728" s="170"/>
      <c r="M728" s="170"/>
      <c r="N728" s="137"/>
      <c r="O728" s="137"/>
    </row>
    <row r="729" spans="1:15" x14ac:dyDescent="0.35">
      <c r="A729" s="137"/>
      <c r="B729" s="137"/>
      <c r="C729" s="137"/>
      <c r="D729" s="137"/>
      <c r="E729" s="137"/>
      <c r="F729" s="137"/>
      <c r="G729" s="102"/>
      <c r="H729" s="137"/>
      <c r="I729" s="137"/>
      <c r="J729" s="137"/>
      <c r="K729" s="170"/>
      <c r="L729" s="170"/>
      <c r="M729" s="170"/>
      <c r="N729" s="137"/>
      <c r="O729" s="137"/>
    </row>
    <row r="730" spans="1:15" x14ac:dyDescent="0.35">
      <c r="A730" s="137"/>
      <c r="B730" s="137"/>
      <c r="C730" s="137"/>
      <c r="D730" s="137"/>
      <c r="E730" s="137"/>
      <c r="F730" s="137"/>
      <c r="G730" s="102"/>
      <c r="H730" s="137"/>
      <c r="I730" s="137"/>
      <c r="J730" s="137"/>
      <c r="K730" s="170"/>
      <c r="L730" s="170"/>
      <c r="M730" s="170"/>
      <c r="N730" s="31"/>
      <c r="O730" s="31"/>
    </row>
    <row r="731" spans="1:15" x14ac:dyDescent="0.35">
      <c r="A731" s="137"/>
      <c r="B731" s="137"/>
      <c r="C731" s="137"/>
      <c r="D731" s="137"/>
      <c r="E731" s="137"/>
      <c r="F731" s="137"/>
      <c r="G731" s="102"/>
      <c r="H731" s="137"/>
      <c r="I731" s="137"/>
      <c r="J731" s="137"/>
      <c r="K731" s="170"/>
      <c r="L731" s="170"/>
      <c r="M731" s="170"/>
      <c r="N731" s="31"/>
      <c r="O731" s="31"/>
    </row>
    <row r="732" spans="1:15" x14ac:dyDescent="0.35">
      <c r="A732" s="137"/>
      <c r="B732" s="137"/>
      <c r="C732" s="137"/>
      <c r="D732" s="137"/>
      <c r="E732" s="137"/>
      <c r="F732" s="137"/>
      <c r="G732" s="102"/>
      <c r="H732" s="137"/>
      <c r="I732" s="137"/>
      <c r="J732" s="137"/>
      <c r="K732" s="170"/>
      <c r="L732" s="170"/>
      <c r="M732" s="170"/>
    </row>
    <row r="733" spans="1:15" x14ac:dyDescent="0.35">
      <c r="A733" s="137"/>
      <c r="B733" s="137"/>
      <c r="C733" s="137"/>
      <c r="D733" s="137"/>
      <c r="E733" s="137"/>
      <c r="F733" s="137"/>
      <c r="G733" s="102"/>
      <c r="H733" s="137"/>
      <c r="I733" s="137"/>
      <c r="J733" s="137"/>
      <c r="K733" s="170"/>
      <c r="L733" s="170"/>
      <c r="M733" s="170"/>
    </row>
    <row r="734" spans="1:15" x14ac:dyDescent="0.35">
      <c r="A734" s="137"/>
      <c r="B734" s="137"/>
      <c r="C734" s="137"/>
      <c r="D734" s="137"/>
      <c r="E734" s="137"/>
      <c r="F734" s="137"/>
      <c r="G734" s="102"/>
      <c r="H734" s="137"/>
      <c r="I734" s="137"/>
      <c r="J734" s="137"/>
      <c r="K734" s="170"/>
      <c r="L734" s="170"/>
      <c r="M734" s="170"/>
    </row>
    <row r="735" spans="1:15" x14ac:dyDescent="0.35">
      <c r="A735" s="137"/>
      <c r="B735" s="137"/>
      <c r="C735" s="137"/>
      <c r="D735" s="137"/>
      <c r="E735" s="137"/>
      <c r="F735" s="137"/>
      <c r="G735" s="102"/>
      <c r="H735" s="137"/>
      <c r="I735" s="137"/>
      <c r="J735" s="137"/>
      <c r="K735" s="170"/>
      <c r="L735" s="170"/>
      <c r="M735" s="170"/>
    </row>
    <row r="736" spans="1:15" x14ac:dyDescent="0.35">
      <c r="A736" s="137"/>
      <c r="B736" s="137"/>
      <c r="C736" s="137"/>
      <c r="D736" s="137"/>
      <c r="E736" s="137"/>
      <c r="F736" s="137"/>
      <c r="G736" s="102"/>
      <c r="H736" s="137"/>
      <c r="I736" s="137"/>
      <c r="J736" s="137"/>
      <c r="K736" s="170"/>
      <c r="L736" s="170"/>
      <c r="M736" s="170"/>
    </row>
    <row r="737" spans="1:15" x14ac:dyDescent="0.35">
      <c r="A737" s="137"/>
      <c r="B737" s="137"/>
      <c r="C737" s="137"/>
      <c r="D737" s="137"/>
      <c r="E737" s="137"/>
      <c r="F737" s="137"/>
      <c r="G737" s="102"/>
      <c r="H737" s="137"/>
      <c r="I737" s="137"/>
      <c r="J737" s="137"/>
      <c r="K737" s="170"/>
      <c r="L737" s="170"/>
      <c r="M737" s="170"/>
    </row>
    <row r="738" spans="1:15" x14ac:dyDescent="0.35">
      <c r="A738" s="137"/>
      <c r="B738" s="137"/>
      <c r="C738" s="137"/>
      <c r="D738" s="137"/>
      <c r="E738" s="137"/>
      <c r="F738" s="137"/>
      <c r="G738" s="102"/>
      <c r="H738" s="137"/>
      <c r="I738" s="137"/>
      <c r="J738" s="137"/>
      <c r="K738" s="170"/>
      <c r="L738" s="170"/>
      <c r="M738" s="170"/>
    </row>
    <row r="739" spans="1:15" x14ac:dyDescent="0.35">
      <c r="A739" s="137"/>
      <c r="B739" s="137"/>
      <c r="C739" s="137"/>
      <c r="D739" s="137"/>
      <c r="E739" s="137"/>
      <c r="F739" s="137"/>
      <c r="G739" s="102"/>
      <c r="H739" s="137"/>
      <c r="I739" s="137"/>
      <c r="J739" s="137"/>
      <c r="K739" s="170"/>
      <c r="L739" s="170"/>
      <c r="M739" s="170"/>
      <c r="N739" s="31"/>
      <c r="O739" s="31"/>
    </row>
    <row r="740" spans="1:15" x14ac:dyDescent="0.35">
      <c r="A740" s="137"/>
      <c r="B740" s="137"/>
      <c r="C740" s="137"/>
      <c r="D740" s="137"/>
      <c r="E740" s="137"/>
      <c r="F740" s="137"/>
      <c r="G740" s="102"/>
      <c r="H740" s="137"/>
      <c r="I740" s="137"/>
      <c r="J740" s="137"/>
      <c r="K740" s="170"/>
      <c r="L740" s="170"/>
      <c r="M740" s="170"/>
    </row>
    <row r="741" spans="1:15" x14ac:dyDescent="0.35">
      <c r="A741" s="137"/>
      <c r="B741" s="137"/>
      <c r="C741" s="137"/>
      <c r="D741" s="137"/>
      <c r="E741" s="137"/>
      <c r="F741" s="137"/>
      <c r="G741" s="102"/>
      <c r="H741" s="137"/>
      <c r="I741" s="137"/>
      <c r="J741" s="137"/>
      <c r="K741" s="170"/>
      <c r="L741" s="170"/>
      <c r="M741" s="170"/>
    </row>
    <row r="742" spans="1:15" x14ac:dyDescent="0.35">
      <c r="A742" s="137"/>
      <c r="B742" s="137"/>
      <c r="C742" s="137"/>
      <c r="D742" s="137"/>
      <c r="E742" s="137"/>
      <c r="F742" s="137"/>
      <c r="G742" s="102"/>
      <c r="H742" s="137"/>
      <c r="I742" s="137"/>
      <c r="J742" s="137"/>
      <c r="K742" s="170"/>
      <c r="L742" s="170"/>
      <c r="M742" s="170"/>
    </row>
    <row r="743" spans="1:15" x14ac:dyDescent="0.35">
      <c r="A743" s="137"/>
      <c r="B743" s="137"/>
      <c r="C743" s="137"/>
      <c r="D743" s="137"/>
      <c r="E743" s="137"/>
      <c r="F743" s="137"/>
      <c r="G743" s="102"/>
      <c r="H743" s="137"/>
      <c r="I743" s="137"/>
      <c r="J743" s="137"/>
      <c r="K743" s="170"/>
      <c r="L743" s="170"/>
      <c r="M743" s="170"/>
    </row>
    <row r="744" spans="1:15" x14ac:dyDescent="0.35">
      <c r="A744" s="137"/>
      <c r="B744" s="137"/>
      <c r="C744" s="137"/>
      <c r="D744" s="137"/>
      <c r="E744" s="137"/>
      <c r="F744" s="137"/>
      <c r="G744" s="102"/>
      <c r="H744" s="137"/>
      <c r="I744" s="137"/>
      <c r="J744" s="137"/>
      <c r="K744" s="170"/>
      <c r="L744" s="170"/>
      <c r="M744" s="170"/>
    </row>
    <row r="745" spans="1:15" x14ac:dyDescent="0.35">
      <c r="A745" s="137"/>
      <c r="B745" s="137"/>
      <c r="C745" s="137"/>
      <c r="D745" s="137"/>
      <c r="E745" s="137"/>
      <c r="F745" s="137"/>
      <c r="G745" s="102"/>
      <c r="H745" s="137"/>
      <c r="I745" s="137"/>
      <c r="J745" s="137"/>
      <c r="K745" s="170"/>
      <c r="L745" s="170"/>
      <c r="M745" s="170"/>
    </row>
    <row r="746" spans="1:15" x14ac:dyDescent="0.35">
      <c r="A746" s="137"/>
      <c r="B746" s="137"/>
      <c r="C746" s="137"/>
      <c r="D746" s="137"/>
      <c r="E746" s="137"/>
      <c r="F746" s="137"/>
      <c r="G746" s="102"/>
      <c r="H746" s="137"/>
      <c r="I746" s="137"/>
      <c r="J746" s="137"/>
      <c r="K746" s="170"/>
      <c r="L746" s="170"/>
      <c r="M746" s="170"/>
      <c r="N746" s="137"/>
      <c r="O746" s="137"/>
    </row>
    <row r="747" spans="1:15" x14ac:dyDescent="0.35">
      <c r="A747" s="137"/>
      <c r="B747" s="137"/>
      <c r="C747" s="137"/>
      <c r="D747" s="137"/>
      <c r="E747" s="137"/>
      <c r="F747" s="137"/>
      <c r="G747" s="102"/>
      <c r="H747" s="137"/>
      <c r="I747" s="137"/>
      <c r="J747" s="137"/>
      <c r="K747" s="170"/>
      <c r="L747" s="170"/>
      <c r="M747" s="170"/>
    </row>
    <row r="748" spans="1:15" x14ac:dyDescent="0.35">
      <c r="A748" s="137"/>
      <c r="B748" s="137"/>
      <c r="C748" s="137"/>
      <c r="D748" s="137"/>
      <c r="E748" s="137"/>
      <c r="F748" s="137"/>
      <c r="G748" s="102"/>
      <c r="H748" s="137"/>
      <c r="I748" s="137"/>
      <c r="J748" s="137"/>
      <c r="K748" s="170"/>
      <c r="L748" s="170"/>
      <c r="M748" s="170"/>
    </row>
    <row r="749" spans="1:15" x14ac:dyDescent="0.35">
      <c r="A749" s="137"/>
      <c r="B749" s="137"/>
      <c r="C749" s="137"/>
      <c r="D749" s="137"/>
      <c r="E749" s="137"/>
      <c r="F749" s="137"/>
      <c r="G749" s="102"/>
      <c r="H749" s="137"/>
      <c r="I749" s="137"/>
      <c r="J749" s="137"/>
      <c r="K749" s="170"/>
      <c r="L749" s="170"/>
      <c r="M749" s="170"/>
    </row>
    <row r="750" spans="1:15" x14ac:dyDescent="0.35">
      <c r="A750" s="137"/>
      <c r="B750" s="137"/>
      <c r="C750" s="137"/>
      <c r="D750" s="137"/>
      <c r="E750" s="137"/>
      <c r="F750" s="137"/>
      <c r="G750" s="102"/>
      <c r="H750" s="137"/>
      <c r="I750" s="137"/>
      <c r="J750" s="137"/>
      <c r="K750" s="170"/>
      <c r="L750" s="170"/>
      <c r="M750" s="170"/>
    </row>
    <row r="751" spans="1:15" x14ac:dyDescent="0.35">
      <c r="A751" s="137"/>
      <c r="B751" s="137"/>
      <c r="C751" s="137"/>
      <c r="D751" s="137"/>
      <c r="E751" s="137"/>
      <c r="F751" s="137"/>
      <c r="G751" s="102"/>
      <c r="H751" s="137"/>
      <c r="I751" s="137"/>
      <c r="J751" s="137"/>
      <c r="K751" s="170"/>
      <c r="L751" s="170"/>
      <c r="M751" s="170"/>
      <c r="N751" s="137"/>
      <c r="O751" s="137"/>
    </row>
    <row r="752" spans="1:15" x14ac:dyDescent="0.35">
      <c r="A752" s="137"/>
      <c r="B752" s="137"/>
      <c r="C752" s="137"/>
      <c r="D752" s="137"/>
      <c r="E752" s="137"/>
      <c r="F752" s="137"/>
      <c r="G752" s="102"/>
      <c r="H752" s="137"/>
      <c r="I752" s="137"/>
      <c r="J752" s="137"/>
      <c r="K752" s="170"/>
      <c r="L752" s="170"/>
      <c r="M752" s="170"/>
    </row>
    <row r="753" spans="1:15" x14ac:dyDescent="0.35">
      <c r="A753" s="137"/>
      <c r="B753" s="137"/>
      <c r="C753" s="137"/>
      <c r="D753" s="137"/>
      <c r="E753" s="137"/>
      <c r="F753" s="137"/>
      <c r="G753" s="102"/>
      <c r="H753" s="137"/>
      <c r="I753" s="137"/>
      <c r="J753" s="137"/>
      <c r="K753" s="170"/>
      <c r="L753" s="170"/>
      <c r="M753" s="170"/>
      <c r="N753" s="137"/>
      <c r="O753" s="137"/>
    </row>
    <row r="754" spans="1:15" x14ac:dyDescent="0.35">
      <c r="A754" s="137"/>
      <c r="B754" s="137"/>
      <c r="C754" s="137"/>
      <c r="D754" s="137"/>
      <c r="E754" s="137"/>
      <c r="F754" s="137"/>
      <c r="G754" s="102"/>
      <c r="H754" s="137"/>
      <c r="I754" s="137"/>
      <c r="J754" s="137"/>
      <c r="K754" s="170"/>
      <c r="L754" s="170"/>
      <c r="M754" s="170"/>
    </row>
    <row r="755" spans="1:15" x14ac:dyDescent="0.35">
      <c r="A755" s="137"/>
      <c r="B755" s="137"/>
      <c r="C755" s="137"/>
      <c r="D755" s="137"/>
      <c r="E755" s="137"/>
      <c r="F755" s="137"/>
      <c r="G755" s="102"/>
      <c r="H755" s="137"/>
      <c r="I755" s="137"/>
      <c r="J755" s="137"/>
      <c r="K755" s="170"/>
      <c r="L755" s="170"/>
      <c r="M755" s="170"/>
      <c r="N755" s="137"/>
      <c r="O755" s="137"/>
    </row>
    <row r="756" spans="1:15" x14ac:dyDescent="0.35">
      <c r="A756" s="137"/>
      <c r="B756" s="137"/>
      <c r="C756" s="137"/>
      <c r="D756" s="137"/>
      <c r="E756" s="137"/>
      <c r="F756" s="137"/>
      <c r="G756" s="102"/>
      <c r="H756" s="137"/>
      <c r="I756" s="137"/>
      <c r="J756" s="137"/>
      <c r="K756" s="170"/>
      <c r="L756" s="170"/>
      <c r="M756" s="170"/>
      <c r="N756" s="137"/>
      <c r="O756" s="137"/>
    </row>
    <row r="757" spans="1:15" x14ac:dyDescent="0.35">
      <c r="A757" s="137"/>
      <c r="B757" s="137"/>
      <c r="C757" s="137"/>
      <c r="D757" s="137"/>
      <c r="E757" s="137"/>
      <c r="F757" s="137"/>
      <c r="G757" s="102"/>
      <c r="H757" s="137"/>
      <c r="I757" s="137"/>
      <c r="J757" s="137"/>
      <c r="K757" s="170"/>
      <c r="L757" s="170"/>
      <c r="M757" s="170"/>
    </row>
    <row r="758" spans="1:15" x14ac:dyDescent="0.35">
      <c r="A758" s="137"/>
      <c r="B758" s="137"/>
      <c r="C758" s="137"/>
      <c r="D758" s="137"/>
      <c r="E758" s="137"/>
      <c r="F758" s="137"/>
      <c r="G758" s="102"/>
      <c r="H758" s="137"/>
      <c r="I758" s="137"/>
      <c r="J758" s="137"/>
      <c r="K758" s="170"/>
      <c r="L758" s="170"/>
      <c r="M758" s="170"/>
    </row>
    <row r="759" spans="1:15" x14ac:dyDescent="0.35">
      <c r="A759" s="137"/>
      <c r="B759" s="137"/>
      <c r="C759" s="137"/>
      <c r="D759" s="137"/>
      <c r="E759" s="137"/>
      <c r="F759" s="137"/>
      <c r="G759" s="102"/>
      <c r="H759" s="137"/>
      <c r="I759" s="137"/>
      <c r="J759" s="137"/>
      <c r="K759" s="170"/>
      <c r="L759" s="170"/>
      <c r="M759" s="170"/>
      <c r="N759" s="137"/>
      <c r="O759" s="137"/>
    </row>
    <row r="760" spans="1:15" x14ac:dyDescent="0.35">
      <c r="A760" s="137"/>
      <c r="B760" s="137"/>
      <c r="C760" s="137"/>
      <c r="D760" s="137"/>
      <c r="E760" s="137"/>
      <c r="F760" s="137"/>
      <c r="G760" s="102"/>
      <c r="H760" s="137"/>
      <c r="I760" s="137"/>
      <c r="J760" s="137"/>
      <c r="K760" s="170"/>
      <c r="L760" s="170"/>
      <c r="M760" s="170"/>
      <c r="N760" s="31"/>
      <c r="O760" s="31"/>
    </row>
    <row r="761" spans="1:15" x14ac:dyDescent="0.35">
      <c r="A761" s="137"/>
      <c r="B761" s="137"/>
      <c r="C761" s="137"/>
      <c r="D761" s="137"/>
      <c r="E761" s="137"/>
      <c r="F761" s="137"/>
      <c r="G761" s="102"/>
      <c r="H761" s="137"/>
      <c r="I761" s="137"/>
      <c r="J761" s="137"/>
      <c r="K761" s="170"/>
      <c r="L761" s="170"/>
      <c r="M761" s="170"/>
    </row>
    <row r="762" spans="1:15" x14ac:dyDescent="0.35">
      <c r="A762" s="137"/>
      <c r="B762" s="137"/>
      <c r="C762" s="137"/>
      <c r="D762" s="137"/>
      <c r="E762" s="137"/>
      <c r="F762" s="137"/>
      <c r="G762" s="102"/>
      <c r="H762" s="137"/>
      <c r="I762" s="137"/>
      <c r="J762" s="137"/>
      <c r="K762" s="170"/>
      <c r="L762" s="170"/>
      <c r="M762" s="170"/>
    </row>
    <row r="763" spans="1:15" x14ac:dyDescent="0.35">
      <c r="A763" s="137"/>
      <c r="B763" s="137"/>
      <c r="C763" s="137"/>
      <c r="D763" s="137"/>
      <c r="E763" s="137"/>
      <c r="F763" s="137"/>
      <c r="G763" s="102"/>
      <c r="H763" s="137"/>
      <c r="I763" s="137"/>
      <c r="J763" s="137"/>
      <c r="K763" s="170"/>
      <c r="L763" s="170"/>
      <c r="M763" s="170"/>
    </row>
    <row r="764" spans="1:15" x14ac:dyDescent="0.35">
      <c r="A764" s="137"/>
      <c r="B764" s="137"/>
      <c r="C764" s="137"/>
      <c r="D764" s="137"/>
      <c r="E764" s="137"/>
      <c r="F764" s="137"/>
      <c r="G764" s="102"/>
      <c r="H764" s="137"/>
      <c r="I764" s="137"/>
      <c r="J764" s="137"/>
      <c r="K764" s="170"/>
      <c r="L764" s="170"/>
      <c r="M764" s="170"/>
    </row>
    <row r="765" spans="1:15" x14ac:dyDescent="0.35">
      <c r="A765" s="137"/>
      <c r="B765" s="137"/>
      <c r="C765" s="137"/>
      <c r="D765" s="137"/>
      <c r="E765" s="137"/>
      <c r="F765" s="137"/>
      <c r="G765" s="102"/>
      <c r="H765" s="137"/>
      <c r="I765" s="137"/>
      <c r="J765" s="137"/>
      <c r="K765" s="170"/>
      <c r="L765" s="170"/>
      <c r="M765" s="170"/>
    </row>
    <row r="766" spans="1:15" x14ac:dyDescent="0.35">
      <c r="A766" s="137"/>
      <c r="B766" s="137"/>
      <c r="C766" s="137"/>
      <c r="D766" s="137"/>
      <c r="E766" s="137"/>
      <c r="F766" s="137"/>
      <c r="G766" s="102"/>
      <c r="H766" s="137"/>
      <c r="I766" s="137"/>
      <c r="J766" s="137"/>
      <c r="K766" s="170"/>
      <c r="L766" s="170"/>
      <c r="M766" s="170"/>
    </row>
    <row r="767" spans="1:15" x14ac:dyDescent="0.35">
      <c r="A767" s="137"/>
      <c r="B767" s="137"/>
      <c r="C767" s="137"/>
      <c r="D767" s="137"/>
      <c r="E767" s="137"/>
      <c r="F767" s="137"/>
      <c r="G767" s="102"/>
      <c r="H767" s="137"/>
      <c r="I767" s="137"/>
      <c r="J767" s="137"/>
      <c r="K767" s="170"/>
      <c r="L767" s="170"/>
      <c r="M767" s="170"/>
    </row>
    <row r="768" spans="1:15" x14ac:dyDescent="0.35">
      <c r="A768" s="137"/>
      <c r="B768" s="137"/>
      <c r="C768" s="137"/>
      <c r="D768" s="137"/>
      <c r="E768" s="137"/>
      <c r="F768" s="137"/>
      <c r="G768" s="102"/>
      <c r="H768" s="137"/>
      <c r="I768" s="137"/>
      <c r="J768" s="137"/>
      <c r="K768" s="170"/>
      <c r="L768" s="170"/>
      <c r="M768" s="170"/>
    </row>
    <row r="769" spans="1:15" x14ac:dyDescent="0.35">
      <c r="A769" s="137"/>
      <c r="B769" s="137"/>
      <c r="C769" s="137"/>
      <c r="D769" s="137"/>
      <c r="E769" s="137"/>
      <c r="F769" s="137"/>
      <c r="G769" s="102"/>
      <c r="H769" s="137"/>
      <c r="I769" s="137"/>
      <c r="J769" s="137"/>
      <c r="K769" s="170"/>
      <c r="L769" s="170"/>
      <c r="M769" s="170"/>
      <c r="N769" s="137"/>
      <c r="O769" s="137"/>
    </row>
    <row r="770" spans="1:15" x14ac:dyDescent="0.35">
      <c r="A770" s="137"/>
      <c r="B770" s="137"/>
      <c r="C770" s="137"/>
      <c r="D770" s="137"/>
      <c r="E770" s="137"/>
      <c r="F770" s="137"/>
      <c r="G770" s="102"/>
      <c r="H770" s="137"/>
      <c r="I770" s="137"/>
      <c r="J770" s="137"/>
      <c r="K770" s="170"/>
      <c r="L770" s="170"/>
      <c r="M770" s="170"/>
      <c r="N770" s="137"/>
      <c r="O770" s="137"/>
    </row>
    <row r="771" spans="1:15" x14ac:dyDescent="0.35">
      <c r="A771" s="137"/>
      <c r="B771" s="137"/>
      <c r="C771" s="137"/>
      <c r="D771" s="137"/>
      <c r="E771" s="137"/>
      <c r="F771" s="137"/>
      <c r="G771" s="102"/>
      <c r="H771" s="137"/>
      <c r="I771" s="137"/>
      <c r="J771" s="137"/>
      <c r="K771" s="170"/>
      <c r="L771" s="170"/>
      <c r="M771" s="170"/>
      <c r="N771" s="137"/>
      <c r="O771" s="137"/>
    </row>
    <row r="772" spans="1:15" x14ac:dyDescent="0.35">
      <c r="A772" s="137"/>
      <c r="B772" s="137"/>
      <c r="C772" s="137"/>
      <c r="D772" s="137"/>
      <c r="E772" s="137"/>
      <c r="F772" s="137"/>
      <c r="G772" s="102"/>
      <c r="H772" s="137"/>
      <c r="I772" s="137"/>
      <c r="J772" s="137"/>
      <c r="K772" s="170"/>
      <c r="L772" s="170"/>
      <c r="M772" s="170"/>
      <c r="N772" s="137"/>
      <c r="O772" s="137"/>
    </row>
    <row r="773" spans="1:15" x14ac:dyDescent="0.35">
      <c r="A773" s="137"/>
      <c r="B773" s="137"/>
      <c r="C773" s="137"/>
      <c r="D773" s="137"/>
      <c r="E773" s="137"/>
      <c r="F773" s="137"/>
      <c r="G773" s="102"/>
      <c r="H773" s="137"/>
      <c r="I773" s="137"/>
      <c r="J773" s="137"/>
      <c r="K773" s="170"/>
      <c r="L773" s="170"/>
      <c r="M773" s="170"/>
      <c r="N773" s="137"/>
      <c r="O773" s="137"/>
    </row>
    <row r="774" spans="1:15" x14ac:dyDescent="0.35">
      <c r="A774" s="137"/>
      <c r="B774" s="137"/>
      <c r="C774" s="137"/>
      <c r="D774" s="137"/>
      <c r="E774" s="137"/>
      <c r="F774" s="137"/>
      <c r="G774" s="102"/>
      <c r="H774" s="137"/>
      <c r="I774" s="137"/>
      <c r="J774" s="137"/>
      <c r="K774" s="170"/>
      <c r="L774" s="170"/>
      <c r="M774" s="170"/>
      <c r="N774" s="137"/>
      <c r="O774" s="137"/>
    </row>
    <row r="775" spans="1:15" x14ac:dyDescent="0.35">
      <c r="A775" s="137"/>
      <c r="B775" s="137"/>
      <c r="C775" s="137"/>
      <c r="D775" s="137"/>
      <c r="E775" s="137"/>
      <c r="F775" s="137"/>
      <c r="G775" s="102"/>
      <c r="H775" s="137"/>
      <c r="I775" s="137"/>
      <c r="J775" s="137"/>
      <c r="K775" s="170"/>
      <c r="L775" s="170"/>
      <c r="M775" s="170"/>
      <c r="N775" s="137"/>
      <c r="O775" s="137"/>
    </row>
    <row r="776" spans="1:15" x14ac:dyDescent="0.35">
      <c r="A776" s="137"/>
      <c r="B776" s="137"/>
      <c r="C776" s="137"/>
      <c r="D776" s="137"/>
      <c r="E776" s="137"/>
      <c r="F776" s="137"/>
      <c r="G776" s="102"/>
      <c r="H776" s="137"/>
      <c r="I776" s="137"/>
      <c r="J776" s="137"/>
      <c r="K776" s="170"/>
      <c r="L776" s="170"/>
      <c r="M776" s="170"/>
      <c r="N776" s="137"/>
      <c r="O776" s="137"/>
    </row>
    <row r="777" spans="1:15" x14ac:dyDescent="0.35">
      <c r="A777" s="137"/>
      <c r="B777" s="137"/>
      <c r="C777" s="137"/>
      <c r="D777" s="137"/>
      <c r="E777" s="137"/>
      <c r="F777" s="137"/>
      <c r="G777" s="102"/>
      <c r="H777" s="137"/>
      <c r="I777" s="137"/>
      <c r="J777" s="137"/>
      <c r="K777" s="170"/>
      <c r="L777" s="170"/>
      <c r="M777" s="170"/>
      <c r="N777" s="137"/>
      <c r="O777" s="137"/>
    </row>
    <row r="778" spans="1:15" x14ac:dyDescent="0.35">
      <c r="A778" s="137"/>
      <c r="B778" s="137"/>
      <c r="C778" s="137"/>
      <c r="D778" s="137"/>
      <c r="E778" s="137"/>
      <c r="F778" s="137"/>
      <c r="G778" s="102"/>
      <c r="H778" s="137"/>
      <c r="I778" s="137"/>
      <c r="J778" s="137"/>
      <c r="K778" s="170"/>
      <c r="L778" s="170"/>
      <c r="M778" s="170"/>
      <c r="N778" s="137"/>
      <c r="O778" s="137"/>
    </row>
    <row r="779" spans="1:15" x14ac:dyDescent="0.35">
      <c r="A779" s="137"/>
      <c r="B779" s="137"/>
      <c r="C779" s="137"/>
      <c r="D779" s="137"/>
      <c r="E779" s="137"/>
      <c r="F779" s="137"/>
      <c r="G779" s="102"/>
      <c r="H779" s="137"/>
      <c r="I779" s="137"/>
      <c r="J779" s="137"/>
      <c r="K779" s="170"/>
      <c r="L779" s="170"/>
      <c r="M779" s="170"/>
    </row>
    <row r="780" spans="1:15" x14ac:dyDescent="0.35">
      <c r="A780" s="137"/>
      <c r="B780" s="137"/>
      <c r="C780" s="137"/>
      <c r="D780" s="137"/>
      <c r="E780" s="137"/>
      <c r="F780" s="137"/>
      <c r="G780" s="102"/>
      <c r="H780" s="137"/>
      <c r="I780" s="137"/>
      <c r="J780" s="137"/>
      <c r="K780" s="170"/>
      <c r="L780" s="170"/>
      <c r="M780" s="170"/>
      <c r="N780" s="137"/>
      <c r="O780" s="137"/>
    </row>
    <row r="781" spans="1:15" x14ac:dyDescent="0.35">
      <c r="A781" s="137"/>
      <c r="B781" s="137"/>
      <c r="C781" s="137"/>
      <c r="D781" s="137"/>
      <c r="E781" s="137"/>
      <c r="F781" s="137"/>
      <c r="G781" s="102"/>
      <c r="H781" s="137"/>
      <c r="I781" s="137"/>
      <c r="J781" s="137"/>
      <c r="K781" s="170"/>
      <c r="L781" s="170"/>
      <c r="M781" s="170"/>
      <c r="N781" s="137"/>
      <c r="O781" s="137"/>
    </row>
    <row r="782" spans="1:15" x14ac:dyDescent="0.35">
      <c r="A782" s="137"/>
      <c r="B782" s="137"/>
      <c r="C782" s="137"/>
      <c r="D782" s="137"/>
      <c r="E782" s="137"/>
      <c r="F782" s="137"/>
      <c r="G782" s="102"/>
      <c r="H782" s="137"/>
      <c r="I782" s="137"/>
      <c r="J782" s="137"/>
      <c r="K782" s="170"/>
      <c r="L782" s="170"/>
      <c r="M782" s="170"/>
      <c r="N782" s="31"/>
      <c r="O782" s="31"/>
    </row>
    <row r="783" spans="1:15" x14ac:dyDescent="0.35">
      <c r="A783" s="137"/>
      <c r="B783" s="137"/>
      <c r="C783" s="137"/>
      <c r="D783" s="137"/>
      <c r="E783" s="137"/>
      <c r="F783" s="137"/>
      <c r="G783" s="102"/>
      <c r="H783" s="137"/>
      <c r="I783" s="137"/>
      <c r="J783" s="137"/>
      <c r="K783" s="170"/>
      <c r="L783" s="170"/>
      <c r="M783" s="170"/>
      <c r="N783" s="137"/>
      <c r="O783" s="137"/>
    </row>
    <row r="784" spans="1:15" x14ac:dyDescent="0.35">
      <c r="A784" s="137"/>
      <c r="B784" s="137"/>
      <c r="C784" s="137"/>
      <c r="D784" s="137"/>
      <c r="E784" s="137"/>
      <c r="F784" s="137"/>
      <c r="G784" s="102"/>
      <c r="H784" s="137"/>
      <c r="I784" s="137"/>
      <c r="J784" s="137"/>
      <c r="K784" s="170"/>
      <c r="L784" s="170"/>
      <c r="M784" s="170"/>
      <c r="N784" s="137"/>
      <c r="O784" s="137"/>
    </row>
    <row r="785" spans="1:15" x14ac:dyDescent="0.35">
      <c r="A785" s="137"/>
      <c r="B785" s="137"/>
      <c r="C785" s="137"/>
      <c r="D785" s="137"/>
      <c r="E785" s="137"/>
      <c r="F785" s="137"/>
      <c r="G785" s="102"/>
      <c r="H785" s="137"/>
      <c r="I785" s="137"/>
      <c r="J785" s="137"/>
      <c r="K785" s="170"/>
      <c r="L785" s="170"/>
      <c r="M785" s="170"/>
      <c r="N785" s="137"/>
      <c r="O785" s="137"/>
    </row>
    <row r="786" spans="1:15" x14ac:dyDescent="0.35">
      <c r="A786" s="137"/>
      <c r="B786" s="137"/>
      <c r="C786" s="137"/>
      <c r="D786" s="137"/>
      <c r="E786" s="137"/>
      <c r="F786" s="137"/>
      <c r="G786" s="102"/>
      <c r="H786" s="137"/>
      <c r="I786" s="137"/>
      <c r="J786" s="137"/>
      <c r="K786" s="170"/>
      <c r="L786" s="170"/>
      <c r="M786" s="170"/>
      <c r="N786" s="31"/>
      <c r="O786" s="31"/>
    </row>
    <row r="787" spans="1:15" x14ac:dyDescent="0.35">
      <c r="A787" s="137"/>
      <c r="B787" s="137"/>
      <c r="C787" s="137"/>
      <c r="D787" s="137"/>
      <c r="E787" s="137"/>
      <c r="F787" s="137"/>
      <c r="G787" s="102"/>
      <c r="H787" s="137"/>
      <c r="I787" s="137"/>
      <c r="J787" s="137"/>
      <c r="K787" s="170"/>
      <c r="L787" s="170"/>
      <c r="M787" s="170"/>
    </row>
    <row r="788" spans="1:15" x14ac:dyDescent="0.35">
      <c r="A788" s="137"/>
      <c r="B788" s="137"/>
      <c r="C788" s="137"/>
      <c r="D788" s="137"/>
      <c r="E788" s="137"/>
      <c r="F788" s="137"/>
      <c r="G788" s="102"/>
      <c r="H788" s="137"/>
      <c r="I788" s="137"/>
      <c r="J788" s="137"/>
      <c r="K788" s="170"/>
      <c r="L788" s="170"/>
      <c r="M788" s="170"/>
    </row>
    <row r="789" spans="1:15" x14ac:dyDescent="0.35">
      <c r="A789" s="137"/>
      <c r="B789" s="137"/>
      <c r="C789" s="137"/>
      <c r="D789" s="137"/>
      <c r="E789" s="137"/>
      <c r="F789" s="137"/>
      <c r="G789" s="102"/>
      <c r="H789" s="137"/>
      <c r="I789" s="137"/>
      <c r="J789" s="137"/>
      <c r="K789" s="170"/>
      <c r="L789" s="170"/>
      <c r="M789" s="170"/>
    </row>
    <row r="790" spans="1:15" x14ac:dyDescent="0.35">
      <c r="A790" s="137"/>
      <c r="B790" s="137"/>
      <c r="C790" s="137"/>
      <c r="D790" s="137"/>
      <c r="E790" s="137"/>
      <c r="F790" s="137"/>
      <c r="G790" s="102"/>
      <c r="H790" s="137"/>
      <c r="I790" s="137"/>
      <c r="J790" s="137"/>
      <c r="K790" s="170"/>
      <c r="L790" s="170"/>
      <c r="M790" s="170"/>
    </row>
    <row r="791" spans="1:15" x14ac:dyDescent="0.35">
      <c r="A791" s="137"/>
      <c r="B791" s="137"/>
      <c r="C791" s="137"/>
      <c r="D791" s="137"/>
      <c r="E791" s="137"/>
      <c r="F791" s="137"/>
      <c r="G791" s="102"/>
      <c r="H791" s="137"/>
      <c r="I791" s="137"/>
      <c r="J791" s="137"/>
      <c r="K791" s="170"/>
      <c r="L791" s="170"/>
      <c r="M791" s="170"/>
    </row>
    <row r="792" spans="1:15" x14ac:dyDescent="0.35">
      <c r="A792" s="137"/>
      <c r="B792" s="137"/>
      <c r="C792" s="137"/>
      <c r="D792" s="137"/>
      <c r="E792" s="137"/>
      <c r="F792" s="137"/>
      <c r="G792" s="102"/>
      <c r="H792" s="137"/>
      <c r="I792" s="137"/>
      <c r="J792" s="137"/>
      <c r="K792" s="170"/>
      <c r="L792" s="170"/>
      <c r="M792" s="170"/>
    </row>
    <row r="793" spans="1:15" x14ac:dyDescent="0.35">
      <c r="A793" s="137"/>
      <c r="B793" s="137"/>
      <c r="C793" s="137"/>
      <c r="D793" s="137"/>
      <c r="E793" s="137"/>
      <c r="F793" s="137"/>
      <c r="G793" s="102"/>
      <c r="H793" s="137"/>
      <c r="I793" s="137"/>
      <c r="J793" s="137"/>
      <c r="K793" s="170"/>
      <c r="L793" s="170"/>
      <c r="M793" s="170"/>
      <c r="N793" s="137"/>
      <c r="O793" s="137"/>
    </row>
    <row r="794" spans="1:15" x14ac:dyDescent="0.35">
      <c r="A794" s="137"/>
      <c r="B794" s="137"/>
      <c r="C794" s="137"/>
      <c r="D794" s="137"/>
      <c r="E794" s="137"/>
      <c r="F794" s="137"/>
      <c r="G794" s="102"/>
      <c r="H794" s="137"/>
      <c r="I794" s="137"/>
      <c r="J794" s="137"/>
      <c r="K794" s="170"/>
      <c r="L794" s="170"/>
      <c r="M794" s="170"/>
      <c r="N794" s="137"/>
      <c r="O794" s="137"/>
    </row>
    <row r="795" spans="1:15" x14ac:dyDescent="0.35">
      <c r="A795" s="137"/>
      <c r="B795" s="137"/>
      <c r="C795" s="137"/>
      <c r="D795" s="137"/>
      <c r="E795" s="137"/>
      <c r="F795" s="137"/>
      <c r="G795" s="102"/>
      <c r="H795" s="137"/>
      <c r="I795" s="137"/>
      <c r="J795" s="137"/>
      <c r="K795" s="170"/>
      <c r="L795" s="170"/>
      <c r="M795" s="170"/>
      <c r="N795" s="137"/>
      <c r="O795" s="137"/>
    </row>
    <row r="796" spans="1:15" x14ac:dyDescent="0.35">
      <c r="A796" s="137"/>
      <c r="B796" s="137"/>
      <c r="C796" s="137"/>
      <c r="D796" s="137"/>
      <c r="E796" s="137"/>
      <c r="F796" s="137"/>
      <c r="G796" s="102"/>
      <c r="H796" s="137"/>
      <c r="I796" s="137"/>
      <c r="J796" s="137"/>
      <c r="K796" s="170"/>
      <c r="L796" s="170"/>
      <c r="M796" s="170"/>
    </row>
    <row r="797" spans="1:15" x14ac:dyDescent="0.35">
      <c r="A797" s="137"/>
      <c r="B797" s="137"/>
      <c r="C797" s="137"/>
      <c r="D797" s="137"/>
      <c r="E797" s="137"/>
      <c r="F797" s="137"/>
      <c r="G797" s="102"/>
      <c r="H797" s="137"/>
      <c r="I797" s="137"/>
      <c r="J797" s="137"/>
      <c r="K797" s="170"/>
      <c r="L797" s="170"/>
      <c r="M797" s="170"/>
    </row>
    <row r="798" spans="1:15" x14ac:dyDescent="0.35">
      <c r="A798" s="137"/>
      <c r="B798" s="137"/>
      <c r="C798" s="137"/>
      <c r="D798" s="137"/>
      <c r="E798" s="137"/>
      <c r="F798" s="137"/>
      <c r="G798" s="102"/>
      <c r="H798" s="137"/>
      <c r="I798" s="137"/>
      <c r="J798" s="137"/>
      <c r="K798" s="170"/>
      <c r="L798" s="170"/>
      <c r="M798" s="170"/>
      <c r="N798" s="137"/>
      <c r="O798" s="137"/>
    </row>
    <row r="799" spans="1:15" x14ac:dyDescent="0.35">
      <c r="A799" s="137"/>
      <c r="B799" s="137"/>
      <c r="C799" s="137"/>
      <c r="D799" s="137"/>
      <c r="E799" s="137"/>
      <c r="F799" s="137"/>
      <c r="G799" s="102"/>
      <c r="H799" s="137"/>
      <c r="I799" s="137"/>
      <c r="J799" s="137"/>
      <c r="K799" s="170"/>
      <c r="L799" s="170"/>
      <c r="M799" s="170"/>
      <c r="N799" s="137"/>
      <c r="O799" s="137"/>
    </row>
    <row r="800" spans="1:15" x14ac:dyDescent="0.35">
      <c r="A800" s="137"/>
      <c r="B800" s="137"/>
      <c r="C800" s="137"/>
      <c r="D800" s="137"/>
      <c r="E800" s="137"/>
      <c r="F800" s="137"/>
      <c r="G800" s="102"/>
      <c r="H800" s="137"/>
      <c r="I800" s="137"/>
      <c r="J800" s="137"/>
      <c r="K800" s="170"/>
      <c r="L800" s="170"/>
      <c r="M800" s="170"/>
      <c r="N800" s="137"/>
      <c r="O800" s="137"/>
    </row>
    <row r="801" spans="1:15" x14ac:dyDescent="0.35">
      <c r="A801" s="137"/>
      <c r="B801" s="137"/>
      <c r="C801" s="137"/>
      <c r="D801" s="137"/>
      <c r="E801" s="137"/>
      <c r="F801" s="137"/>
      <c r="G801" s="102"/>
      <c r="H801" s="137"/>
      <c r="I801" s="137"/>
      <c r="J801" s="137"/>
      <c r="K801" s="170"/>
      <c r="L801" s="170"/>
      <c r="M801" s="170"/>
      <c r="N801" s="137"/>
      <c r="O801" s="137"/>
    </row>
    <row r="802" spans="1:15" x14ac:dyDescent="0.35">
      <c r="A802" s="137"/>
      <c r="B802" s="137"/>
      <c r="C802" s="137"/>
      <c r="D802" s="137"/>
      <c r="E802" s="137"/>
      <c r="F802" s="137"/>
      <c r="G802" s="102"/>
      <c r="H802" s="137"/>
      <c r="I802" s="137"/>
      <c r="J802" s="137"/>
      <c r="K802" s="170"/>
      <c r="L802" s="170"/>
      <c r="M802" s="170"/>
      <c r="N802" s="137"/>
      <c r="O802" s="137"/>
    </row>
    <row r="803" spans="1:15" x14ac:dyDescent="0.35">
      <c r="A803" s="137"/>
      <c r="B803" s="137"/>
      <c r="C803" s="137"/>
      <c r="D803" s="137"/>
      <c r="E803" s="137"/>
      <c r="F803" s="137"/>
      <c r="G803" s="102"/>
      <c r="H803" s="137"/>
      <c r="I803" s="137"/>
      <c r="J803" s="137"/>
      <c r="K803" s="170"/>
      <c r="L803" s="170"/>
      <c r="M803" s="170"/>
      <c r="N803" s="137"/>
      <c r="O803" s="137"/>
    </row>
    <row r="804" spans="1:15" x14ac:dyDescent="0.35">
      <c r="A804" s="137"/>
      <c r="B804" s="137"/>
      <c r="C804" s="137"/>
      <c r="D804" s="137"/>
      <c r="E804" s="137"/>
      <c r="F804" s="137"/>
      <c r="G804" s="102"/>
      <c r="H804" s="137"/>
      <c r="I804" s="137"/>
      <c r="J804" s="137"/>
      <c r="K804" s="170"/>
      <c r="L804" s="170"/>
      <c r="M804" s="170"/>
      <c r="N804" s="137"/>
      <c r="O804" s="137"/>
    </row>
    <row r="805" spans="1:15" x14ac:dyDescent="0.35">
      <c r="A805" s="137"/>
      <c r="B805" s="137"/>
      <c r="C805" s="137"/>
      <c r="D805" s="137"/>
      <c r="E805" s="137"/>
      <c r="F805" s="137"/>
      <c r="G805" s="102"/>
      <c r="H805" s="137"/>
      <c r="I805" s="137"/>
      <c r="J805" s="137"/>
      <c r="K805" s="170"/>
      <c r="L805" s="170"/>
      <c r="M805" s="170"/>
    </row>
    <row r="806" spans="1:15" x14ac:dyDescent="0.35">
      <c r="A806" s="137"/>
      <c r="B806" s="137"/>
      <c r="C806" s="137"/>
      <c r="D806" s="137"/>
      <c r="E806" s="137"/>
      <c r="F806" s="137"/>
      <c r="G806" s="102"/>
      <c r="H806" s="137"/>
      <c r="I806" s="137"/>
      <c r="J806" s="137"/>
      <c r="K806" s="170"/>
      <c r="L806" s="170"/>
      <c r="M806" s="170"/>
      <c r="N806" s="137"/>
      <c r="O806" s="137"/>
    </row>
    <row r="807" spans="1:15" x14ac:dyDescent="0.35">
      <c r="A807" s="137"/>
      <c r="B807" s="137"/>
      <c r="C807" s="137"/>
      <c r="D807" s="137"/>
      <c r="E807" s="137"/>
      <c r="F807" s="137"/>
      <c r="G807" s="102"/>
      <c r="H807" s="137"/>
      <c r="I807" s="137"/>
      <c r="J807" s="137"/>
      <c r="K807" s="170"/>
      <c r="L807" s="170"/>
      <c r="M807" s="170"/>
      <c r="N807" s="137"/>
      <c r="O807" s="137"/>
    </row>
    <row r="808" spans="1:15" x14ac:dyDescent="0.35">
      <c r="A808" s="137"/>
      <c r="B808" s="137"/>
      <c r="C808" s="137"/>
      <c r="D808" s="137"/>
      <c r="E808" s="137"/>
      <c r="F808" s="137"/>
      <c r="G808" s="102"/>
      <c r="H808" s="137"/>
      <c r="I808" s="137"/>
      <c r="J808" s="137"/>
      <c r="K808" s="170"/>
      <c r="L808" s="170"/>
      <c r="M808" s="170"/>
      <c r="N808" s="137"/>
      <c r="O808" s="137"/>
    </row>
    <row r="809" spans="1:15" x14ac:dyDescent="0.35">
      <c r="A809" s="137"/>
      <c r="B809" s="137"/>
      <c r="C809" s="137"/>
      <c r="D809" s="137"/>
      <c r="E809" s="137"/>
      <c r="F809" s="137"/>
      <c r="G809" s="102"/>
      <c r="H809" s="137"/>
      <c r="I809" s="137"/>
      <c r="J809" s="137"/>
      <c r="K809" s="170"/>
      <c r="L809" s="170"/>
      <c r="M809" s="170"/>
    </row>
    <row r="810" spans="1:15" x14ac:dyDescent="0.35">
      <c r="A810" s="137"/>
      <c r="B810" s="137"/>
      <c r="C810" s="137"/>
      <c r="D810" s="137"/>
      <c r="E810" s="137"/>
      <c r="F810" s="137"/>
      <c r="G810" s="102"/>
      <c r="H810" s="137"/>
      <c r="I810" s="137"/>
      <c r="J810" s="137"/>
      <c r="K810" s="170"/>
      <c r="L810" s="170"/>
      <c r="M810" s="170"/>
      <c r="N810" s="137"/>
      <c r="O810" s="137"/>
    </row>
    <row r="811" spans="1:15" x14ac:dyDescent="0.35">
      <c r="A811" s="137"/>
      <c r="B811" s="137"/>
      <c r="C811" s="137"/>
      <c r="D811" s="137"/>
      <c r="E811" s="137"/>
      <c r="F811" s="137"/>
      <c r="G811" s="102"/>
      <c r="H811" s="137"/>
      <c r="I811" s="137"/>
      <c r="J811" s="137"/>
      <c r="K811" s="170"/>
      <c r="L811" s="170"/>
      <c r="M811" s="170"/>
      <c r="N811" s="137"/>
      <c r="O811" s="137"/>
    </row>
    <row r="812" spans="1:15" x14ac:dyDescent="0.35">
      <c r="A812" s="137"/>
      <c r="B812" s="137"/>
      <c r="C812" s="137"/>
      <c r="D812" s="137"/>
      <c r="E812" s="137"/>
      <c r="F812" s="137"/>
      <c r="G812" s="102"/>
      <c r="H812" s="137"/>
      <c r="I812" s="137"/>
      <c r="J812" s="137"/>
      <c r="K812" s="170"/>
      <c r="L812" s="170"/>
      <c r="M812" s="170"/>
      <c r="N812" s="137"/>
      <c r="O812" s="137"/>
    </row>
    <row r="813" spans="1:15" x14ac:dyDescent="0.35">
      <c r="A813" s="137"/>
      <c r="B813" s="137"/>
      <c r="C813" s="137"/>
      <c r="D813" s="137"/>
      <c r="E813" s="137"/>
      <c r="F813" s="137"/>
      <c r="G813" s="102"/>
      <c r="H813" s="137"/>
      <c r="I813" s="137"/>
      <c r="J813" s="137"/>
      <c r="K813" s="170"/>
      <c r="L813" s="170"/>
      <c r="M813" s="170"/>
      <c r="N813" s="137"/>
      <c r="O813" s="137"/>
    </row>
    <row r="814" spans="1:15" x14ac:dyDescent="0.35">
      <c r="A814" s="137"/>
      <c r="B814" s="137"/>
      <c r="C814" s="137"/>
      <c r="D814" s="137"/>
      <c r="E814" s="137"/>
      <c r="F814" s="137"/>
      <c r="G814" s="102"/>
      <c r="H814" s="137"/>
      <c r="I814" s="137"/>
      <c r="J814" s="137"/>
      <c r="K814" s="170"/>
      <c r="L814" s="170"/>
      <c r="M814" s="170"/>
      <c r="N814" s="137"/>
      <c r="O814" s="137"/>
    </row>
    <row r="815" spans="1:15" x14ac:dyDescent="0.35">
      <c r="A815" s="137"/>
      <c r="B815" s="137"/>
      <c r="C815" s="137"/>
      <c r="D815" s="137"/>
      <c r="E815" s="137"/>
      <c r="F815" s="137"/>
      <c r="G815" s="102"/>
      <c r="H815" s="137"/>
      <c r="I815" s="137"/>
      <c r="J815" s="137"/>
      <c r="K815" s="170"/>
      <c r="L815" s="170"/>
      <c r="M815" s="170"/>
    </row>
    <row r="816" spans="1:15" x14ac:dyDescent="0.35">
      <c r="A816" s="137"/>
      <c r="B816" s="137"/>
      <c r="C816" s="137"/>
      <c r="D816" s="137"/>
      <c r="E816" s="137"/>
      <c r="F816" s="137"/>
      <c r="G816" s="102"/>
      <c r="H816" s="137"/>
      <c r="I816" s="137"/>
      <c r="J816" s="137"/>
      <c r="K816" s="170"/>
      <c r="L816" s="170"/>
      <c r="M816" s="170"/>
    </row>
    <row r="817" spans="1:15" x14ac:dyDescent="0.35">
      <c r="A817" s="137"/>
      <c r="B817" s="137"/>
      <c r="C817" s="137"/>
      <c r="D817" s="137"/>
      <c r="E817" s="137"/>
      <c r="F817" s="137"/>
      <c r="G817" s="102"/>
      <c r="H817" s="137"/>
      <c r="I817" s="137"/>
      <c r="J817" s="137"/>
      <c r="K817" s="170"/>
      <c r="L817" s="170"/>
      <c r="M817" s="170"/>
      <c r="N817" s="31"/>
      <c r="O817" s="31"/>
    </row>
    <row r="818" spans="1:15" x14ac:dyDescent="0.35">
      <c r="A818" s="137"/>
      <c r="B818" s="137"/>
      <c r="C818" s="137"/>
      <c r="D818" s="137"/>
      <c r="E818" s="137"/>
      <c r="F818" s="137"/>
      <c r="G818" s="102"/>
      <c r="H818" s="137"/>
      <c r="I818" s="137"/>
      <c r="J818" s="137"/>
      <c r="K818" s="170"/>
      <c r="L818" s="170"/>
      <c r="M818" s="170"/>
    </row>
    <row r="819" spans="1:15" x14ac:dyDescent="0.35">
      <c r="A819" s="137"/>
      <c r="B819" s="137"/>
      <c r="C819" s="137"/>
      <c r="D819" s="137"/>
      <c r="E819" s="137"/>
      <c r="F819" s="137"/>
      <c r="G819" s="102"/>
      <c r="H819" s="137"/>
      <c r="I819" s="137"/>
      <c r="J819" s="137"/>
      <c r="K819" s="170"/>
      <c r="L819" s="170"/>
      <c r="M819" s="170"/>
    </row>
    <row r="820" spans="1:15" x14ac:dyDescent="0.35">
      <c r="A820" s="137"/>
      <c r="B820" s="137"/>
      <c r="C820" s="137"/>
      <c r="D820" s="137"/>
      <c r="E820" s="137"/>
      <c r="F820" s="137"/>
      <c r="G820" s="102"/>
      <c r="H820" s="137"/>
      <c r="I820" s="137"/>
      <c r="J820" s="137"/>
      <c r="K820" s="170"/>
      <c r="L820" s="170"/>
      <c r="M820" s="170"/>
    </row>
    <row r="821" spans="1:15" x14ac:dyDescent="0.35">
      <c r="A821" s="137"/>
      <c r="B821" s="137"/>
      <c r="C821" s="137"/>
      <c r="D821" s="137"/>
      <c r="E821" s="137"/>
      <c r="F821" s="137"/>
      <c r="G821" s="102"/>
      <c r="H821" s="137"/>
      <c r="I821" s="137"/>
      <c r="J821" s="137"/>
      <c r="K821" s="170"/>
      <c r="L821" s="170"/>
      <c r="M821" s="170"/>
      <c r="N821" s="137"/>
      <c r="O821" s="137"/>
    </row>
    <row r="822" spans="1:15" x14ac:dyDescent="0.35">
      <c r="A822" s="137"/>
      <c r="B822" s="137"/>
      <c r="C822" s="137"/>
      <c r="D822" s="137"/>
      <c r="E822" s="137"/>
      <c r="F822" s="137"/>
      <c r="G822" s="102"/>
      <c r="H822" s="137"/>
      <c r="I822" s="137"/>
      <c r="J822" s="137"/>
      <c r="K822" s="170"/>
      <c r="L822" s="170"/>
      <c r="M822" s="170"/>
    </row>
    <row r="823" spans="1:15" x14ac:dyDescent="0.35">
      <c r="A823" s="137"/>
      <c r="B823" s="137"/>
      <c r="C823" s="137"/>
      <c r="D823" s="137"/>
      <c r="E823" s="137"/>
      <c r="F823" s="137"/>
      <c r="G823" s="102"/>
      <c r="H823" s="137"/>
      <c r="I823" s="137"/>
      <c r="J823" s="137"/>
      <c r="K823" s="170"/>
      <c r="L823" s="170"/>
      <c r="M823" s="170"/>
    </row>
    <row r="824" spans="1:15" x14ac:dyDescent="0.35">
      <c r="A824" s="137"/>
      <c r="B824" s="137"/>
      <c r="C824" s="137"/>
      <c r="D824" s="137"/>
      <c r="E824" s="137"/>
      <c r="F824" s="137"/>
      <c r="G824" s="102"/>
      <c r="H824" s="137"/>
      <c r="I824" s="137"/>
      <c r="J824" s="137"/>
      <c r="K824" s="170"/>
      <c r="L824" s="170"/>
      <c r="M824" s="170"/>
      <c r="N824" s="137"/>
      <c r="O824" s="137"/>
    </row>
    <row r="825" spans="1:15" x14ac:dyDescent="0.35">
      <c r="A825" s="137"/>
      <c r="B825" s="137"/>
      <c r="C825" s="137"/>
      <c r="D825" s="137"/>
      <c r="E825" s="137"/>
      <c r="F825" s="137"/>
      <c r="G825" s="102"/>
      <c r="H825" s="137"/>
      <c r="I825" s="137"/>
      <c r="J825" s="137"/>
      <c r="K825" s="170"/>
      <c r="L825" s="170"/>
      <c r="M825" s="170"/>
      <c r="N825" s="137"/>
      <c r="O825" s="137"/>
    </row>
    <row r="826" spans="1:15" x14ac:dyDescent="0.35">
      <c r="A826" s="137"/>
      <c r="B826" s="137"/>
      <c r="C826" s="137"/>
      <c r="D826" s="137"/>
      <c r="E826" s="137"/>
      <c r="F826" s="137"/>
      <c r="G826" s="102"/>
      <c r="H826" s="137"/>
      <c r="I826" s="137"/>
      <c r="J826" s="137"/>
      <c r="K826" s="170"/>
      <c r="L826" s="170"/>
      <c r="M826" s="170"/>
      <c r="N826" s="31"/>
      <c r="O826" s="31"/>
    </row>
    <row r="827" spans="1:15" x14ac:dyDescent="0.35">
      <c r="A827" s="137"/>
      <c r="B827" s="137"/>
      <c r="C827" s="137"/>
      <c r="D827" s="137"/>
      <c r="E827" s="137"/>
      <c r="F827" s="137"/>
      <c r="G827" s="102"/>
      <c r="H827" s="137"/>
      <c r="I827" s="137"/>
      <c r="J827" s="137"/>
      <c r="K827" s="170"/>
      <c r="L827" s="170"/>
      <c r="M827" s="170"/>
      <c r="N827" s="31"/>
      <c r="O827" s="31"/>
    </row>
    <row r="828" spans="1:15" x14ac:dyDescent="0.35">
      <c r="A828" s="137"/>
      <c r="B828" s="137"/>
      <c r="C828" s="137"/>
      <c r="D828" s="137"/>
      <c r="E828" s="137"/>
      <c r="F828" s="137"/>
      <c r="G828" s="102"/>
      <c r="H828" s="137"/>
      <c r="I828" s="137"/>
      <c r="J828" s="137"/>
      <c r="K828" s="170"/>
      <c r="L828" s="170"/>
      <c r="M828" s="170"/>
    </row>
    <row r="829" spans="1:15" x14ac:dyDescent="0.35">
      <c r="A829" s="137"/>
      <c r="B829" s="137"/>
      <c r="C829" s="137"/>
      <c r="D829" s="137"/>
      <c r="E829" s="137"/>
      <c r="F829" s="137"/>
      <c r="G829" s="102"/>
      <c r="H829" s="137"/>
      <c r="I829" s="137"/>
      <c r="J829" s="137"/>
      <c r="K829" s="170"/>
      <c r="L829" s="170"/>
      <c r="M829" s="170"/>
    </row>
    <row r="830" spans="1:15" x14ac:dyDescent="0.35">
      <c r="A830" s="137"/>
      <c r="B830" s="137"/>
      <c r="C830" s="137"/>
      <c r="D830" s="137"/>
      <c r="E830" s="137"/>
      <c r="F830" s="137"/>
      <c r="G830" s="102"/>
      <c r="H830" s="137"/>
      <c r="I830" s="137"/>
      <c r="J830" s="137"/>
      <c r="K830" s="170"/>
      <c r="L830" s="170"/>
      <c r="M830" s="170"/>
    </row>
    <row r="831" spans="1:15" x14ac:dyDescent="0.35">
      <c r="A831" s="137"/>
      <c r="B831" s="137"/>
      <c r="C831" s="137"/>
      <c r="D831" s="137"/>
      <c r="E831" s="137"/>
      <c r="F831" s="137"/>
      <c r="G831" s="102"/>
      <c r="H831" s="137"/>
      <c r="I831" s="137"/>
      <c r="J831" s="137"/>
      <c r="K831" s="170"/>
      <c r="L831" s="170"/>
      <c r="M831" s="170"/>
    </row>
    <row r="832" spans="1:15" x14ac:dyDescent="0.35">
      <c r="A832" s="137"/>
      <c r="B832" s="137"/>
      <c r="C832" s="137"/>
      <c r="D832" s="137"/>
      <c r="E832" s="137"/>
      <c r="F832" s="137"/>
      <c r="G832" s="102"/>
      <c r="H832" s="137"/>
      <c r="I832" s="137"/>
      <c r="J832" s="137"/>
      <c r="K832" s="170"/>
      <c r="L832" s="170"/>
      <c r="M832" s="170"/>
    </row>
    <row r="833" spans="1:15" x14ac:dyDescent="0.35">
      <c r="A833" s="137"/>
      <c r="B833" s="137"/>
      <c r="C833" s="137"/>
      <c r="D833" s="137"/>
      <c r="E833" s="137"/>
      <c r="F833" s="137"/>
      <c r="G833" s="102"/>
      <c r="H833" s="137"/>
      <c r="I833" s="137"/>
      <c r="J833" s="137"/>
      <c r="K833" s="170"/>
      <c r="L833" s="170"/>
      <c r="M833" s="170"/>
      <c r="N833" s="137"/>
      <c r="O833" s="137"/>
    </row>
    <row r="834" spans="1:15" x14ac:dyDescent="0.35">
      <c r="A834" s="137"/>
      <c r="B834" s="137"/>
      <c r="C834" s="137"/>
      <c r="D834" s="137"/>
      <c r="E834" s="137"/>
      <c r="F834" s="137"/>
      <c r="G834" s="102"/>
      <c r="H834" s="137"/>
      <c r="I834" s="137"/>
      <c r="J834" s="137"/>
      <c r="K834" s="170"/>
      <c r="L834" s="170"/>
      <c r="M834" s="170"/>
    </row>
    <row r="835" spans="1:15" x14ac:dyDescent="0.35">
      <c r="A835" s="137"/>
      <c r="B835" s="137"/>
      <c r="C835" s="137"/>
      <c r="D835" s="137"/>
      <c r="E835" s="137"/>
      <c r="F835" s="137"/>
      <c r="G835" s="102"/>
      <c r="H835" s="137"/>
      <c r="I835" s="137"/>
      <c r="J835" s="137"/>
      <c r="K835" s="170"/>
      <c r="L835" s="170"/>
      <c r="M835" s="170"/>
      <c r="N835" s="137"/>
      <c r="O835" s="137"/>
    </row>
    <row r="836" spans="1:15" x14ac:dyDescent="0.35">
      <c r="A836" s="137"/>
      <c r="B836" s="137"/>
      <c r="C836" s="137"/>
      <c r="D836" s="137"/>
      <c r="E836" s="137"/>
      <c r="F836" s="137"/>
      <c r="G836" s="102"/>
      <c r="H836" s="137"/>
      <c r="I836" s="137"/>
      <c r="J836" s="137"/>
      <c r="K836" s="170"/>
      <c r="L836" s="170"/>
      <c r="M836" s="170"/>
      <c r="N836" s="137"/>
      <c r="O836" s="137"/>
    </row>
    <row r="837" spans="1:15" x14ac:dyDescent="0.35">
      <c r="A837" s="137"/>
      <c r="B837" s="137"/>
      <c r="C837" s="137"/>
      <c r="D837" s="137"/>
      <c r="E837" s="137"/>
      <c r="F837" s="137"/>
      <c r="G837" s="102"/>
      <c r="H837" s="137"/>
      <c r="I837" s="137"/>
      <c r="J837" s="137"/>
      <c r="K837" s="170"/>
      <c r="L837" s="170"/>
      <c r="M837" s="170"/>
      <c r="N837" s="137"/>
      <c r="O837" s="137"/>
    </row>
    <row r="838" spans="1:15" x14ac:dyDescent="0.35">
      <c r="A838" s="137"/>
      <c r="B838" s="137"/>
      <c r="C838" s="137"/>
      <c r="D838" s="137"/>
      <c r="E838" s="137"/>
      <c r="F838" s="137"/>
      <c r="G838" s="102"/>
      <c r="H838" s="137"/>
      <c r="I838" s="137"/>
      <c r="J838" s="137"/>
      <c r="K838" s="170"/>
      <c r="L838" s="170"/>
      <c r="M838" s="170"/>
      <c r="N838" s="137"/>
      <c r="O838" s="137"/>
    </row>
    <row r="839" spans="1:15" x14ac:dyDescent="0.35">
      <c r="A839" s="137"/>
      <c r="B839" s="137"/>
      <c r="C839" s="137"/>
      <c r="D839" s="137"/>
      <c r="E839" s="137"/>
      <c r="F839" s="137"/>
      <c r="G839" s="102"/>
      <c r="H839" s="137"/>
      <c r="I839" s="137"/>
      <c r="J839" s="137"/>
      <c r="K839" s="170"/>
      <c r="L839" s="170"/>
      <c r="M839" s="170"/>
      <c r="N839" s="137"/>
      <c r="O839" s="137"/>
    </row>
    <row r="840" spans="1:15" x14ac:dyDescent="0.35">
      <c r="A840" s="137"/>
      <c r="B840" s="137"/>
      <c r="C840" s="137"/>
      <c r="D840" s="137"/>
      <c r="E840" s="137"/>
      <c r="F840" s="137"/>
      <c r="G840" s="102"/>
      <c r="H840" s="137"/>
      <c r="I840" s="137"/>
      <c r="J840" s="137"/>
      <c r="K840" s="170"/>
      <c r="L840" s="170"/>
      <c r="M840" s="170"/>
      <c r="N840" s="31"/>
      <c r="O840" s="31"/>
    </row>
    <row r="841" spans="1:15" x14ac:dyDescent="0.35">
      <c r="A841" s="137"/>
      <c r="B841" s="137"/>
      <c r="C841" s="137"/>
      <c r="D841" s="137"/>
      <c r="E841" s="137"/>
      <c r="F841" s="137"/>
      <c r="G841" s="102"/>
      <c r="H841" s="137"/>
      <c r="I841" s="137"/>
      <c r="J841" s="137"/>
      <c r="K841" s="170"/>
      <c r="L841" s="170"/>
      <c r="M841" s="170"/>
    </row>
    <row r="842" spans="1:15" x14ac:dyDescent="0.35">
      <c r="A842" s="137"/>
      <c r="B842" s="137"/>
      <c r="C842" s="137"/>
      <c r="D842" s="137"/>
      <c r="E842" s="137"/>
      <c r="F842" s="137"/>
      <c r="G842" s="102"/>
      <c r="H842" s="137"/>
      <c r="I842" s="137"/>
      <c r="J842" s="137"/>
      <c r="K842" s="170"/>
      <c r="L842" s="170"/>
      <c r="M842" s="170"/>
      <c r="N842" s="31"/>
      <c r="O842" s="31"/>
    </row>
    <row r="843" spans="1:15" x14ac:dyDescent="0.35">
      <c r="A843" s="137"/>
      <c r="B843" s="137"/>
      <c r="C843" s="137"/>
      <c r="D843" s="137"/>
      <c r="E843" s="137"/>
      <c r="F843" s="137"/>
      <c r="G843" s="102"/>
      <c r="H843" s="137"/>
      <c r="I843" s="137"/>
      <c r="J843" s="137"/>
      <c r="K843" s="170"/>
      <c r="L843" s="170"/>
      <c r="M843" s="170"/>
    </row>
    <row r="844" spans="1:15" x14ac:dyDescent="0.35">
      <c r="A844" s="137"/>
      <c r="B844" s="137"/>
      <c r="C844" s="137"/>
      <c r="D844" s="137"/>
      <c r="E844" s="137"/>
      <c r="F844" s="137"/>
      <c r="G844" s="102"/>
      <c r="H844" s="137"/>
      <c r="I844" s="137"/>
      <c r="J844" s="137"/>
      <c r="K844" s="170"/>
      <c r="L844" s="170"/>
      <c r="M844" s="170"/>
    </row>
    <row r="845" spans="1:15" x14ac:dyDescent="0.35">
      <c r="A845" s="137"/>
      <c r="B845" s="137"/>
      <c r="C845" s="137"/>
      <c r="D845" s="137"/>
      <c r="E845" s="137"/>
      <c r="F845" s="137"/>
      <c r="G845" s="102"/>
      <c r="H845" s="137"/>
      <c r="I845" s="137"/>
      <c r="J845" s="137"/>
      <c r="K845" s="170"/>
      <c r="L845" s="170"/>
      <c r="M845" s="170"/>
    </row>
    <row r="846" spans="1:15" x14ac:dyDescent="0.35">
      <c r="A846" s="137"/>
      <c r="B846" s="137"/>
      <c r="C846" s="137"/>
      <c r="D846" s="137"/>
      <c r="E846" s="137"/>
      <c r="F846" s="137"/>
      <c r="G846" s="102"/>
      <c r="H846" s="137"/>
      <c r="I846" s="137"/>
      <c r="J846" s="137"/>
      <c r="K846" s="170"/>
      <c r="L846" s="170"/>
      <c r="M846" s="170"/>
    </row>
    <row r="847" spans="1:15" x14ac:dyDescent="0.35">
      <c r="A847" s="137"/>
      <c r="B847" s="137"/>
      <c r="C847" s="137"/>
      <c r="D847" s="137"/>
      <c r="E847" s="137"/>
      <c r="F847" s="137"/>
      <c r="G847" s="102"/>
      <c r="H847" s="137"/>
      <c r="I847" s="137"/>
      <c r="J847" s="137"/>
      <c r="K847" s="170"/>
      <c r="L847" s="170"/>
      <c r="M847" s="170"/>
    </row>
    <row r="848" spans="1:15" x14ac:dyDescent="0.35">
      <c r="A848" s="137"/>
      <c r="B848" s="137"/>
      <c r="C848" s="137"/>
      <c r="D848" s="137"/>
      <c r="E848" s="137"/>
      <c r="F848" s="137"/>
      <c r="G848" s="102"/>
      <c r="H848" s="137"/>
      <c r="I848" s="137"/>
      <c r="J848" s="137"/>
      <c r="K848" s="170"/>
      <c r="L848" s="170"/>
      <c r="M848" s="170"/>
      <c r="N848" s="137"/>
      <c r="O848" s="137"/>
    </row>
    <row r="849" spans="1:15" x14ac:dyDescent="0.35">
      <c r="A849" s="137"/>
      <c r="B849" s="137"/>
      <c r="C849" s="137"/>
      <c r="D849" s="137"/>
      <c r="E849" s="137"/>
      <c r="F849" s="137"/>
      <c r="G849" s="102"/>
      <c r="H849" s="137"/>
      <c r="I849" s="137"/>
      <c r="J849" s="137"/>
      <c r="K849" s="170"/>
      <c r="L849" s="170"/>
      <c r="M849" s="170"/>
    </row>
    <row r="850" spans="1:15" x14ac:dyDescent="0.35">
      <c r="A850" s="137"/>
      <c r="B850" s="137"/>
      <c r="C850" s="137"/>
      <c r="D850" s="137"/>
      <c r="E850" s="137"/>
      <c r="F850" s="137"/>
      <c r="G850" s="102"/>
      <c r="H850" s="137"/>
      <c r="I850" s="137"/>
      <c r="J850" s="137"/>
      <c r="K850" s="170"/>
      <c r="L850" s="170"/>
      <c r="M850" s="170"/>
      <c r="N850" s="137"/>
      <c r="O850" s="137"/>
    </row>
    <row r="851" spans="1:15" x14ac:dyDescent="0.35">
      <c r="A851" s="137"/>
      <c r="B851" s="137"/>
      <c r="C851" s="137"/>
      <c r="D851" s="137"/>
      <c r="E851" s="137"/>
      <c r="F851" s="137"/>
      <c r="G851" s="102"/>
      <c r="H851" s="137"/>
      <c r="I851" s="137"/>
      <c r="J851" s="137"/>
      <c r="K851" s="170"/>
      <c r="L851" s="170"/>
      <c r="M851" s="170"/>
      <c r="N851" s="137"/>
      <c r="O851" s="137"/>
    </row>
    <row r="852" spans="1:15" x14ac:dyDescent="0.35">
      <c r="A852" s="137"/>
      <c r="B852" s="137"/>
      <c r="C852" s="137"/>
      <c r="D852" s="137"/>
      <c r="E852" s="137"/>
      <c r="F852" s="137"/>
      <c r="G852" s="102"/>
      <c r="H852" s="137"/>
      <c r="I852" s="137"/>
      <c r="J852" s="137"/>
      <c r="K852" s="170"/>
      <c r="L852" s="170"/>
      <c r="M852" s="170"/>
      <c r="N852" s="137"/>
      <c r="O852" s="137"/>
    </row>
    <row r="853" spans="1:15" x14ac:dyDescent="0.35">
      <c r="A853" s="137"/>
      <c r="B853" s="137"/>
      <c r="C853" s="137"/>
      <c r="D853" s="137"/>
      <c r="E853" s="137"/>
      <c r="F853" s="137"/>
      <c r="G853" s="102"/>
      <c r="H853" s="137"/>
      <c r="I853" s="137"/>
      <c r="J853" s="137"/>
      <c r="K853" s="170"/>
      <c r="L853" s="170"/>
      <c r="M853" s="170"/>
      <c r="N853" s="137"/>
      <c r="O853" s="137"/>
    </row>
    <row r="854" spans="1:15" x14ac:dyDescent="0.35">
      <c r="A854" s="137"/>
      <c r="B854" s="137"/>
      <c r="C854" s="137"/>
      <c r="D854" s="137"/>
      <c r="E854" s="137"/>
      <c r="F854" s="137"/>
      <c r="G854" s="102"/>
      <c r="H854" s="137"/>
      <c r="I854" s="137"/>
      <c r="J854" s="137"/>
      <c r="K854" s="170"/>
      <c r="L854" s="170"/>
      <c r="M854" s="170"/>
      <c r="N854" s="31"/>
      <c r="O854" s="31"/>
    </row>
    <row r="855" spans="1:15" x14ac:dyDescent="0.35">
      <c r="A855" s="137"/>
      <c r="B855" s="137"/>
      <c r="C855" s="137"/>
      <c r="D855" s="137"/>
      <c r="E855" s="137"/>
      <c r="F855" s="137"/>
      <c r="G855" s="102"/>
      <c r="H855" s="137"/>
      <c r="I855" s="137"/>
      <c r="J855" s="137"/>
      <c r="K855" s="170"/>
      <c r="L855" s="170"/>
      <c r="M855" s="170"/>
      <c r="N855" s="31"/>
      <c r="O855" s="31"/>
    </row>
    <row r="856" spans="1:15" x14ac:dyDescent="0.35">
      <c r="A856" s="137"/>
      <c r="B856" s="137"/>
      <c r="C856" s="137"/>
      <c r="D856" s="137"/>
      <c r="E856" s="137"/>
      <c r="F856" s="137"/>
      <c r="G856" s="102"/>
      <c r="H856" s="137"/>
      <c r="I856" s="137"/>
      <c r="J856" s="137"/>
      <c r="K856" s="170"/>
      <c r="L856" s="170"/>
      <c r="M856" s="170"/>
    </row>
    <row r="857" spans="1:15" x14ac:dyDescent="0.35">
      <c r="A857" s="137"/>
      <c r="B857" s="137"/>
      <c r="C857" s="137"/>
      <c r="D857" s="137"/>
      <c r="E857" s="137"/>
      <c r="F857" s="137"/>
      <c r="G857" s="102"/>
      <c r="H857" s="137"/>
      <c r="I857" s="137"/>
      <c r="J857" s="137"/>
      <c r="K857" s="170"/>
      <c r="L857" s="170"/>
      <c r="M857" s="170"/>
    </row>
    <row r="858" spans="1:15" x14ac:dyDescent="0.35">
      <c r="A858" s="137"/>
      <c r="B858" s="137"/>
      <c r="C858" s="137"/>
      <c r="D858" s="137"/>
      <c r="E858" s="137"/>
      <c r="F858" s="137"/>
      <c r="G858" s="102"/>
      <c r="H858" s="137"/>
      <c r="I858" s="137"/>
      <c r="J858" s="137"/>
      <c r="K858" s="170"/>
      <c r="L858" s="170"/>
      <c r="M858" s="170"/>
    </row>
    <row r="859" spans="1:15" x14ac:dyDescent="0.35">
      <c r="A859" s="137"/>
      <c r="B859" s="137"/>
      <c r="C859" s="137"/>
      <c r="D859" s="137"/>
      <c r="E859" s="137"/>
      <c r="F859" s="137"/>
      <c r="G859" s="102"/>
      <c r="H859" s="137"/>
      <c r="I859" s="137"/>
      <c r="J859" s="137"/>
      <c r="K859" s="170"/>
      <c r="L859" s="170"/>
      <c r="M859" s="170"/>
      <c r="N859" s="137"/>
      <c r="O859" s="137"/>
    </row>
    <row r="860" spans="1:15" x14ac:dyDescent="0.35">
      <c r="A860" s="137"/>
      <c r="B860" s="137"/>
      <c r="C860" s="137"/>
      <c r="D860" s="137"/>
      <c r="E860" s="137"/>
      <c r="F860" s="137"/>
      <c r="G860" s="102"/>
      <c r="H860" s="137"/>
      <c r="I860" s="137"/>
      <c r="J860" s="137"/>
      <c r="K860" s="170"/>
      <c r="L860" s="170"/>
      <c r="M860" s="170"/>
    </row>
    <row r="861" spans="1:15" x14ac:dyDescent="0.35">
      <c r="A861" s="137"/>
      <c r="B861" s="137"/>
      <c r="C861" s="137"/>
      <c r="D861" s="137"/>
      <c r="E861" s="137"/>
      <c r="F861" s="137"/>
      <c r="G861" s="102"/>
      <c r="H861" s="137"/>
      <c r="I861" s="137"/>
      <c r="J861" s="137"/>
      <c r="K861" s="170"/>
      <c r="L861" s="170"/>
      <c r="M861" s="170"/>
      <c r="N861" s="31"/>
      <c r="O861" s="31"/>
    </row>
    <row r="862" spans="1:15" x14ac:dyDescent="0.35">
      <c r="A862" s="137"/>
      <c r="B862" s="137"/>
      <c r="C862" s="137"/>
      <c r="D862" s="137"/>
      <c r="E862" s="137"/>
      <c r="F862" s="137"/>
      <c r="G862" s="102"/>
      <c r="H862" s="137"/>
      <c r="I862" s="137"/>
      <c r="J862" s="137"/>
      <c r="K862" s="170"/>
      <c r="L862" s="170"/>
      <c r="M862" s="170"/>
    </row>
    <row r="863" spans="1:15" x14ac:dyDescent="0.35">
      <c r="A863" s="137"/>
      <c r="B863" s="137"/>
      <c r="C863" s="137"/>
      <c r="D863" s="137"/>
      <c r="E863" s="137"/>
      <c r="F863" s="137"/>
      <c r="G863" s="102"/>
      <c r="H863" s="137"/>
      <c r="I863" s="137"/>
      <c r="J863" s="137"/>
      <c r="K863" s="170"/>
      <c r="L863" s="170"/>
      <c r="M863" s="170"/>
      <c r="N863" s="137"/>
      <c r="O863" s="137"/>
    </row>
    <row r="864" spans="1:15" x14ac:dyDescent="0.35">
      <c r="A864" s="137"/>
      <c r="B864" s="137"/>
      <c r="C864" s="137"/>
      <c r="D864" s="137"/>
      <c r="E864" s="137"/>
      <c r="F864" s="137"/>
      <c r="G864" s="102"/>
      <c r="H864" s="137"/>
      <c r="I864" s="137"/>
      <c r="J864" s="137"/>
      <c r="K864" s="170"/>
      <c r="L864" s="170"/>
      <c r="M864" s="170"/>
    </row>
    <row r="865" spans="1:15" x14ac:dyDescent="0.35">
      <c r="A865" s="137"/>
      <c r="B865" s="137"/>
      <c r="C865" s="137"/>
      <c r="D865" s="137"/>
      <c r="E865" s="137"/>
      <c r="F865" s="137"/>
      <c r="G865" s="102"/>
      <c r="H865" s="137"/>
      <c r="I865" s="137"/>
      <c r="J865" s="137"/>
      <c r="K865" s="170"/>
      <c r="L865" s="170"/>
      <c r="M865" s="170"/>
      <c r="N865" s="137"/>
      <c r="O865" s="137"/>
    </row>
    <row r="866" spans="1:15" x14ac:dyDescent="0.35">
      <c r="A866" s="137"/>
      <c r="B866" s="137"/>
      <c r="C866" s="137"/>
      <c r="D866" s="137"/>
      <c r="E866" s="137"/>
      <c r="F866" s="137"/>
      <c r="G866" s="102"/>
      <c r="H866" s="137"/>
      <c r="I866" s="137"/>
      <c r="J866" s="137"/>
      <c r="K866" s="170"/>
      <c r="L866" s="170"/>
      <c r="M866" s="170"/>
    </row>
    <row r="867" spans="1:15" x14ac:dyDescent="0.35">
      <c r="A867" s="137"/>
      <c r="B867" s="137"/>
      <c r="C867" s="137"/>
      <c r="D867" s="137"/>
      <c r="E867" s="137"/>
      <c r="F867" s="137"/>
      <c r="G867" s="102"/>
      <c r="H867" s="137"/>
      <c r="I867" s="137"/>
      <c r="J867" s="137"/>
      <c r="K867" s="170"/>
      <c r="L867" s="170"/>
      <c r="M867" s="170"/>
      <c r="N867" s="137"/>
      <c r="O867" s="137"/>
    </row>
    <row r="868" spans="1:15" x14ac:dyDescent="0.35">
      <c r="A868" s="137"/>
      <c r="B868" s="137"/>
      <c r="C868" s="137"/>
      <c r="D868" s="137"/>
      <c r="E868" s="137"/>
      <c r="F868" s="137"/>
      <c r="G868" s="102"/>
      <c r="H868" s="137"/>
      <c r="I868" s="137"/>
      <c r="J868" s="137"/>
      <c r="K868" s="170"/>
      <c r="L868" s="170"/>
      <c r="M868" s="170"/>
      <c r="N868" s="137"/>
      <c r="O868" s="137"/>
    </row>
    <row r="869" spans="1:15" x14ac:dyDescent="0.35">
      <c r="A869" s="137"/>
      <c r="B869" s="137"/>
      <c r="C869" s="137"/>
      <c r="D869" s="137"/>
      <c r="E869" s="137"/>
      <c r="F869" s="137"/>
      <c r="G869" s="102"/>
      <c r="H869" s="137"/>
      <c r="I869" s="137"/>
      <c r="J869" s="137"/>
      <c r="K869" s="170"/>
      <c r="L869" s="170"/>
      <c r="M869" s="170"/>
      <c r="N869" s="137"/>
      <c r="O869" s="137"/>
    </row>
    <row r="870" spans="1:15" x14ac:dyDescent="0.35">
      <c r="A870" s="137"/>
      <c r="B870" s="137"/>
      <c r="C870" s="137"/>
      <c r="D870" s="137"/>
      <c r="E870" s="137"/>
      <c r="F870" s="137"/>
      <c r="G870" s="102"/>
      <c r="H870" s="137"/>
      <c r="I870" s="137"/>
      <c r="J870" s="137"/>
      <c r="K870" s="170"/>
      <c r="L870" s="170"/>
      <c r="M870" s="170"/>
      <c r="N870" s="137"/>
      <c r="O870" s="137"/>
    </row>
    <row r="871" spans="1:15" x14ac:dyDescent="0.35">
      <c r="A871" s="137"/>
      <c r="B871" s="137"/>
      <c r="C871" s="137"/>
      <c r="D871" s="137"/>
      <c r="E871" s="137"/>
      <c r="F871" s="137"/>
      <c r="G871" s="102"/>
      <c r="H871" s="137"/>
      <c r="I871" s="137"/>
      <c r="J871" s="137"/>
      <c r="K871" s="170"/>
      <c r="L871" s="170"/>
      <c r="M871" s="170"/>
      <c r="N871" s="137"/>
      <c r="O871" s="137"/>
    </row>
    <row r="872" spans="1:15" x14ac:dyDescent="0.35">
      <c r="A872" s="137"/>
      <c r="B872" s="137"/>
      <c r="C872" s="137"/>
      <c r="D872" s="137"/>
      <c r="E872" s="137"/>
      <c r="F872" s="137"/>
      <c r="G872" s="102"/>
      <c r="H872" s="137"/>
      <c r="I872" s="137"/>
      <c r="J872" s="137"/>
      <c r="K872" s="170"/>
      <c r="L872" s="170"/>
      <c r="M872" s="170"/>
      <c r="N872" s="137"/>
      <c r="O872" s="137"/>
    </row>
    <row r="873" spans="1:15" x14ac:dyDescent="0.35">
      <c r="A873" s="137"/>
      <c r="B873" s="137"/>
      <c r="C873" s="137"/>
      <c r="D873" s="137"/>
      <c r="E873" s="137"/>
      <c r="F873" s="137"/>
      <c r="G873" s="102"/>
      <c r="H873" s="137"/>
      <c r="I873" s="137"/>
      <c r="J873" s="137"/>
      <c r="K873" s="170"/>
      <c r="L873" s="170"/>
      <c r="M873" s="170"/>
      <c r="N873" s="137"/>
      <c r="O873" s="137"/>
    </row>
    <row r="874" spans="1:15" x14ac:dyDescent="0.35">
      <c r="A874" s="137"/>
      <c r="B874" s="137"/>
      <c r="C874" s="137"/>
      <c r="D874" s="137"/>
      <c r="E874" s="137"/>
      <c r="F874" s="137"/>
      <c r="G874" s="102"/>
      <c r="H874" s="137"/>
      <c r="I874" s="137"/>
      <c r="J874" s="137"/>
      <c r="K874" s="170"/>
      <c r="L874" s="170"/>
      <c r="M874" s="170"/>
    </row>
    <row r="875" spans="1:15" x14ac:dyDescent="0.35">
      <c r="A875" s="137"/>
      <c r="B875" s="137"/>
      <c r="C875" s="137"/>
      <c r="D875" s="137"/>
      <c r="E875" s="137"/>
      <c r="F875" s="137"/>
      <c r="G875" s="102"/>
      <c r="H875" s="137"/>
      <c r="I875" s="137"/>
      <c r="J875" s="137"/>
      <c r="K875" s="170"/>
      <c r="L875" s="170"/>
      <c r="M875" s="170"/>
      <c r="N875" s="137"/>
      <c r="O875" s="137"/>
    </row>
    <row r="876" spans="1:15" x14ac:dyDescent="0.35">
      <c r="A876" s="137"/>
      <c r="B876" s="137"/>
      <c r="C876" s="137"/>
      <c r="D876" s="137"/>
      <c r="E876" s="137"/>
      <c r="F876" s="137"/>
      <c r="G876" s="102"/>
      <c r="H876" s="137"/>
      <c r="I876" s="137"/>
      <c r="J876" s="137"/>
      <c r="K876" s="170"/>
      <c r="L876" s="170"/>
      <c r="M876" s="170"/>
      <c r="N876" s="137"/>
      <c r="O876" s="137"/>
    </row>
    <row r="877" spans="1:15" x14ac:dyDescent="0.35">
      <c r="A877" s="137"/>
      <c r="B877" s="137"/>
      <c r="C877" s="137"/>
      <c r="D877" s="137"/>
      <c r="E877" s="137"/>
      <c r="F877" s="137"/>
      <c r="G877" s="102"/>
      <c r="H877" s="137"/>
      <c r="I877" s="137"/>
      <c r="J877" s="137"/>
      <c r="K877" s="170"/>
      <c r="L877" s="170"/>
      <c r="M877" s="170"/>
      <c r="N877" s="137"/>
      <c r="O877" s="137"/>
    </row>
    <row r="878" spans="1:15" x14ac:dyDescent="0.35">
      <c r="A878" s="137"/>
      <c r="B878" s="137"/>
      <c r="C878" s="137"/>
      <c r="D878" s="137"/>
      <c r="E878" s="137"/>
      <c r="F878" s="137"/>
      <c r="G878" s="102"/>
      <c r="H878" s="137"/>
      <c r="I878" s="137"/>
      <c r="J878" s="137"/>
      <c r="K878" s="170"/>
      <c r="L878" s="170"/>
      <c r="M878" s="170"/>
      <c r="N878" s="137"/>
      <c r="O878" s="137"/>
    </row>
    <row r="879" spans="1:15" x14ac:dyDescent="0.35">
      <c r="A879" s="137"/>
      <c r="B879" s="137"/>
      <c r="C879" s="137"/>
      <c r="D879" s="137"/>
      <c r="E879" s="137"/>
      <c r="F879" s="137"/>
      <c r="G879" s="102"/>
      <c r="H879" s="137"/>
      <c r="I879" s="137"/>
      <c r="J879" s="137"/>
      <c r="K879" s="170"/>
      <c r="L879" s="170"/>
      <c r="M879" s="170"/>
      <c r="N879" s="137"/>
      <c r="O879" s="137"/>
    </row>
    <row r="880" spans="1:15" x14ac:dyDescent="0.35">
      <c r="A880" s="137"/>
      <c r="B880" s="137"/>
      <c r="C880" s="137"/>
      <c r="D880" s="137"/>
      <c r="E880" s="137"/>
      <c r="F880" s="137"/>
      <c r="G880" s="102"/>
      <c r="H880" s="137"/>
      <c r="I880" s="137"/>
      <c r="J880" s="137"/>
      <c r="K880" s="170"/>
      <c r="L880" s="170"/>
      <c r="M880" s="170"/>
      <c r="N880" s="137"/>
      <c r="O880" s="137"/>
    </row>
    <row r="881" spans="1:15" x14ac:dyDescent="0.35">
      <c r="A881" s="137"/>
      <c r="B881" s="137"/>
      <c r="C881" s="137"/>
      <c r="D881" s="137"/>
      <c r="E881" s="137"/>
      <c r="F881" s="137"/>
      <c r="G881" s="102"/>
      <c r="H881" s="137"/>
      <c r="I881" s="137"/>
      <c r="J881" s="137"/>
      <c r="K881" s="170"/>
      <c r="L881" s="170"/>
      <c r="M881" s="170"/>
    </row>
    <row r="882" spans="1:15" x14ac:dyDescent="0.35">
      <c r="A882" s="137"/>
      <c r="B882" s="137"/>
      <c r="C882" s="137"/>
      <c r="D882" s="137"/>
      <c r="E882" s="137"/>
      <c r="F882" s="137"/>
      <c r="G882" s="102"/>
      <c r="H882" s="137"/>
      <c r="I882" s="137"/>
      <c r="J882" s="137"/>
      <c r="K882" s="170"/>
      <c r="L882" s="170"/>
      <c r="M882" s="170"/>
    </row>
    <row r="883" spans="1:15" x14ac:dyDescent="0.35">
      <c r="A883" s="137"/>
      <c r="B883" s="137"/>
      <c r="C883" s="137"/>
      <c r="D883" s="137"/>
      <c r="E883" s="137"/>
      <c r="F883" s="137"/>
      <c r="G883" s="102"/>
      <c r="H883" s="137"/>
      <c r="I883" s="137"/>
      <c r="J883" s="137"/>
      <c r="K883" s="170"/>
      <c r="L883" s="170"/>
      <c r="M883" s="170"/>
    </row>
    <row r="884" spans="1:15" x14ac:dyDescent="0.35">
      <c r="A884" s="137"/>
      <c r="B884" s="137"/>
      <c r="C884" s="137"/>
      <c r="D884" s="137"/>
      <c r="E884" s="137"/>
      <c r="F884" s="137"/>
      <c r="G884" s="102"/>
      <c r="H884" s="137"/>
      <c r="I884" s="137"/>
      <c r="J884" s="137"/>
      <c r="K884" s="170"/>
      <c r="L884" s="170"/>
      <c r="M884" s="170"/>
    </row>
    <row r="885" spans="1:15" x14ac:dyDescent="0.35">
      <c r="A885" s="137"/>
      <c r="B885" s="137"/>
      <c r="C885" s="137"/>
      <c r="D885" s="137"/>
      <c r="E885" s="137"/>
      <c r="F885" s="137"/>
      <c r="G885" s="102"/>
      <c r="H885" s="137"/>
      <c r="I885" s="137"/>
      <c r="J885" s="137"/>
      <c r="K885" s="170"/>
      <c r="L885" s="170"/>
      <c r="M885" s="170"/>
      <c r="N885" s="137"/>
      <c r="O885" s="137"/>
    </row>
    <row r="886" spans="1:15" x14ac:dyDescent="0.35">
      <c r="A886" s="137"/>
      <c r="B886" s="137"/>
      <c r="C886" s="137"/>
      <c r="D886" s="137"/>
      <c r="E886" s="137"/>
      <c r="F886" s="137"/>
      <c r="G886" s="102"/>
      <c r="H886" s="137"/>
      <c r="I886" s="137"/>
      <c r="J886" s="137"/>
      <c r="K886" s="170"/>
      <c r="L886" s="170"/>
      <c r="M886" s="170"/>
      <c r="N886" s="137"/>
      <c r="O886" s="137"/>
    </row>
    <row r="887" spans="1:15" x14ac:dyDescent="0.35">
      <c r="A887" s="137"/>
      <c r="B887" s="137"/>
      <c r="C887" s="137"/>
      <c r="D887" s="137"/>
      <c r="E887" s="137"/>
      <c r="F887" s="137"/>
      <c r="G887" s="102"/>
      <c r="H887" s="137"/>
      <c r="I887" s="137"/>
      <c r="J887" s="137"/>
      <c r="K887" s="170"/>
      <c r="L887" s="170"/>
      <c r="M887" s="170"/>
      <c r="N887" s="137"/>
      <c r="O887" s="137"/>
    </row>
    <row r="888" spans="1:15" x14ac:dyDescent="0.35">
      <c r="A888" s="137"/>
      <c r="B888" s="137"/>
      <c r="C888" s="137"/>
      <c r="D888" s="137"/>
      <c r="E888" s="137"/>
      <c r="F888" s="137"/>
      <c r="G888" s="102"/>
      <c r="H888" s="137"/>
      <c r="I888" s="137"/>
      <c r="J888" s="137"/>
      <c r="K888" s="170"/>
      <c r="L888" s="170"/>
      <c r="M888" s="170"/>
      <c r="N888" s="137"/>
      <c r="O888" s="137"/>
    </row>
    <row r="889" spans="1:15" x14ac:dyDescent="0.35">
      <c r="A889" s="137"/>
      <c r="B889" s="137"/>
      <c r="C889" s="137"/>
      <c r="D889" s="137"/>
      <c r="E889" s="137"/>
      <c r="F889" s="137"/>
      <c r="G889" s="102"/>
      <c r="H889" s="137"/>
      <c r="I889" s="137"/>
      <c r="J889" s="137"/>
      <c r="K889" s="170"/>
      <c r="L889" s="170"/>
      <c r="M889" s="170"/>
      <c r="N889" s="31"/>
      <c r="O889" s="31"/>
    </row>
    <row r="890" spans="1:15" x14ac:dyDescent="0.35">
      <c r="A890" s="137"/>
      <c r="B890" s="137"/>
      <c r="C890" s="137"/>
      <c r="D890" s="137"/>
      <c r="E890" s="137"/>
      <c r="F890" s="137"/>
      <c r="G890" s="102"/>
      <c r="H890" s="137"/>
      <c r="I890" s="137"/>
      <c r="J890" s="137"/>
      <c r="K890" s="170"/>
      <c r="L890" s="170"/>
      <c r="M890" s="170"/>
      <c r="N890" s="31"/>
      <c r="O890" s="31"/>
    </row>
    <row r="891" spans="1:15" x14ac:dyDescent="0.35">
      <c r="A891" s="137"/>
      <c r="B891" s="137"/>
      <c r="C891" s="137"/>
      <c r="D891" s="137"/>
      <c r="E891" s="137"/>
      <c r="F891" s="137"/>
      <c r="G891" s="102"/>
      <c r="H891" s="137"/>
      <c r="I891" s="137"/>
      <c r="J891" s="137"/>
      <c r="K891" s="170"/>
      <c r="L891" s="170"/>
      <c r="M891" s="170"/>
    </row>
    <row r="892" spans="1:15" x14ac:dyDescent="0.35">
      <c r="A892" s="137"/>
      <c r="B892" s="137"/>
      <c r="C892" s="137"/>
      <c r="D892" s="137"/>
      <c r="E892" s="137"/>
      <c r="F892" s="137"/>
      <c r="G892" s="102"/>
      <c r="H892" s="137"/>
      <c r="I892" s="137"/>
      <c r="J892" s="137"/>
      <c r="K892" s="170"/>
      <c r="L892" s="170"/>
      <c r="M892" s="170"/>
    </row>
    <row r="893" spans="1:15" x14ac:dyDescent="0.35">
      <c r="A893" s="137"/>
      <c r="B893" s="137"/>
      <c r="C893" s="137"/>
      <c r="D893" s="137"/>
      <c r="E893" s="137"/>
      <c r="F893" s="137"/>
      <c r="G893" s="102"/>
      <c r="H893" s="137"/>
      <c r="I893" s="137"/>
      <c r="J893" s="137"/>
      <c r="K893" s="170"/>
      <c r="L893" s="170"/>
      <c r="M893" s="170"/>
    </row>
    <row r="894" spans="1:15" x14ac:dyDescent="0.35">
      <c r="A894" s="137"/>
      <c r="B894" s="137"/>
      <c r="C894" s="137"/>
      <c r="D894" s="137"/>
      <c r="E894" s="137"/>
      <c r="F894" s="137"/>
      <c r="G894" s="102"/>
      <c r="H894" s="137"/>
      <c r="I894" s="137"/>
      <c r="J894" s="137"/>
      <c r="K894" s="170"/>
      <c r="L894" s="170"/>
      <c r="M894" s="170"/>
    </row>
    <row r="895" spans="1:15" x14ac:dyDescent="0.35">
      <c r="A895" s="137"/>
      <c r="B895" s="137"/>
      <c r="C895" s="137"/>
      <c r="D895" s="137"/>
      <c r="E895" s="137"/>
      <c r="F895" s="137"/>
      <c r="G895" s="102"/>
      <c r="H895" s="137"/>
      <c r="I895" s="137"/>
      <c r="J895" s="137"/>
      <c r="K895" s="170"/>
      <c r="L895" s="170"/>
      <c r="M895" s="170"/>
    </row>
    <row r="896" spans="1:15" x14ac:dyDescent="0.35">
      <c r="A896" s="137"/>
      <c r="B896" s="137"/>
      <c r="C896" s="137"/>
      <c r="D896" s="137"/>
      <c r="E896" s="137"/>
      <c r="F896" s="137"/>
      <c r="G896" s="102"/>
      <c r="H896" s="137"/>
      <c r="I896" s="137"/>
      <c r="J896" s="137"/>
      <c r="K896" s="170"/>
      <c r="L896" s="170"/>
      <c r="M896" s="170"/>
      <c r="N896" s="137"/>
      <c r="O896" s="137"/>
    </row>
    <row r="897" spans="1:15" x14ac:dyDescent="0.35">
      <c r="A897" s="137"/>
      <c r="B897" s="137"/>
      <c r="C897" s="137"/>
      <c r="D897" s="137"/>
      <c r="E897" s="137"/>
      <c r="F897" s="137"/>
      <c r="G897" s="102"/>
      <c r="H897" s="137"/>
      <c r="I897" s="137"/>
      <c r="J897" s="137"/>
      <c r="K897" s="170"/>
      <c r="L897" s="170"/>
      <c r="M897" s="170"/>
    </row>
    <row r="898" spans="1:15" x14ac:dyDescent="0.35">
      <c r="A898" s="137"/>
      <c r="B898" s="137"/>
      <c r="C898" s="137"/>
      <c r="D898" s="137"/>
      <c r="E898" s="137"/>
      <c r="F898" s="137"/>
      <c r="G898" s="102"/>
      <c r="H898" s="137"/>
      <c r="I898" s="137"/>
      <c r="J898" s="137"/>
      <c r="K898" s="170"/>
      <c r="L898" s="170"/>
      <c r="M898" s="170"/>
      <c r="N898" s="137"/>
      <c r="O898" s="137"/>
    </row>
    <row r="899" spans="1:15" x14ac:dyDescent="0.35">
      <c r="A899" s="137"/>
      <c r="B899" s="137"/>
      <c r="C899" s="137"/>
      <c r="D899" s="137"/>
      <c r="E899" s="137"/>
      <c r="F899" s="137"/>
      <c r="G899" s="102"/>
      <c r="H899" s="137"/>
      <c r="I899" s="137"/>
      <c r="J899" s="137"/>
      <c r="K899" s="170"/>
      <c r="L899" s="170"/>
      <c r="M899" s="170"/>
      <c r="N899" s="137"/>
      <c r="O899" s="137"/>
    </row>
    <row r="900" spans="1:15" x14ac:dyDescent="0.35">
      <c r="A900" s="137"/>
      <c r="B900" s="137"/>
      <c r="C900" s="137"/>
      <c r="D900" s="137"/>
      <c r="E900" s="137"/>
      <c r="F900" s="137"/>
      <c r="G900" s="102"/>
      <c r="H900" s="137"/>
      <c r="I900" s="137"/>
      <c r="J900" s="137"/>
      <c r="K900" s="170"/>
      <c r="L900" s="170"/>
      <c r="M900" s="170"/>
      <c r="N900" s="137"/>
      <c r="O900" s="137"/>
    </row>
    <row r="901" spans="1:15" x14ac:dyDescent="0.35">
      <c r="A901" s="137"/>
      <c r="B901" s="137"/>
      <c r="C901" s="137"/>
      <c r="D901" s="137"/>
      <c r="E901" s="137"/>
      <c r="F901" s="137"/>
      <c r="G901" s="102"/>
      <c r="H901" s="137"/>
      <c r="I901" s="137"/>
      <c r="J901" s="137"/>
      <c r="K901" s="170"/>
      <c r="L901" s="170"/>
      <c r="M901" s="170"/>
      <c r="N901" s="137"/>
      <c r="O901" s="137"/>
    </row>
    <row r="902" spans="1:15" x14ac:dyDescent="0.35">
      <c r="A902" s="137"/>
      <c r="B902" s="137"/>
      <c r="C902" s="137"/>
      <c r="D902" s="137"/>
      <c r="E902" s="137"/>
      <c r="F902" s="137"/>
      <c r="G902" s="102"/>
      <c r="H902" s="137"/>
      <c r="I902" s="137"/>
      <c r="J902" s="137"/>
      <c r="K902" s="170"/>
      <c r="L902" s="170"/>
      <c r="M902" s="170"/>
      <c r="N902" s="137"/>
      <c r="O902" s="137"/>
    </row>
    <row r="903" spans="1:15" x14ac:dyDescent="0.35">
      <c r="A903" s="137"/>
      <c r="B903" s="137"/>
      <c r="C903" s="137"/>
      <c r="D903" s="137"/>
      <c r="E903" s="137"/>
      <c r="F903" s="137"/>
      <c r="G903" s="102"/>
      <c r="H903" s="137"/>
      <c r="I903" s="137"/>
      <c r="J903" s="137"/>
      <c r="K903" s="170"/>
      <c r="L903" s="170"/>
      <c r="M903" s="170"/>
      <c r="N903" s="137"/>
      <c r="O903" s="137"/>
    </row>
    <row r="904" spans="1:15" x14ac:dyDescent="0.35">
      <c r="A904" s="137"/>
      <c r="B904" s="137"/>
      <c r="C904" s="137"/>
      <c r="D904" s="137"/>
      <c r="E904" s="137"/>
      <c r="F904" s="137"/>
      <c r="G904" s="102"/>
      <c r="H904" s="137"/>
      <c r="I904" s="137"/>
      <c r="J904" s="137"/>
      <c r="K904" s="170"/>
      <c r="L904" s="170"/>
      <c r="M904" s="170"/>
      <c r="N904" s="137"/>
      <c r="O904" s="137"/>
    </row>
    <row r="905" spans="1:15" x14ac:dyDescent="0.35">
      <c r="A905" s="137"/>
      <c r="B905" s="137"/>
      <c r="C905" s="137"/>
      <c r="D905" s="137"/>
      <c r="E905" s="137"/>
      <c r="F905" s="137"/>
      <c r="G905" s="102"/>
      <c r="H905" s="137"/>
      <c r="I905" s="137"/>
      <c r="J905" s="137"/>
      <c r="K905" s="170"/>
      <c r="L905" s="170"/>
      <c r="M905" s="170"/>
      <c r="N905" s="137"/>
      <c r="O905" s="137"/>
    </row>
    <row r="906" spans="1:15" x14ac:dyDescent="0.35">
      <c r="A906" s="137"/>
      <c r="B906" s="137"/>
      <c r="C906" s="137"/>
      <c r="D906" s="137"/>
      <c r="E906" s="137"/>
      <c r="F906" s="137"/>
      <c r="G906" s="102"/>
      <c r="H906" s="137"/>
      <c r="I906" s="137"/>
      <c r="J906" s="137"/>
      <c r="K906" s="170"/>
      <c r="L906" s="170"/>
      <c r="M906" s="170"/>
      <c r="N906" s="137"/>
      <c r="O906" s="137"/>
    </row>
    <row r="907" spans="1:15" x14ac:dyDescent="0.35">
      <c r="A907" s="137"/>
      <c r="B907" s="137"/>
      <c r="C907" s="137"/>
      <c r="D907" s="137"/>
      <c r="E907" s="137"/>
      <c r="F907" s="137"/>
      <c r="G907" s="102"/>
      <c r="H907" s="137"/>
      <c r="I907" s="137"/>
      <c r="J907" s="137"/>
      <c r="K907" s="170"/>
      <c r="L907" s="170"/>
      <c r="M907" s="170"/>
      <c r="N907" s="137"/>
      <c r="O907" s="137"/>
    </row>
    <row r="908" spans="1:15" x14ac:dyDescent="0.35">
      <c r="A908" s="137"/>
      <c r="B908" s="137"/>
      <c r="C908" s="137"/>
      <c r="D908" s="137"/>
      <c r="E908" s="137"/>
      <c r="F908" s="137"/>
      <c r="G908" s="102"/>
      <c r="H908" s="137"/>
      <c r="I908" s="137"/>
      <c r="J908" s="137"/>
      <c r="K908" s="170"/>
      <c r="L908" s="170"/>
      <c r="M908" s="170"/>
      <c r="N908" s="137"/>
      <c r="O908" s="137"/>
    </row>
    <row r="909" spans="1:15" x14ac:dyDescent="0.35">
      <c r="A909" s="137"/>
      <c r="B909" s="137"/>
      <c r="C909" s="137"/>
      <c r="D909" s="137"/>
      <c r="E909" s="137"/>
      <c r="F909" s="137"/>
      <c r="G909" s="102"/>
      <c r="H909" s="137"/>
      <c r="I909" s="137"/>
      <c r="J909" s="137"/>
      <c r="K909" s="170"/>
      <c r="L909" s="170"/>
      <c r="M909" s="170"/>
      <c r="N909" s="137"/>
      <c r="O909" s="137"/>
    </row>
    <row r="910" spans="1:15" x14ac:dyDescent="0.35">
      <c r="A910" s="137"/>
      <c r="B910" s="137"/>
      <c r="C910" s="137"/>
      <c r="D910" s="137"/>
      <c r="E910" s="137"/>
      <c r="F910" s="137"/>
      <c r="G910" s="102"/>
      <c r="H910" s="137"/>
      <c r="I910" s="137"/>
      <c r="J910" s="137"/>
      <c r="K910" s="170"/>
      <c r="L910" s="170"/>
      <c r="M910" s="170"/>
      <c r="N910" s="137"/>
      <c r="O910" s="137"/>
    </row>
    <row r="911" spans="1:15" x14ac:dyDescent="0.35">
      <c r="A911" s="137"/>
      <c r="B911" s="137"/>
      <c r="C911" s="137"/>
      <c r="D911" s="137"/>
      <c r="E911" s="137"/>
      <c r="F911" s="137"/>
      <c r="G911" s="102"/>
      <c r="H911" s="137"/>
      <c r="I911" s="137"/>
      <c r="J911" s="137"/>
      <c r="K911" s="170"/>
      <c r="L911" s="170"/>
      <c r="M911" s="170"/>
      <c r="N911" s="137"/>
      <c r="O911" s="137"/>
    </row>
    <row r="912" spans="1:15" x14ac:dyDescent="0.35">
      <c r="A912" s="137"/>
      <c r="B912" s="137"/>
      <c r="C912" s="137"/>
      <c r="D912" s="137"/>
      <c r="E912" s="137"/>
      <c r="F912" s="137"/>
      <c r="G912" s="102"/>
      <c r="H912" s="137"/>
      <c r="I912" s="137"/>
      <c r="J912" s="137"/>
      <c r="K912" s="170"/>
      <c r="L912" s="170"/>
      <c r="M912" s="170"/>
      <c r="N912" s="137"/>
      <c r="O912" s="137"/>
    </row>
    <row r="913" spans="1:15" x14ac:dyDescent="0.35">
      <c r="A913" s="137"/>
      <c r="B913" s="137"/>
      <c r="C913" s="137"/>
      <c r="D913" s="137"/>
      <c r="E913" s="137"/>
      <c r="F913" s="137"/>
      <c r="G913" s="102"/>
      <c r="H913" s="137"/>
      <c r="I913" s="137"/>
      <c r="J913" s="137"/>
      <c r="K913" s="170"/>
      <c r="L913" s="170"/>
      <c r="M913" s="170"/>
      <c r="N913" s="137"/>
      <c r="O913" s="137"/>
    </row>
    <row r="914" spans="1:15" x14ac:dyDescent="0.35">
      <c r="A914" s="137"/>
      <c r="B914" s="137"/>
      <c r="C914" s="137"/>
      <c r="D914" s="137"/>
      <c r="E914" s="137"/>
      <c r="F914" s="137"/>
      <c r="G914" s="102"/>
      <c r="H914" s="137"/>
      <c r="I914" s="137"/>
      <c r="J914" s="137"/>
      <c r="K914" s="170"/>
      <c r="L914" s="170"/>
      <c r="M914" s="170"/>
      <c r="N914" s="137"/>
      <c r="O914" s="137"/>
    </row>
    <row r="915" spans="1:15" x14ac:dyDescent="0.35">
      <c r="A915" s="137"/>
      <c r="B915" s="137"/>
      <c r="C915" s="137"/>
      <c r="D915" s="137"/>
      <c r="E915" s="137"/>
      <c r="F915" s="137"/>
      <c r="G915" s="102"/>
      <c r="H915" s="137"/>
      <c r="I915" s="137"/>
      <c r="J915" s="137"/>
      <c r="K915" s="170"/>
      <c r="L915" s="170"/>
      <c r="M915" s="170"/>
      <c r="N915" s="137"/>
      <c r="O915" s="137"/>
    </row>
    <row r="916" spans="1:15" x14ac:dyDescent="0.35">
      <c r="A916" s="137"/>
      <c r="B916" s="137"/>
      <c r="C916" s="137"/>
      <c r="D916" s="137"/>
      <c r="E916" s="137"/>
      <c r="F916" s="137"/>
      <c r="G916" s="102"/>
      <c r="H916" s="137"/>
      <c r="I916" s="137"/>
      <c r="J916" s="137"/>
      <c r="K916" s="170"/>
      <c r="L916" s="170"/>
      <c r="M916" s="170"/>
      <c r="N916" s="137"/>
      <c r="O916" s="137"/>
    </row>
    <row r="917" spans="1:15" x14ac:dyDescent="0.35">
      <c r="A917" s="137"/>
      <c r="B917" s="137"/>
      <c r="C917" s="137"/>
      <c r="D917" s="137"/>
      <c r="E917" s="137"/>
      <c r="F917" s="137"/>
      <c r="G917" s="102"/>
      <c r="H917" s="137"/>
      <c r="I917" s="137"/>
      <c r="J917" s="137"/>
      <c r="K917" s="170"/>
      <c r="L917" s="170"/>
      <c r="M917" s="170"/>
      <c r="N917" s="137"/>
      <c r="O917" s="137"/>
    </row>
    <row r="918" spans="1:15" x14ac:dyDescent="0.35">
      <c r="A918" s="137"/>
      <c r="B918" s="137"/>
      <c r="C918" s="137"/>
      <c r="D918" s="137"/>
      <c r="E918" s="137"/>
      <c r="F918" s="137"/>
      <c r="G918" s="102"/>
      <c r="H918" s="137"/>
      <c r="I918" s="137"/>
      <c r="J918" s="137"/>
      <c r="K918" s="170"/>
      <c r="L918" s="170"/>
      <c r="M918" s="170"/>
      <c r="N918" s="137"/>
      <c r="O918" s="137"/>
    </row>
    <row r="919" spans="1:15" x14ac:dyDescent="0.35">
      <c r="A919" s="137"/>
      <c r="B919" s="137"/>
      <c r="C919" s="137"/>
      <c r="D919" s="137"/>
      <c r="E919" s="137"/>
      <c r="F919" s="137"/>
      <c r="G919" s="102"/>
      <c r="H919" s="137"/>
      <c r="I919" s="137"/>
      <c r="J919" s="137"/>
      <c r="K919" s="170"/>
      <c r="L919" s="170"/>
      <c r="M919" s="170"/>
      <c r="N919" s="137"/>
      <c r="O919" s="137"/>
    </row>
    <row r="920" spans="1:15" x14ac:dyDescent="0.35">
      <c r="A920" s="137"/>
      <c r="B920" s="137"/>
      <c r="C920" s="137"/>
      <c r="D920" s="137"/>
      <c r="E920" s="137"/>
      <c r="F920" s="137"/>
      <c r="G920" s="102"/>
      <c r="H920" s="137"/>
      <c r="I920" s="137"/>
      <c r="J920" s="137"/>
      <c r="K920" s="170"/>
      <c r="L920" s="170"/>
      <c r="M920" s="170"/>
      <c r="N920" s="137"/>
      <c r="O920" s="137"/>
    </row>
    <row r="921" spans="1:15" x14ac:dyDescent="0.35">
      <c r="A921" s="137"/>
      <c r="B921" s="137"/>
      <c r="C921" s="137"/>
      <c r="D921" s="137"/>
      <c r="E921" s="137"/>
      <c r="F921" s="137"/>
      <c r="G921" s="102"/>
      <c r="H921" s="137"/>
      <c r="I921" s="137"/>
      <c r="J921" s="137"/>
      <c r="K921" s="170"/>
      <c r="L921" s="170"/>
      <c r="M921" s="170"/>
      <c r="N921" s="137"/>
      <c r="O921" s="137"/>
    </row>
    <row r="922" spans="1:15" x14ac:dyDescent="0.35">
      <c r="A922" s="137"/>
      <c r="B922" s="137"/>
      <c r="C922" s="137"/>
      <c r="D922" s="137"/>
      <c r="E922" s="137"/>
      <c r="F922" s="137"/>
      <c r="G922" s="102"/>
      <c r="H922" s="137"/>
      <c r="I922" s="137"/>
      <c r="J922" s="137"/>
      <c r="K922" s="170"/>
      <c r="L922" s="170"/>
      <c r="M922" s="170"/>
      <c r="N922" s="137"/>
      <c r="O922" s="137"/>
    </row>
    <row r="923" spans="1:15" x14ac:dyDescent="0.35">
      <c r="A923" s="137"/>
      <c r="B923" s="137"/>
      <c r="C923" s="137"/>
      <c r="D923" s="137"/>
      <c r="E923" s="137"/>
      <c r="F923" s="137"/>
      <c r="G923" s="102"/>
      <c r="H923" s="137"/>
      <c r="I923" s="137"/>
      <c r="J923" s="137"/>
      <c r="K923" s="170"/>
      <c r="L923" s="170"/>
      <c r="M923" s="170"/>
      <c r="N923" s="137"/>
      <c r="O923" s="137"/>
    </row>
    <row r="924" spans="1:15" x14ac:dyDescent="0.35">
      <c r="A924" s="137"/>
      <c r="B924" s="137"/>
      <c r="C924" s="137"/>
      <c r="D924" s="137"/>
      <c r="E924" s="137"/>
      <c r="F924" s="137"/>
      <c r="G924" s="102"/>
      <c r="H924" s="137"/>
      <c r="I924" s="137"/>
      <c r="J924" s="137"/>
      <c r="K924" s="170"/>
      <c r="L924" s="170"/>
      <c r="M924" s="170"/>
      <c r="N924" s="137"/>
      <c r="O924" s="137"/>
    </row>
    <row r="925" spans="1:15" x14ac:dyDescent="0.35">
      <c r="A925" s="137"/>
      <c r="B925" s="137"/>
      <c r="C925" s="137"/>
      <c r="D925" s="137"/>
      <c r="E925" s="137"/>
      <c r="F925" s="137"/>
      <c r="G925" s="102"/>
      <c r="H925" s="137"/>
      <c r="I925" s="137"/>
      <c r="J925" s="137"/>
      <c r="K925" s="170"/>
      <c r="L925" s="170"/>
      <c r="M925" s="170"/>
    </row>
    <row r="926" spans="1:15" x14ac:dyDescent="0.35">
      <c r="A926" s="137"/>
      <c r="B926" s="137"/>
      <c r="C926" s="137"/>
      <c r="D926" s="137"/>
      <c r="E926" s="137"/>
      <c r="F926" s="137"/>
      <c r="G926" s="102"/>
      <c r="H926" s="137"/>
      <c r="I926" s="137"/>
      <c r="J926" s="137"/>
      <c r="K926" s="170"/>
      <c r="L926" s="170"/>
      <c r="M926" s="170"/>
      <c r="N926" s="137"/>
      <c r="O926" s="137"/>
    </row>
    <row r="927" spans="1:15" x14ac:dyDescent="0.35">
      <c r="A927" s="137"/>
      <c r="B927" s="137"/>
      <c r="C927" s="137"/>
      <c r="D927" s="137"/>
      <c r="E927" s="137"/>
      <c r="F927" s="137"/>
      <c r="G927" s="102"/>
      <c r="H927" s="137"/>
      <c r="I927" s="137"/>
      <c r="J927" s="137"/>
      <c r="K927" s="170"/>
      <c r="L927" s="170"/>
      <c r="M927" s="170"/>
    </row>
    <row r="928" spans="1:15" x14ac:dyDescent="0.35">
      <c r="A928" s="137"/>
      <c r="B928" s="137"/>
      <c r="C928" s="137"/>
      <c r="D928" s="137"/>
      <c r="E928" s="137"/>
      <c r="F928" s="137"/>
      <c r="G928" s="102"/>
      <c r="H928" s="137"/>
      <c r="I928" s="137"/>
      <c r="J928" s="137"/>
      <c r="K928" s="170"/>
      <c r="L928" s="170"/>
      <c r="M928" s="170"/>
      <c r="N928" s="137"/>
      <c r="O928" s="137"/>
    </row>
    <row r="929" spans="1:15" x14ac:dyDescent="0.35">
      <c r="A929" s="137"/>
      <c r="B929" s="137"/>
      <c r="C929" s="137"/>
      <c r="D929" s="137"/>
      <c r="E929" s="137"/>
      <c r="F929" s="137"/>
      <c r="G929" s="102"/>
      <c r="H929" s="137"/>
      <c r="I929" s="137"/>
      <c r="J929" s="137"/>
      <c r="K929" s="170"/>
      <c r="L929" s="170"/>
      <c r="M929" s="170"/>
      <c r="N929" s="137"/>
      <c r="O929" s="137"/>
    </row>
    <row r="930" spans="1:15" x14ac:dyDescent="0.35">
      <c r="A930" s="137"/>
      <c r="B930" s="137"/>
      <c r="C930" s="137"/>
      <c r="D930" s="137"/>
      <c r="E930" s="137"/>
      <c r="F930" s="137"/>
      <c r="G930" s="102"/>
      <c r="H930" s="137"/>
      <c r="I930" s="137"/>
      <c r="J930" s="137"/>
      <c r="K930" s="170"/>
      <c r="L930" s="170"/>
      <c r="M930" s="170"/>
      <c r="N930" s="137"/>
      <c r="O930" s="137"/>
    </row>
    <row r="931" spans="1:15" x14ac:dyDescent="0.35">
      <c r="A931" s="137"/>
      <c r="B931" s="137"/>
      <c r="C931" s="137"/>
      <c r="D931" s="137"/>
      <c r="E931" s="137"/>
      <c r="F931" s="137"/>
      <c r="G931" s="102"/>
      <c r="H931" s="137"/>
      <c r="I931" s="137"/>
      <c r="J931" s="137"/>
      <c r="K931" s="170"/>
      <c r="L931" s="170"/>
      <c r="M931" s="170"/>
      <c r="N931" s="137"/>
      <c r="O931" s="137"/>
    </row>
    <row r="932" spans="1:15" x14ac:dyDescent="0.35">
      <c r="A932" s="137"/>
      <c r="B932" s="137"/>
      <c r="C932" s="137"/>
      <c r="D932" s="137"/>
      <c r="E932" s="137"/>
      <c r="F932" s="137"/>
      <c r="G932" s="102"/>
      <c r="H932" s="137"/>
      <c r="I932" s="137"/>
      <c r="J932" s="137"/>
      <c r="K932" s="170"/>
      <c r="L932" s="170"/>
      <c r="M932" s="170"/>
      <c r="N932" s="137"/>
      <c r="O932" s="137"/>
    </row>
    <row r="933" spans="1:15" x14ac:dyDescent="0.35">
      <c r="A933" s="137"/>
      <c r="B933" s="137"/>
      <c r="C933" s="137"/>
      <c r="D933" s="137"/>
      <c r="E933" s="137"/>
      <c r="F933" s="137"/>
      <c r="G933" s="102"/>
      <c r="H933" s="137"/>
      <c r="I933" s="137"/>
      <c r="J933" s="137"/>
      <c r="K933" s="170"/>
      <c r="L933" s="170"/>
      <c r="M933" s="170"/>
      <c r="N933" s="137"/>
      <c r="O933" s="137"/>
    </row>
    <row r="934" spans="1:15" x14ac:dyDescent="0.35">
      <c r="A934" s="137"/>
      <c r="B934" s="137"/>
      <c r="C934" s="137"/>
      <c r="D934" s="137"/>
      <c r="E934" s="137"/>
      <c r="F934" s="137"/>
      <c r="G934" s="102"/>
      <c r="H934" s="137"/>
      <c r="I934" s="137"/>
      <c r="J934" s="137"/>
      <c r="K934" s="170"/>
      <c r="L934" s="170"/>
      <c r="M934" s="170"/>
      <c r="N934" s="137"/>
      <c r="O934" s="137"/>
    </row>
    <row r="935" spans="1:15" x14ac:dyDescent="0.35">
      <c r="A935" s="137"/>
      <c r="B935" s="137"/>
      <c r="C935" s="137"/>
      <c r="D935" s="137"/>
      <c r="E935" s="137"/>
      <c r="F935" s="137"/>
      <c r="G935" s="102"/>
      <c r="H935" s="137"/>
      <c r="I935" s="137"/>
      <c r="J935" s="137"/>
      <c r="K935" s="170"/>
      <c r="L935" s="170"/>
      <c r="M935" s="170"/>
      <c r="N935" s="137"/>
      <c r="O935" s="137"/>
    </row>
    <row r="936" spans="1:15" x14ac:dyDescent="0.35">
      <c r="A936" s="137"/>
      <c r="B936" s="137"/>
      <c r="C936" s="137"/>
      <c r="D936" s="137"/>
      <c r="E936" s="137"/>
      <c r="F936" s="137"/>
      <c r="G936" s="102"/>
      <c r="H936" s="137"/>
      <c r="I936" s="137"/>
      <c r="J936" s="137"/>
      <c r="K936" s="170"/>
      <c r="L936" s="170"/>
      <c r="M936" s="170"/>
      <c r="N936" s="137"/>
      <c r="O936" s="137"/>
    </row>
    <row r="937" spans="1:15" x14ac:dyDescent="0.35">
      <c r="A937" s="137"/>
      <c r="B937" s="137"/>
      <c r="C937" s="137"/>
      <c r="D937" s="137"/>
      <c r="E937" s="137"/>
      <c r="F937" s="137"/>
      <c r="G937" s="102"/>
      <c r="H937" s="137"/>
      <c r="I937" s="137"/>
      <c r="J937" s="137"/>
      <c r="K937" s="170"/>
      <c r="L937" s="170"/>
      <c r="M937" s="170"/>
      <c r="N937" s="31"/>
      <c r="O937" s="31"/>
    </row>
    <row r="938" spans="1:15" x14ac:dyDescent="0.35">
      <c r="A938" s="137"/>
      <c r="B938" s="137"/>
      <c r="C938" s="137"/>
      <c r="D938" s="137"/>
      <c r="E938" s="137"/>
      <c r="F938" s="137"/>
      <c r="G938" s="102"/>
      <c r="H938" s="137"/>
      <c r="I938" s="137"/>
      <c r="J938" s="137"/>
      <c r="K938" s="170"/>
      <c r="L938" s="170"/>
      <c r="M938" s="170"/>
      <c r="N938" s="31"/>
      <c r="O938" s="31"/>
    </row>
    <row r="939" spans="1:15" x14ac:dyDescent="0.35">
      <c r="A939" s="137"/>
      <c r="B939" s="137"/>
      <c r="C939" s="137"/>
      <c r="D939" s="137"/>
      <c r="E939" s="137"/>
      <c r="F939" s="137"/>
      <c r="G939" s="102"/>
      <c r="H939" s="137"/>
      <c r="I939" s="137"/>
      <c r="J939" s="137"/>
      <c r="K939" s="170"/>
      <c r="L939" s="170"/>
      <c r="M939" s="170"/>
    </row>
    <row r="940" spans="1:15" x14ac:dyDescent="0.35">
      <c r="A940" s="137"/>
      <c r="B940" s="137"/>
      <c r="C940" s="137"/>
      <c r="D940" s="137"/>
      <c r="E940" s="137"/>
      <c r="F940" s="137"/>
      <c r="G940" s="102"/>
      <c r="H940" s="137"/>
      <c r="I940" s="137"/>
      <c r="J940" s="137"/>
      <c r="K940" s="170"/>
      <c r="L940" s="170"/>
      <c r="M940" s="170"/>
    </row>
    <row r="941" spans="1:15" x14ac:dyDescent="0.35">
      <c r="A941" s="137"/>
      <c r="B941" s="137"/>
      <c r="C941" s="137"/>
      <c r="D941" s="137"/>
      <c r="E941" s="137"/>
      <c r="F941" s="137"/>
      <c r="G941" s="102"/>
      <c r="H941" s="137"/>
      <c r="I941" s="137"/>
      <c r="J941" s="137"/>
      <c r="K941" s="170"/>
      <c r="L941" s="170"/>
      <c r="M941" s="170"/>
    </row>
    <row r="942" spans="1:15" x14ac:dyDescent="0.35">
      <c r="A942" s="137"/>
      <c r="B942" s="137"/>
      <c r="C942" s="137"/>
      <c r="D942" s="137"/>
      <c r="E942" s="137"/>
      <c r="F942" s="137"/>
      <c r="G942" s="102"/>
      <c r="H942" s="137"/>
      <c r="I942" s="137"/>
      <c r="J942" s="137"/>
      <c r="K942" s="170"/>
      <c r="L942" s="170"/>
      <c r="M942" s="170"/>
    </row>
    <row r="943" spans="1:15" x14ac:dyDescent="0.35">
      <c r="A943" s="137"/>
      <c r="B943" s="137"/>
      <c r="C943" s="137"/>
      <c r="D943" s="137"/>
      <c r="E943" s="137"/>
      <c r="F943" s="137"/>
      <c r="G943" s="102"/>
      <c r="H943" s="137"/>
      <c r="I943" s="137"/>
      <c r="J943" s="137"/>
      <c r="K943" s="170"/>
      <c r="L943" s="170"/>
      <c r="M943" s="170"/>
    </row>
    <row r="944" spans="1:15" x14ac:dyDescent="0.35">
      <c r="A944" s="137"/>
      <c r="B944" s="137"/>
      <c r="C944" s="137"/>
      <c r="D944" s="137"/>
      <c r="E944" s="137"/>
      <c r="F944" s="137"/>
      <c r="G944" s="102"/>
      <c r="H944" s="137"/>
      <c r="I944" s="137"/>
      <c r="J944" s="137"/>
      <c r="K944" s="170"/>
      <c r="L944" s="170"/>
      <c r="M944" s="170"/>
    </row>
    <row r="945" spans="1:15" x14ac:dyDescent="0.35">
      <c r="A945" s="137"/>
      <c r="B945" s="137"/>
      <c r="C945" s="137"/>
      <c r="D945" s="137"/>
      <c r="E945" s="137"/>
      <c r="F945" s="137"/>
      <c r="G945" s="102"/>
      <c r="H945" s="137"/>
      <c r="I945" s="137"/>
      <c r="J945" s="137"/>
      <c r="K945" s="170"/>
      <c r="L945" s="170"/>
      <c r="M945" s="170"/>
    </row>
    <row r="946" spans="1:15" x14ac:dyDescent="0.35">
      <c r="A946" s="137"/>
      <c r="B946" s="137"/>
      <c r="C946" s="137"/>
      <c r="D946" s="137"/>
      <c r="E946" s="137"/>
      <c r="F946" s="137"/>
      <c r="G946" s="102"/>
      <c r="H946" s="137"/>
      <c r="I946" s="137"/>
      <c r="J946" s="137"/>
      <c r="K946" s="170"/>
      <c r="L946" s="170"/>
      <c r="M946" s="170"/>
      <c r="N946" s="137"/>
      <c r="O946" s="137"/>
    </row>
    <row r="947" spans="1:15" x14ac:dyDescent="0.35">
      <c r="A947" s="137"/>
      <c r="B947" s="137"/>
      <c r="C947" s="137"/>
      <c r="D947" s="137"/>
      <c r="E947" s="137"/>
      <c r="F947" s="137"/>
      <c r="G947" s="102"/>
      <c r="H947" s="137"/>
      <c r="I947" s="137"/>
      <c r="J947" s="137"/>
      <c r="K947" s="170"/>
      <c r="L947" s="170"/>
      <c r="M947" s="170"/>
      <c r="N947" s="137"/>
      <c r="O947" s="137"/>
    </row>
    <row r="948" spans="1:15" x14ac:dyDescent="0.35">
      <c r="A948" s="137"/>
      <c r="B948" s="137"/>
      <c r="C948" s="137"/>
      <c r="D948" s="137"/>
      <c r="E948" s="137"/>
      <c r="F948" s="137"/>
      <c r="G948" s="102"/>
      <c r="H948" s="137"/>
      <c r="I948" s="137"/>
      <c r="J948" s="137"/>
      <c r="K948" s="170"/>
      <c r="L948" s="170"/>
      <c r="M948" s="170"/>
    </row>
    <row r="949" spans="1:15" x14ac:dyDescent="0.35">
      <c r="A949" s="137"/>
      <c r="B949" s="137"/>
      <c r="C949" s="137"/>
      <c r="D949" s="137"/>
      <c r="E949" s="137"/>
      <c r="F949" s="137"/>
      <c r="G949" s="102"/>
      <c r="H949" s="137"/>
      <c r="I949" s="137"/>
      <c r="J949" s="137"/>
      <c r="K949" s="170"/>
      <c r="L949" s="170"/>
      <c r="M949" s="170"/>
      <c r="N949" s="137"/>
      <c r="O949" s="137"/>
    </row>
    <row r="950" spans="1:15" x14ac:dyDescent="0.35">
      <c r="A950" s="137"/>
      <c r="B950" s="137"/>
      <c r="C950" s="137"/>
      <c r="D950" s="137"/>
      <c r="E950" s="137"/>
      <c r="F950" s="137"/>
      <c r="G950" s="102"/>
      <c r="H950" s="137"/>
      <c r="I950" s="137"/>
      <c r="J950" s="137"/>
      <c r="K950" s="170"/>
      <c r="L950" s="170"/>
      <c r="M950" s="170"/>
    </row>
    <row r="951" spans="1:15" x14ac:dyDescent="0.35">
      <c r="A951" s="137"/>
      <c r="B951" s="137"/>
      <c r="C951" s="137"/>
      <c r="D951" s="137"/>
      <c r="E951" s="137"/>
      <c r="F951" s="137"/>
      <c r="G951" s="102"/>
      <c r="H951" s="137"/>
      <c r="I951" s="137"/>
      <c r="J951" s="137"/>
      <c r="K951" s="170"/>
      <c r="L951" s="170"/>
      <c r="M951" s="170"/>
    </row>
    <row r="952" spans="1:15" x14ac:dyDescent="0.35">
      <c r="A952" s="137"/>
      <c r="B952" s="137"/>
      <c r="C952" s="137"/>
      <c r="D952" s="137"/>
      <c r="E952" s="137"/>
      <c r="F952" s="137"/>
      <c r="G952" s="102"/>
      <c r="H952" s="137"/>
      <c r="I952" s="137"/>
      <c r="J952" s="137"/>
      <c r="K952" s="170"/>
      <c r="L952" s="170"/>
      <c r="M952" s="170"/>
    </row>
    <row r="953" spans="1:15" x14ac:dyDescent="0.35">
      <c r="A953" s="137"/>
      <c r="B953" s="137"/>
      <c r="C953" s="137"/>
      <c r="D953" s="137"/>
      <c r="E953" s="137"/>
      <c r="F953" s="137"/>
      <c r="G953" s="102"/>
      <c r="H953" s="137"/>
      <c r="I953" s="137"/>
      <c r="J953" s="137"/>
      <c r="K953" s="170"/>
      <c r="L953" s="170"/>
      <c r="M953" s="170"/>
    </row>
    <row r="954" spans="1:15" x14ac:dyDescent="0.35">
      <c r="A954" s="137"/>
      <c r="B954" s="137"/>
      <c r="C954" s="137"/>
      <c r="D954" s="137"/>
      <c r="E954" s="137"/>
      <c r="F954" s="137"/>
      <c r="G954" s="102"/>
      <c r="H954" s="137"/>
      <c r="I954" s="137"/>
      <c r="J954" s="137"/>
      <c r="K954" s="170"/>
      <c r="L954" s="170"/>
      <c r="M954" s="170"/>
      <c r="N954" s="137"/>
      <c r="O954" s="137"/>
    </row>
    <row r="955" spans="1:15" x14ac:dyDescent="0.35">
      <c r="A955" s="137"/>
      <c r="B955" s="137"/>
      <c r="C955" s="137"/>
      <c r="D955" s="137"/>
      <c r="E955" s="137"/>
      <c r="F955" s="137"/>
      <c r="G955" s="102"/>
      <c r="H955" s="137"/>
      <c r="I955" s="137"/>
      <c r="J955" s="137"/>
      <c r="K955" s="170"/>
      <c r="L955" s="170"/>
      <c r="M955" s="170"/>
    </row>
    <row r="956" spans="1:15" x14ac:dyDescent="0.35">
      <c r="A956" s="137"/>
      <c r="B956" s="137"/>
      <c r="C956" s="137"/>
      <c r="D956" s="137"/>
      <c r="E956" s="137"/>
      <c r="F956" s="137"/>
      <c r="G956" s="102"/>
      <c r="H956" s="137"/>
      <c r="I956" s="137"/>
      <c r="J956" s="137"/>
      <c r="K956" s="170"/>
      <c r="L956" s="170"/>
      <c r="M956" s="170"/>
      <c r="N956" s="137"/>
      <c r="O956" s="137"/>
    </row>
    <row r="957" spans="1:15" x14ac:dyDescent="0.35">
      <c r="A957" s="137"/>
      <c r="B957" s="137"/>
      <c r="C957" s="137"/>
      <c r="D957" s="137"/>
      <c r="E957" s="137"/>
      <c r="F957" s="137"/>
      <c r="G957" s="102"/>
      <c r="H957" s="137"/>
      <c r="I957" s="137"/>
      <c r="J957" s="137"/>
      <c r="K957" s="170"/>
      <c r="L957" s="170"/>
      <c r="M957" s="170"/>
      <c r="N957" s="137"/>
      <c r="O957" s="137"/>
    </row>
    <row r="958" spans="1:15" x14ac:dyDescent="0.35">
      <c r="A958" s="137"/>
      <c r="B958" s="137"/>
      <c r="C958" s="137"/>
      <c r="D958" s="137"/>
      <c r="E958" s="137"/>
      <c r="F958" s="137"/>
      <c r="G958" s="102"/>
      <c r="H958" s="137"/>
      <c r="I958" s="137"/>
      <c r="J958" s="137"/>
      <c r="K958" s="170"/>
      <c r="L958" s="170"/>
      <c r="M958" s="170"/>
      <c r="N958" s="137"/>
      <c r="O958" s="137"/>
    </row>
    <row r="959" spans="1:15" x14ac:dyDescent="0.35">
      <c r="A959" s="137"/>
      <c r="B959" s="137"/>
      <c r="C959" s="137"/>
      <c r="D959" s="137"/>
      <c r="E959" s="137"/>
      <c r="F959" s="137"/>
      <c r="G959" s="102"/>
      <c r="H959" s="137"/>
      <c r="I959" s="137"/>
      <c r="J959" s="137"/>
      <c r="K959" s="170"/>
      <c r="L959" s="170"/>
      <c r="M959" s="170"/>
      <c r="N959" s="137"/>
      <c r="O959" s="137"/>
    </row>
    <row r="960" spans="1:15" x14ac:dyDescent="0.35">
      <c r="A960" s="137"/>
      <c r="B960" s="137"/>
      <c r="C960" s="137"/>
      <c r="D960" s="137"/>
      <c r="E960" s="137"/>
      <c r="F960" s="137"/>
      <c r="G960" s="102"/>
      <c r="H960" s="137"/>
      <c r="I960" s="137"/>
      <c r="J960" s="137"/>
      <c r="K960" s="170"/>
      <c r="L960" s="170"/>
      <c r="M960" s="170"/>
      <c r="N960" s="137"/>
      <c r="O960" s="137"/>
    </row>
    <row r="961" spans="1:15" x14ac:dyDescent="0.35">
      <c r="A961" s="137"/>
      <c r="B961" s="137"/>
      <c r="C961" s="137"/>
      <c r="D961" s="137"/>
      <c r="E961" s="137"/>
      <c r="F961" s="137"/>
      <c r="G961" s="102"/>
      <c r="H961" s="137"/>
      <c r="I961" s="137"/>
      <c r="J961" s="137"/>
      <c r="K961" s="170"/>
      <c r="L961" s="170"/>
      <c r="M961" s="170"/>
      <c r="N961" s="137"/>
      <c r="O961" s="137"/>
    </row>
    <row r="962" spans="1:15" x14ac:dyDescent="0.35">
      <c r="A962" s="137"/>
      <c r="B962" s="137"/>
      <c r="C962" s="137"/>
      <c r="D962" s="137"/>
      <c r="E962" s="137"/>
      <c r="F962" s="137"/>
      <c r="G962" s="102"/>
      <c r="H962" s="137"/>
      <c r="I962" s="137"/>
      <c r="J962" s="137"/>
      <c r="K962" s="170"/>
      <c r="L962" s="170"/>
      <c r="M962" s="170"/>
      <c r="N962" s="137"/>
      <c r="O962" s="137"/>
    </row>
    <row r="963" spans="1:15" x14ac:dyDescent="0.35">
      <c r="A963" s="137"/>
      <c r="B963" s="137"/>
      <c r="C963" s="137"/>
      <c r="D963" s="137"/>
      <c r="E963" s="137"/>
      <c r="F963" s="137"/>
      <c r="G963" s="102"/>
      <c r="H963" s="137"/>
      <c r="I963" s="137"/>
      <c r="J963" s="137"/>
      <c r="K963" s="170"/>
      <c r="L963" s="170"/>
      <c r="M963" s="170"/>
      <c r="N963" s="137"/>
      <c r="O963" s="137"/>
    </row>
    <row r="964" spans="1:15" x14ac:dyDescent="0.35">
      <c r="A964" s="137"/>
      <c r="B964" s="137"/>
      <c r="C964" s="137"/>
      <c r="D964" s="137"/>
      <c r="E964" s="137"/>
      <c r="F964" s="137"/>
      <c r="G964" s="102"/>
      <c r="H964" s="137"/>
      <c r="I964" s="137"/>
      <c r="J964" s="137"/>
      <c r="K964" s="170"/>
      <c r="L964" s="170"/>
      <c r="M964" s="170"/>
      <c r="N964" s="137"/>
      <c r="O964" s="137"/>
    </row>
    <row r="965" spans="1:15" x14ac:dyDescent="0.35">
      <c r="A965" s="137"/>
      <c r="B965" s="137"/>
      <c r="C965" s="137"/>
      <c r="D965" s="137"/>
      <c r="E965" s="137"/>
      <c r="F965" s="137"/>
      <c r="G965" s="102"/>
      <c r="H965" s="137"/>
      <c r="I965" s="137"/>
      <c r="J965" s="137"/>
      <c r="K965" s="170"/>
      <c r="L965" s="170"/>
      <c r="M965" s="170"/>
      <c r="N965" s="137"/>
      <c r="O965" s="137"/>
    </row>
    <row r="966" spans="1:15" x14ac:dyDescent="0.35">
      <c r="A966" s="137"/>
      <c r="B966" s="137"/>
      <c r="C966" s="137"/>
      <c r="D966" s="137"/>
      <c r="E966" s="137"/>
      <c r="F966" s="137"/>
      <c r="G966" s="102"/>
      <c r="H966" s="137"/>
      <c r="I966" s="137"/>
      <c r="J966" s="137"/>
      <c r="K966" s="170"/>
      <c r="L966" s="170"/>
      <c r="M966" s="170"/>
      <c r="N966" s="137"/>
      <c r="O966" s="137"/>
    </row>
    <row r="967" spans="1:15" x14ac:dyDescent="0.35">
      <c r="A967" s="137"/>
      <c r="B967" s="137"/>
      <c r="C967" s="137"/>
      <c r="D967" s="137"/>
      <c r="E967" s="137"/>
      <c r="F967" s="137"/>
      <c r="G967" s="102"/>
      <c r="H967" s="137"/>
      <c r="I967" s="137"/>
      <c r="J967" s="137"/>
      <c r="K967" s="170"/>
      <c r="L967" s="170"/>
      <c r="M967" s="170"/>
      <c r="N967" s="137"/>
      <c r="O967" s="137"/>
    </row>
    <row r="968" spans="1:15" x14ac:dyDescent="0.35">
      <c r="A968" s="137"/>
      <c r="B968" s="137"/>
      <c r="C968" s="137"/>
      <c r="D968" s="137"/>
      <c r="E968" s="137"/>
      <c r="F968" s="137"/>
      <c r="G968" s="102"/>
      <c r="H968" s="137"/>
      <c r="I968" s="137"/>
      <c r="J968" s="137"/>
      <c r="K968" s="170"/>
      <c r="L968" s="170"/>
      <c r="M968" s="170"/>
      <c r="N968" s="137"/>
      <c r="O968" s="137"/>
    </row>
    <row r="969" spans="1:15" x14ac:dyDescent="0.35">
      <c r="A969" s="137"/>
      <c r="B969" s="137"/>
      <c r="C969" s="137"/>
      <c r="D969" s="137"/>
      <c r="E969" s="137"/>
      <c r="F969" s="137"/>
      <c r="G969" s="102"/>
      <c r="H969" s="137"/>
      <c r="I969" s="137"/>
      <c r="J969" s="137"/>
      <c r="K969" s="170"/>
      <c r="L969" s="170"/>
      <c r="M969" s="170"/>
      <c r="N969" s="137"/>
      <c r="O969" s="137"/>
    </row>
    <row r="970" spans="1:15" x14ac:dyDescent="0.35">
      <c r="A970" s="137"/>
      <c r="B970" s="137"/>
      <c r="C970" s="137"/>
      <c r="D970" s="137"/>
      <c r="E970" s="137"/>
      <c r="F970" s="137"/>
      <c r="G970" s="102"/>
      <c r="H970" s="137"/>
      <c r="I970" s="137"/>
      <c r="J970" s="137"/>
      <c r="K970" s="170"/>
      <c r="L970" s="170"/>
      <c r="M970" s="170"/>
      <c r="N970" s="137"/>
      <c r="O970" s="137"/>
    </row>
    <row r="971" spans="1:15" x14ac:dyDescent="0.35">
      <c r="A971" s="137"/>
      <c r="B971" s="137"/>
      <c r="C971" s="137"/>
      <c r="D971" s="137"/>
      <c r="E971" s="137"/>
      <c r="F971" s="137"/>
      <c r="G971" s="102"/>
      <c r="H971" s="137"/>
      <c r="I971" s="137"/>
      <c r="J971" s="137"/>
      <c r="K971" s="170"/>
      <c r="L971" s="170"/>
      <c r="M971" s="170"/>
      <c r="N971" s="137"/>
      <c r="O971" s="137"/>
    </row>
    <row r="972" spans="1:15" x14ac:dyDescent="0.35">
      <c r="A972" s="137"/>
      <c r="B972" s="137"/>
      <c r="C972" s="137"/>
      <c r="D972" s="137"/>
      <c r="E972" s="137"/>
      <c r="F972" s="137"/>
      <c r="G972" s="102"/>
      <c r="H972" s="137"/>
      <c r="I972" s="137"/>
      <c r="J972" s="137"/>
      <c r="K972" s="170"/>
      <c r="L972" s="170"/>
      <c r="M972" s="170"/>
      <c r="N972" s="137"/>
      <c r="O972" s="137"/>
    </row>
    <row r="973" spans="1:15" x14ac:dyDescent="0.35">
      <c r="A973" s="137"/>
      <c r="B973" s="137"/>
      <c r="C973" s="137"/>
      <c r="D973" s="137"/>
      <c r="E973" s="137"/>
      <c r="F973" s="137"/>
      <c r="G973" s="102"/>
      <c r="H973" s="137"/>
      <c r="I973" s="137"/>
      <c r="J973" s="137"/>
      <c r="K973" s="170"/>
      <c r="L973" s="170"/>
      <c r="M973" s="170"/>
      <c r="N973" s="31"/>
      <c r="O973" s="31"/>
    </row>
    <row r="974" spans="1:15" x14ac:dyDescent="0.35">
      <c r="A974" s="137"/>
      <c r="B974" s="137"/>
      <c r="C974" s="137"/>
      <c r="D974" s="137"/>
      <c r="E974" s="137"/>
      <c r="F974" s="137"/>
      <c r="G974" s="102"/>
      <c r="H974" s="137"/>
      <c r="I974" s="137"/>
      <c r="J974" s="137"/>
      <c r="K974" s="170"/>
      <c r="L974" s="170"/>
      <c r="M974" s="170"/>
    </row>
    <row r="975" spans="1:15" x14ac:dyDescent="0.35">
      <c r="A975" s="137"/>
      <c r="B975" s="137"/>
      <c r="C975" s="137"/>
      <c r="D975" s="137"/>
      <c r="E975" s="137"/>
      <c r="F975" s="137"/>
      <c r="G975" s="102"/>
      <c r="H975" s="137"/>
      <c r="I975" s="137"/>
      <c r="J975" s="137"/>
      <c r="K975" s="170"/>
      <c r="L975" s="170"/>
      <c r="M975" s="170"/>
    </row>
    <row r="976" spans="1:15" x14ac:dyDescent="0.35">
      <c r="A976" s="137"/>
      <c r="B976" s="137"/>
      <c r="C976" s="137"/>
      <c r="D976" s="137"/>
      <c r="E976" s="137"/>
      <c r="F976" s="137"/>
      <c r="G976" s="102"/>
      <c r="H976" s="137"/>
      <c r="I976" s="137"/>
      <c r="J976" s="137"/>
      <c r="K976" s="170"/>
      <c r="L976" s="170"/>
      <c r="M976" s="170"/>
    </row>
    <row r="977" spans="1:15" x14ac:dyDescent="0.35">
      <c r="A977" s="137"/>
      <c r="B977" s="137"/>
      <c r="C977" s="137"/>
      <c r="D977" s="137"/>
      <c r="E977" s="137"/>
      <c r="F977" s="137"/>
      <c r="G977" s="102"/>
      <c r="H977" s="137"/>
      <c r="I977" s="137"/>
      <c r="J977" s="137"/>
      <c r="K977" s="170"/>
      <c r="L977" s="170"/>
      <c r="M977" s="170"/>
    </row>
    <row r="978" spans="1:15" x14ac:dyDescent="0.35">
      <c r="A978" s="137"/>
      <c r="B978" s="137"/>
      <c r="C978" s="137"/>
      <c r="D978" s="137"/>
      <c r="E978" s="137"/>
      <c r="F978" s="137"/>
      <c r="G978" s="102"/>
      <c r="H978" s="137"/>
      <c r="I978" s="137"/>
      <c r="J978" s="137"/>
      <c r="K978" s="170"/>
      <c r="L978" s="170"/>
      <c r="M978" s="170"/>
    </row>
    <row r="979" spans="1:15" x14ac:dyDescent="0.35">
      <c r="A979" s="137"/>
      <c r="B979" s="137"/>
      <c r="C979" s="137"/>
      <c r="D979" s="137"/>
      <c r="E979" s="137"/>
      <c r="F979" s="137"/>
      <c r="G979" s="102"/>
      <c r="H979" s="137"/>
      <c r="I979" s="137"/>
      <c r="J979" s="137"/>
      <c r="K979" s="170"/>
      <c r="L979" s="170"/>
      <c r="M979" s="170"/>
      <c r="N979" s="137"/>
      <c r="O979" s="137"/>
    </row>
    <row r="980" spans="1:15" x14ac:dyDescent="0.35">
      <c r="A980" s="137"/>
      <c r="B980" s="137"/>
      <c r="C980" s="137"/>
      <c r="D980" s="137"/>
      <c r="E980" s="137"/>
      <c r="F980" s="137"/>
      <c r="G980" s="102"/>
      <c r="H980" s="137"/>
      <c r="I980" s="137"/>
      <c r="J980" s="137"/>
      <c r="K980" s="170"/>
      <c r="L980" s="170"/>
      <c r="M980" s="170"/>
    </row>
    <row r="981" spans="1:15" x14ac:dyDescent="0.35">
      <c r="A981" s="137"/>
      <c r="B981" s="137"/>
      <c r="C981" s="137"/>
      <c r="D981" s="137"/>
      <c r="E981" s="137"/>
      <c r="F981" s="137"/>
      <c r="G981" s="102"/>
      <c r="H981" s="137"/>
      <c r="I981" s="137"/>
      <c r="J981" s="137"/>
      <c r="K981" s="170"/>
      <c r="L981" s="170"/>
      <c r="M981" s="170"/>
      <c r="N981" s="31"/>
      <c r="O981" s="31"/>
    </row>
    <row r="982" spans="1:15" x14ac:dyDescent="0.35">
      <c r="A982" s="137"/>
      <c r="B982" s="137"/>
      <c r="C982" s="137"/>
      <c r="D982" s="137"/>
      <c r="E982" s="137"/>
      <c r="F982" s="137"/>
      <c r="G982" s="102"/>
      <c r="H982" s="137"/>
      <c r="I982" s="137"/>
      <c r="J982" s="137"/>
      <c r="K982" s="170"/>
      <c r="L982" s="170"/>
      <c r="M982" s="170"/>
      <c r="N982" s="137"/>
      <c r="O982" s="137"/>
    </row>
    <row r="983" spans="1:15" x14ac:dyDescent="0.35">
      <c r="A983" s="137"/>
      <c r="B983" s="137"/>
      <c r="C983" s="137"/>
      <c r="D983" s="137"/>
      <c r="E983" s="137"/>
      <c r="F983" s="137"/>
      <c r="G983" s="102"/>
      <c r="H983" s="137"/>
      <c r="I983" s="137"/>
      <c r="J983" s="137"/>
      <c r="K983" s="170"/>
      <c r="L983" s="170"/>
      <c r="M983" s="170"/>
      <c r="N983" s="137"/>
      <c r="O983" s="137"/>
    </row>
    <row r="984" spans="1:15" x14ac:dyDescent="0.35">
      <c r="A984" s="137"/>
      <c r="B984" s="137"/>
      <c r="C984" s="137"/>
      <c r="D984" s="137"/>
      <c r="E984" s="137"/>
      <c r="F984" s="137"/>
      <c r="G984" s="102"/>
      <c r="H984" s="137"/>
      <c r="I984" s="137"/>
      <c r="J984" s="137"/>
      <c r="K984" s="170"/>
      <c r="L984" s="170"/>
      <c r="M984" s="170"/>
      <c r="N984" s="137"/>
      <c r="O984" s="137"/>
    </row>
    <row r="985" spans="1:15" x14ac:dyDescent="0.35">
      <c r="A985" s="137"/>
      <c r="B985" s="137"/>
      <c r="C985" s="137"/>
      <c r="D985" s="137"/>
      <c r="E985" s="137"/>
      <c r="F985" s="137"/>
      <c r="G985" s="102"/>
      <c r="H985" s="137"/>
      <c r="I985" s="137"/>
      <c r="J985" s="137"/>
      <c r="K985" s="170"/>
      <c r="L985" s="170"/>
      <c r="M985" s="170"/>
      <c r="N985" s="137"/>
      <c r="O985" s="137"/>
    </row>
    <row r="986" spans="1:15" x14ac:dyDescent="0.35">
      <c r="A986" s="137"/>
      <c r="B986" s="137"/>
      <c r="C986" s="137"/>
      <c r="D986" s="137"/>
      <c r="E986" s="137"/>
      <c r="F986" s="137"/>
      <c r="G986" s="102"/>
      <c r="H986" s="137"/>
      <c r="I986" s="137"/>
      <c r="J986" s="137"/>
      <c r="K986" s="170"/>
      <c r="L986" s="170"/>
      <c r="M986" s="170"/>
      <c r="N986" s="137"/>
      <c r="O986" s="137"/>
    </row>
    <row r="987" spans="1:15" x14ac:dyDescent="0.35">
      <c r="A987" s="137"/>
      <c r="B987" s="137"/>
      <c r="C987" s="137"/>
      <c r="D987" s="137"/>
      <c r="E987" s="137"/>
      <c r="F987" s="137"/>
      <c r="G987" s="102"/>
      <c r="H987" s="137"/>
      <c r="I987" s="137"/>
      <c r="J987" s="137"/>
      <c r="K987" s="170"/>
      <c r="L987" s="170"/>
      <c r="M987" s="170"/>
      <c r="N987" s="137"/>
      <c r="O987" s="137"/>
    </row>
    <row r="988" spans="1:15" x14ac:dyDescent="0.35">
      <c r="A988" s="137"/>
      <c r="B988" s="137"/>
      <c r="C988" s="137"/>
      <c r="D988" s="137"/>
      <c r="E988" s="137"/>
      <c r="F988" s="137"/>
      <c r="G988" s="102"/>
      <c r="H988" s="137"/>
      <c r="I988" s="137"/>
      <c r="J988" s="137"/>
      <c r="K988" s="170"/>
      <c r="L988" s="170"/>
      <c r="M988" s="170"/>
      <c r="N988" s="137"/>
      <c r="O988" s="137"/>
    </row>
    <row r="989" spans="1:15" x14ac:dyDescent="0.35">
      <c r="A989" s="137"/>
      <c r="B989" s="137"/>
      <c r="C989" s="137"/>
      <c r="D989" s="137"/>
      <c r="E989" s="137"/>
      <c r="F989" s="137"/>
      <c r="G989" s="102"/>
      <c r="H989" s="137"/>
      <c r="I989" s="137"/>
      <c r="J989" s="137"/>
      <c r="K989" s="170"/>
      <c r="L989" s="170"/>
      <c r="M989" s="170"/>
      <c r="N989" s="137"/>
      <c r="O989" s="137"/>
    </row>
    <row r="990" spans="1:15" x14ac:dyDescent="0.35">
      <c r="A990" s="137"/>
      <c r="B990" s="137"/>
      <c r="C990" s="137"/>
      <c r="D990" s="137"/>
      <c r="E990" s="137"/>
      <c r="F990" s="137"/>
      <c r="G990" s="102"/>
      <c r="H990" s="137"/>
      <c r="I990" s="137"/>
      <c r="J990" s="137"/>
      <c r="K990" s="170"/>
      <c r="L990" s="170"/>
      <c r="M990" s="170"/>
      <c r="N990" s="137"/>
      <c r="O990" s="137"/>
    </row>
    <row r="991" spans="1:15" x14ac:dyDescent="0.35">
      <c r="A991" s="137"/>
      <c r="B991" s="137"/>
      <c r="C991" s="137"/>
      <c r="D991" s="137"/>
      <c r="E991" s="137"/>
      <c r="F991" s="137"/>
      <c r="G991" s="102"/>
      <c r="H991" s="137"/>
      <c r="I991" s="137"/>
      <c r="J991" s="137"/>
      <c r="K991" s="170"/>
      <c r="L991" s="170"/>
      <c r="M991" s="170"/>
      <c r="N991" s="137"/>
      <c r="O991" s="137"/>
    </row>
    <row r="992" spans="1:15" x14ac:dyDescent="0.35">
      <c r="A992" s="137"/>
      <c r="B992" s="137"/>
      <c r="C992" s="137"/>
      <c r="D992" s="137"/>
      <c r="E992" s="137"/>
      <c r="F992" s="137"/>
      <c r="G992" s="102"/>
      <c r="H992" s="137"/>
      <c r="I992" s="137"/>
      <c r="J992" s="137"/>
      <c r="K992" s="170"/>
      <c r="L992" s="170"/>
      <c r="M992" s="170"/>
      <c r="N992" s="137"/>
      <c r="O992" s="137"/>
    </row>
    <row r="993" spans="1:15" x14ac:dyDescent="0.35">
      <c r="A993" s="137"/>
      <c r="B993" s="137"/>
      <c r="C993" s="137"/>
      <c r="D993" s="137"/>
      <c r="E993" s="137"/>
      <c r="F993" s="137"/>
      <c r="G993" s="102"/>
      <c r="H993" s="137"/>
      <c r="I993" s="137"/>
      <c r="J993" s="137"/>
      <c r="K993" s="170"/>
      <c r="L993" s="170"/>
      <c r="M993" s="170"/>
      <c r="N993" s="137"/>
      <c r="O993" s="137"/>
    </row>
    <row r="994" spans="1:15" x14ac:dyDescent="0.35">
      <c r="A994" s="137"/>
      <c r="B994" s="137"/>
      <c r="C994" s="137"/>
      <c r="D994" s="137"/>
      <c r="E994" s="137"/>
      <c r="F994" s="137"/>
      <c r="G994" s="102"/>
      <c r="H994" s="137"/>
      <c r="I994" s="137"/>
      <c r="J994" s="137"/>
      <c r="K994" s="170"/>
      <c r="L994" s="170"/>
      <c r="M994" s="170"/>
      <c r="N994" s="137"/>
      <c r="O994" s="137"/>
    </row>
    <row r="995" spans="1:15" x14ac:dyDescent="0.35">
      <c r="A995" s="137"/>
      <c r="B995" s="137"/>
      <c r="C995" s="137"/>
      <c r="D995" s="137"/>
      <c r="E995" s="137"/>
      <c r="F995" s="137"/>
      <c r="G995" s="102"/>
      <c r="H995" s="137"/>
      <c r="I995" s="137"/>
      <c r="J995" s="137"/>
      <c r="K995" s="170"/>
      <c r="L995" s="170"/>
      <c r="M995" s="170"/>
      <c r="N995" s="137"/>
      <c r="O995" s="137"/>
    </row>
    <row r="996" spans="1:15" x14ac:dyDescent="0.35">
      <c r="A996" s="137"/>
      <c r="B996" s="137"/>
      <c r="C996" s="137"/>
      <c r="D996" s="137"/>
      <c r="E996" s="137"/>
      <c r="F996" s="137"/>
      <c r="G996" s="102"/>
      <c r="H996" s="137"/>
      <c r="I996" s="137"/>
      <c r="J996" s="137"/>
      <c r="K996" s="170"/>
      <c r="L996" s="170"/>
      <c r="M996" s="170"/>
      <c r="N996" s="137"/>
      <c r="O996" s="137"/>
    </row>
    <row r="997" spans="1:15" x14ac:dyDescent="0.35">
      <c r="A997" s="137"/>
      <c r="B997" s="137"/>
      <c r="C997" s="137"/>
      <c r="D997" s="137"/>
      <c r="E997" s="137"/>
      <c r="F997" s="137"/>
      <c r="G997" s="102"/>
      <c r="H997" s="137"/>
      <c r="I997" s="137"/>
      <c r="J997" s="137"/>
      <c r="K997" s="170"/>
      <c r="L997" s="170"/>
      <c r="M997" s="170"/>
      <c r="N997" s="137"/>
      <c r="O997" s="137"/>
    </row>
    <row r="998" spans="1:15" x14ac:dyDescent="0.35">
      <c r="A998" s="137"/>
      <c r="B998" s="137"/>
      <c r="C998" s="137"/>
      <c r="D998" s="137"/>
      <c r="E998" s="137"/>
      <c r="F998" s="137"/>
      <c r="G998" s="102"/>
      <c r="H998" s="137"/>
      <c r="I998" s="137"/>
      <c r="J998" s="137"/>
      <c r="K998" s="170"/>
      <c r="L998" s="170"/>
      <c r="M998" s="170"/>
      <c r="N998" s="137"/>
      <c r="O998" s="137"/>
    </row>
    <row r="999" spans="1:15" x14ac:dyDescent="0.35">
      <c r="A999" s="137"/>
      <c r="B999" s="137"/>
      <c r="C999" s="137"/>
      <c r="D999" s="137"/>
      <c r="E999" s="137"/>
      <c r="F999" s="137"/>
      <c r="G999" s="102"/>
      <c r="H999" s="137"/>
      <c r="I999" s="137"/>
      <c r="J999" s="137"/>
      <c r="K999" s="170"/>
      <c r="L999" s="170"/>
      <c r="M999" s="170"/>
    </row>
    <row r="1000" spans="1:15" x14ac:dyDescent="0.35">
      <c r="A1000" s="137"/>
      <c r="B1000" s="137"/>
      <c r="C1000" s="137"/>
      <c r="D1000" s="137"/>
      <c r="E1000" s="137"/>
      <c r="F1000" s="137"/>
      <c r="G1000" s="102"/>
      <c r="H1000" s="137"/>
      <c r="I1000" s="137"/>
      <c r="J1000" s="137"/>
      <c r="K1000" s="170"/>
      <c r="L1000" s="170"/>
      <c r="M1000" s="170"/>
      <c r="N1000" s="137"/>
      <c r="O1000" s="137"/>
    </row>
    <row r="1001" spans="1:15" x14ac:dyDescent="0.35">
      <c r="A1001" s="137"/>
      <c r="B1001" s="137"/>
      <c r="C1001" s="137"/>
      <c r="D1001" s="137"/>
      <c r="E1001" s="137"/>
      <c r="F1001" s="137"/>
      <c r="G1001" s="102"/>
      <c r="H1001" s="137"/>
      <c r="I1001" s="137"/>
      <c r="J1001" s="137"/>
      <c r="K1001" s="170"/>
      <c r="L1001" s="170"/>
      <c r="M1001" s="170"/>
      <c r="N1001" s="137"/>
      <c r="O1001" s="137"/>
    </row>
    <row r="1002" spans="1:15" x14ac:dyDescent="0.35">
      <c r="A1002" s="137"/>
      <c r="B1002" s="137"/>
      <c r="C1002" s="137"/>
      <c r="D1002" s="137"/>
      <c r="E1002" s="137"/>
      <c r="F1002" s="137"/>
      <c r="G1002" s="102"/>
      <c r="H1002" s="137"/>
      <c r="I1002" s="137"/>
      <c r="J1002" s="137"/>
      <c r="K1002" s="170"/>
      <c r="L1002" s="170"/>
      <c r="M1002" s="170"/>
      <c r="N1002" s="137"/>
      <c r="O1002" s="137"/>
    </row>
    <row r="1003" spans="1:15" x14ac:dyDescent="0.35">
      <c r="A1003" s="137"/>
      <c r="B1003" s="137"/>
      <c r="C1003" s="137"/>
      <c r="D1003" s="137"/>
      <c r="E1003" s="137"/>
      <c r="F1003" s="137"/>
      <c r="G1003" s="102"/>
      <c r="H1003" s="137"/>
      <c r="I1003" s="137"/>
      <c r="J1003" s="137"/>
      <c r="K1003" s="170"/>
      <c r="L1003" s="170"/>
      <c r="M1003" s="170"/>
      <c r="N1003" s="137"/>
      <c r="O1003" s="137"/>
    </row>
    <row r="1004" spans="1:15" x14ac:dyDescent="0.35">
      <c r="A1004" s="137"/>
      <c r="B1004" s="137"/>
      <c r="C1004" s="137"/>
      <c r="D1004" s="137"/>
      <c r="E1004" s="137"/>
      <c r="F1004" s="137"/>
      <c r="G1004" s="102"/>
      <c r="H1004" s="137"/>
      <c r="I1004" s="137"/>
      <c r="J1004" s="137"/>
      <c r="K1004" s="170"/>
      <c r="L1004" s="170"/>
      <c r="M1004" s="170"/>
      <c r="N1004" s="137"/>
      <c r="O1004" s="137"/>
    </row>
    <row r="1005" spans="1:15" x14ac:dyDescent="0.35">
      <c r="A1005" s="137"/>
      <c r="B1005" s="137"/>
      <c r="C1005" s="137"/>
      <c r="D1005" s="137"/>
      <c r="E1005" s="137"/>
      <c r="F1005" s="137"/>
      <c r="G1005" s="102"/>
      <c r="H1005" s="137"/>
      <c r="I1005" s="137"/>
      <c r="J1005" s="137"/>
      <c r="K1005" s="170"/>
      <c r="L1005" s="170"/>
      <c r="M1005" s="170"/>
      <c r="N1005" s="31"/>
      <c r="O1005" s="31"/>
    </row>
    <row r="1006" spans="1:15" x14ac:dyDescent="0.35">
      <c r="A1006" s="137"/>
      <c r="B1006" s="137"/>
      <c r="C1006" s="137"/>
      <c r="D1006" s="137"/>
      <c r="E1006" s="137"/>
      <c r="F1006" s="137"/>
      <c r="G1006" s="102"/>
      <c r="H1006" s="137"/>
      <c r="I1006" s="137"/>
      <c r="J1006" s="137"/>
      <c r="K1006" s="170"/>
      <c r="L1006" s="170"/>
      <c r="M1006" s="170"/>
    </row>
    <row r="1007" spans="1:15" x14ac:dyDescent="0.35">
      <c r="A1007" s="137"/>
      <c r="B1007" s="137"/>
      <c r="C1007" s="137"/>
      <c r="D1007" s="137"/>
      <c r="E1007" s="137"/>
      <c r="F1007" s="137"/>
      <c r="G1007" s="102"/>
      <c r="H1007" s="137"/>
      <c r="I1007" s="137"/>
      <c r="J1007" s="137"/>
      <c r="K1007" s="170"/>
      <c r="L1007" s="170"/>
      <c r="M1007" s="170"/>
    </row>
    <row r="1008" spans="1:15" x14ac:dyDescent="0.35">
      <c r="A1008" s="137"/>
      <c r="B1008" s="137"/>
      <c r="C1008" s="137"/>
      <c r="D1008" s="137"/>
      <c r="E1008" s="137"/>
      <c r="F1008" s="137"/>
      <c r="G1008" s="102"/>
      <c r="H1008" s="137"/>
      <c r="I1008" s="137"/>
      <c r="J1008" s="137"/>
      <c r="K1008" s="170"/>
      <c r="L1008" s="170"/>
      <c r="M1008" s="170"/>
    </row>
    <row r="1009" spans="1:15" x14ac:dyDescent="0.35">
      <c r="A1009" s="137"/>
      <c r="B1009" s="137"/>
      <c r="C1009" s="137"/>
      <c r="D1009" s="137"/>
      <c r="E1009" s="137"/>
      <c r="F1009" s="137"/>
      <c r="G1009" s="102"/>
      <c r="H1009" s="137"/>
      <c r="I1009" s="137"/>
      <c r="J1009" s="137"/>
      <c r="K1009" s="170"/>
      <c r="L1009" s="170"/>
      <c r="M1009" s="170"/>
      <c r="N1009" s="137"/>
      <c r="O1009" s="137"/>
    </row>
    <row r="1010" spans="1:15" x14ac:dyDescent="0.35">
      <c r="A1010" s="137"/>
      <c r="B1010" s="137"/>
      <c r="C1010" s="137"/>
      <c r="D1010" s="137"/>
      <c r="E1010" s="137"/>
      <c r="F1010" s="137"/>
      <c r="G1010" s="102"/>
      <c r="H1010" s="137"/>
      <c r="I1010" s="137"/>
      <c r="J1010" s="137"/>
      <c r="K1010" s="170"/>
      <c r="L1010" s="170"/>
      <c r="M1010" s="170"/>
      <c r="N1010" s="137"/>
      <c r="O1010" s="137"/>
    </row>
    <row r="1011" spans="1:15" x14ac:dyDescent="0.35">
      <c r="A1011" s="137"/>
      <c r="B1011" s="137"/>
      <c r="C1011" s="137"/>
      <c r="D1011" s="137"/>
      <c r="E1011" s="137"/>
      <c r="F1011" s="137"/>
      <c r="G1011" s="102"/>
      <c r="H1011" s="137"/>
      <c r="I1011" s="137"/>
      <c r="J1011" s="137"/>
      <c r="K1011" s="170"/>
      <c r="L1011" s="170"/>
      <c r="M1011" s="170"/>
    </row>
    <row r="1012" spans="1:15" x14ac:dyDescent="0.35">
      <c r="A1012" s="137"/>
      <c r="B1012" s="137"/>
      <c r="C1012" s="137"/>
      <c r="D1012" s="137"/>
      <c r="E1012" s="137"/>
      <c r="F1012" s="137"/>
      <c r="G1012" s="102"/>
      <c r="H1012" s="137"/>
      <c r="I1012" s="137"/>
      <c r="J1012" s="137"/>
      <c r="K1012" s="170"/>
      <c r="L1012" s="170"/>
      <c r="M1012" s="170"/>
    </row>
    <row r="1013" spans="1:15" x14ac:dyDescent="0.35">
      <c r="A1013" s="137"/>
      <c r="B1013" s="137"/>
      <c r="C1013" s="137"/>
      <c r="D1013" s="137"/>
      <c r="E1013" s="137"/>
      <c r="F1013" s="137"/>
      <c r="G1013" s="102"/>
      <c r="H1013" s="137"/>
      <c r="I1013" s="137"/>
      <c r="J1013" s="137"/>
      <c r="K1013" s="170"/>
      <c r="L1013" s="170"/>
      <c r="M1013" s="170"/>
    </row>
    <row r="1014" spans="1:15" x14ac:dyDescent="0.35">
      <c r="A1014" s="137"/>
      <c r="B1014" s="137"/>
      <c r="C1014" s="137"/>
      <c r="D1014" s="137"/>
      <c r="E1014" s="137"/>
      <c r="F1014" s="137"/>
      <c r="G1014" s="102"/>
      <c r="H1014" s="137"/>
      <c r="I1014" s="137"/>
      <c r="J1014" s="137"/>
      <c r="K1014" s="170"/>
      <c r="L1014" s="170"/>
      <c r="M1014" s="170"/>
      <c r="N1014" s="31"/>
      <c r="O1014" s="31"/>
    </row>
    <row r="1015" spans="1:15" x14ac:dyDescent="0.35">
      <c r="A1015" s="137"/>
      <c r="B1015" s="137"/>
      <c r="C1015" s="137"/>
      <c r="D1015" s="137"/>
      <c r="E1015" s="137"/>
      <c r="F1015" s="137"/>
      <c r="G1015" s="102"/>
      <c r="H1015" s="137"/>
      <c r="I1015" s="137"/>
      <c r="J1015" s="137"/>
      <c r="K1015" s="170"/>
      <c r="L1015" s="170"/>
      <c r="M1015" s="170"/>
    </row>
    <row r="1016" spans="1:15" x14ac:dyDescent="0.35">
      <c r="A1016" s="137"/>
      <c r="B1016" s="137"/>
      <c r="C1016" s="137"/>
      <c r="D1016" s="137"/>
      <c r="E1016" s="137"/>
      <c r="F1016" s="137"/>
      <c r="G1016" s="102"/>
      <c r="H1016" s="137"/>
      <c r="I1016" s="137"/>
      <c r="J1016" s="137"/>
      <c r="K1016" s="170"/>
      <c r="L1016" s="170"/>
      <c r="M1016" s="170"/>
      <c r="N1016" s="137"/>
      <c r="O1016" s="137"/>
    </row>
    <row r="1017" spans="1:15" x14ac:dyDescent="0.35">
      <c r="A1017" s="137"/>
      <c r="B1017" s="137"/>
      <c r="C1017" s="137"/>
      <c r="D1017" s="137"/>
      <c r="E1017" s="137"/>
      <c r="F1017" s="137"/>
      <c r="G1017" s="102"/>
      <c r="H1017" s="137"/>
      <c r="I1017" s="137"/>
      <c r="J1017" s="137"/>
      <c r="K1017" s="170"/>
      <c r="L1017" s="170"/>
      <c r="M1017" s="170"/>
      <c r="N1017" s="137"/>
      <c r="O1017" s="137"/>
    </row>
    <row r="1018" spans="1:15" x14ac:dyDescent="0.35">
      <c r="A1018" s="137"/>
      <c r="B1018" s="137"/>
      <c r="C1018" s="137"/>
      <c r="D1018" s="137"/>
      <c r="E1018" s="137"/>
      <c r="F1018" s="137"/>
      <c r="G1018" s="102"/>
      <c r="H1018" s="137"/>
      <c r="I1018" s="137"/>
      <c r="J1018" s="137"/>
      <c r="K1018" s="170"/>
      <c r="L1018" s="170"/>
      <c r="M1018" s="170"/>
      <c r="N1018" s="137"/>
      <c r="O1018" s="137"/>
    </row>
    <row r="1019" spans="1:15" x14ac:dyDescent="0.35">
      <c r="A1019" s="137"/>
      <c r="B1019" s="137"/>
      <c r="C1019" s="137"/>
      <c r="D1019" s="137"/>
      <c r="E1019" s="137"/>
      <c r="F1019" s="137"/>
      <c r="G1019" s="102"/>
      <c r="H1019" s="137"/>
      <c r="I1019" s="137"/>
      <c r="J1019" s="137"/>
      <c r="K1019" s="170"/>
      <c r="L1019" s="170"/>
      <c r="M1019" s="170"/>
      <c r="N1019" s="137"/>
      <c r="O1019" s="137"/>
    </row>
    <row r="1020" spans="1:15" x14ac:dyDescent="0.35">
      <c r="A1020" s="137"/>
      <c r="B1020" s="137"/>
      <c r="C1020" s="137"/>
      <c r="D1020" s="137"/>
      <c r="E1020" s="137"/>
      <c r="F1020" s="137"/>
      <c r="G1020" s="102"/>
      <c r="H1020" s="137"/>
      <c r="I1020" s="137"/>
      <c r="J1020" s="137"/>
      <c r="K1020" s="170"/>
      <c r="L1020" s="170"/>
      <c r="M1020" s="170"/>
      <c r="N1020" s="137"/>
      <c r="O1020" s="137"/>
    </row>
    <row r="1021" spans="1:15" x14ac:dyDescent="0.35">
      <c r="A1021" s="137"/>
      <c r="B1021" s="137"/>
      <c r="C1021" s="137"/>
      <c r="D1021" s="137"/>
      <c r="E1021" s="137"/>
      <c r="F1021" s="137"/>
      <c r="G1021" s="102"/>
      <c r="H1021" s="137"/>
      <c r="I1021" s="137"/>
      <c r="J1021" s="137"/>
      <c r="K1021" s="170"/>
      <c r="L1021" s="170"/>
      <c r="M1021" s="170"/>
      <c r="N1021" s="137"/>
      <c r="O1021" s="137"/>
    </row>
    <row r="1022" spans="1:15" x14ac:dyDescent="0.35">
      <c r="A1022" s="137"/>
      <c r="B1022" s="137"/>
      <c r="C1022" s="137"/>
      <c r="D1022" s="137"/>
      <c r="E1022" s="137"/>
      <c r="F1022" s="137"/>
      <c r="G1022" s="102"/>
      <c r="H1022" s="137"/>
      <c r="I1022" s="137"/>
      <c r="J1022" s="137"/>
      <c r="K1022" s="170"/>
      <c r="L1022" s="170"/>
      <c r="M1022" s="170"/>
      <c r="N1022" s="137"/>
      <c r="O1022" s="137"/>
    </row>
    <row r="1023" spans="1:15" x14ac:dyDescent="0.35">
      <c r="A1023" s="137"/>
      <c r="B1023" s="137"/>
      <c r="C1023" s="137"/>
      <c r="D1023" s="137"/>
      <c r="E1023" s="137"/>
      <c r="F1023" s="137"/>
      <c r="G1023" s="102"/>
      <c r="H1023" s="137"/>
      <c r="I1023" s="137"/>
      <c r="J1023" s="137"/>
      <c r="K1023" s="170"/>
      <c r="L1023" s="170"/>
      <c r="M1023" s="170"/>
      <c r="N1023" s="137"/>
      <c r="O1023" s="137"/>
    </row>
    <row r="1024" spans="1:15" x14ac:dyDescent="0.35">
      <c r="A1024" s="137"/>
      <c r="B1024" s="137"/>
      <c r="C1024" s="137"/>
      <c r="D1024" s="137"/>
      <c r="E1024" s="137"/>
      <c r="F1024" s="137"/>
      <c r="G1024" s="102"/>
      <c r="H1024" s="137"/>
      <c r="I1024" s="137"/>
      <c r="J1024" s="137"/>
      <c r="K1024" s="170"/>
      <c r="L1024" s="170"/>
      <c r="M1024" s="170"/>
      <c r="N1024" s="137"/>
      <c r="O1024" s="137"/>
    </row>
    <row r="1025" spans="1:15" x14ac:dyDescent="0.35">
      <c r="A1025" s="137"/>
      <c r="B1025" s="137"/>
      <c r="C1025" s="137"/>
      <c r="D1025" s="137"/>
      <c r="E1025" s="137"/>
      <c r="F1025" s="137"/>
      <c r="G1025" s="102"/>
      <c r="H1025" s="137"/>
      <c r="I1025" s="137"/>
      <c r="J1025" s="137"/>
      <c r="K1025" s="170"/>
      <c r="L1025" s="170"/>
      <c r="M1025" s="170"/>
      <c r="N1025" s="137"/>
      <c r="O1025" s="137"/>
    </row>
    <row r="1026" spans="1:15" x14ac:dyDescent="0.35">
      <c r="A1026" s="137"/>
      <c r="B1026" s="137"/>
      <c r="C1026" s="137"/>
      <c r="D1026" s="137"/>
      <c r="E1026" s="137"/>
      <c r="F1026" s="137"/>
      <c r="G1026" s="102"/>
      <c r="H1026" s="137"/>
      <c r="I1026" s="137"/>
      <c r="J1026" s="137"/>
      <c r="K1026" s="170"/>
      <c r="L1026" s="170"/>
      <c r="M1026" s="170"/>
      <c r="N1026" s="137"/>
      <c r="O1026" s="137"/>
    </row>
    <row r="1027" spans="1:15" x14ac:dyDescent="0.35">
      <c r="A1027" s="137"/>
      <c r="B1027" s="137"/>
      <c r="C1027" s="137"/>
      <c r="D1027" s="137"/>
      <c r="E1027" s="137"/>
      <c r="F1027" s="137"/>
      <c r="G1027" s="102"/>
      <c r="H1027" s="137"/>
      <c r="I1027" s="137"/>
      <c r="J1027" s="137"/>
      <c r="K1027" s="170"/>
      <c r="L1027" s="170"/>
      <c r="M1027" s="170"/>
      <c r="N1027" s="137"/>
      <c r="O1027" s="137"/>
    </row>
    <row r="1028" spans="1:15" x14ac:dyDescent="0.35">
      <c r="A1028" s="137"/>
      <c r="B1028" s="137"/>
      <c r="C1028" s="137"/>
      <c r="D1028" s="137"/>
      <c r="E1028" s="137"/>
      <c r="F1028" s="137"/>
      <c r="G1028" s="102"/>
      <c r="H1028" s="137"/>
      <c r="I1028" s="137"/>
      <c r="J1028" s="137"/>
      <c r="K1028" s="170"/>
      <c r="L1028" s="170"/>
      <c r="M1028" s="170"/>
      <c r="N1028" s="137"/>
      <c r="O1028" s="137"/>
    </row>
    <row r="1029" spans="1:15" x14ac:dyDescent="0.35">
      <c r="A1029" s="137"/>
      <c r="B1029" s="137"/>
      <c r="C1029" s="137"/>
      <c r="D1029" s="137"/>
      <c r="E1029" s="137"/>
      <c r="F1029" s="137"/>
      <c r="G1029" s="102"/>
      <c r="H1029" s="137"/>
      <c r="I1029" s="137"/>
      <c r="J1029" s="137"/>
      <c r="K1029" s="170"/>
      <c r="L1029" s="170"/>
      <c r="M1029" s="170"/>
      <c r="N1029" s="137"/>
      <c r="O1029" s="137"/>
    </row>
    <row r="1030" spans="1:15" x14ac:dyDescent="0.35">
      <c r="A1030" s="137"/>
      <c r="B1030" s="137"/>
      <c r="C1030" s="137"/>
      <c r="D1030" s="137"/>
      <c r="E1030" s="137"/>
      <c r="F1030" s="137"/>
      <c r="G1030" s="102"/>
      <c r="H1030" s="137"/>
      <c r="I1030" s="137"/>
      <c r="J1030" s="137"/>
      <c r="K1030" s="170"/>
      <c r="L1030" s="170"/>
      <c r="M1030" s="170"/>
      <c r="N1030" s="137"/>
      <c r="O1030" s="137"/>
    </row>
    <row r="1031" spans="1:15" x14ac:dyDescent="0.35">
      <c r="A1031" s="137"/>
      <c r="B1031" s="137"/>
      <c r="C1031" s="137"/>
      <c r="D1031" s="137"/>
      <c r="E1031" s="137"/>
      <c r="F1031" s="137"/>
      <c r="G1031" s="102"/>
      <c r="H1031" s="137"/>
      <c r="I1031" s="137"/>
      <c r="J1031" s="137"/>
      <c r="K1031" s="170"/>
      <c r="L1031" s="170"/>
      <c r="M1031" s="170"/>
      <c r="N1031" s="137"/>
      <c r="O1031" s="137"/>
    </row>
    <row r="1032" spans="1:15" x14ac:dyDescent="0.35">
      <c r="A1032" s="137"/>
      <c r="B1032" s="137"/>
      <c r="C1032" s="137"/>
      <c r="D1032" s="137"/>
      <c r="E1032" s="137"/>
      <c r="F1032" s="137"/>
      <c r="G1032" s="102"/>
      <c r="H1032" s="137"/>
      <c r="I1032" s="137"/>
      <c r="J1032" s="137"/>
      <c r="K1032" s="170"/>
      <c r="L1032" s="170"/>
      <c r="M1032" s="170"/>
      <c r="N1032" s="137"/>
      <c r="O1032" s="137"/>
    </row>
    <row r="1033" spans="1:15" x14ac:dyDescent="0.35">
      <c r="A1033" s="137"/>
      <c r="B1033" s="137"/>
      <c r="C1033" s="137"/>
      <c r="D1033" s="137"/>
      <c r="E1033" s="137"/>
      <c r="F1033" s="137"/>
      <c r="G1033" s="102"/>
      <c r="H1033" s="137"/>
      <c r="I1033" s="137"/>
      <c r="J1033" s="137"/>
      <c r="K1033" s="170"/>
      <c r="L1033" s="170"/>
      <c r="M1033" s="170"/>
      <c r="N1033" s="137"/>
      <c r="O1033" s="137"/>
    </row>
    <row r="1034" spans="1:15" x14ac:dyDescent="0.35">
      <c r="A1034" s="137"/>
      <c r="B1034" s="137"/>
      <c r="C1034" s="137"/>
      <c r="D1034" s="137"/>
      <c r="E1034" s="137"/>
      <c r="F1034" s="137"/>
      <c r="G1034" s="102"/>
      <c r="H1034" s="137"/>
      <c r="I1034" s="137"/>
      <c r="J1034" s="137"/>
      <c r="K1034" s="170"/>
      <c r="L1034" s="170"/>
      <c r="M1034" s="170"/>
      <c r="N1034" s="137"/>
      <c r="O1034" s="137"/>
    </row>
    <row r="1035" spans="1:15" x14ac:dyDescent="0.35">
      <c r="A1035" s="137"/>
      <c r="B1035" s="137"/>
      <c r="C1035" s="137"/>
      <c r="D1035" s="137"/>
      <c r="E1035" s="137"/>
      <c r="F1035" s="137"/>
      <c r="G1035" s="102"/>
      <c r="H1035" s="137"/>
      <c r="I1035" s="137"/>
      <c r="J1035" s="137"/>
      <c r="K1035" s="170"/>
      <c r="L1035" s="170"/>
      <c r="M1035" s="170"/>
      <c r="N1035" s="137"/>
      <c r="O1035" s="137"/>
    </row>
    <row r="1036" spans="1:15" x14ac:dyDescent="0.35">
      <c r="A1036" s="137"/>
      <c r="B1036" s="137"/>
      <c r="C1036" s="137"/>
      <c r="D1036" s="137"/>
      <c r="E1036" s="137"/>
      <c r="F1036" s="137"/>
      <c r="G1036" s="102"/>
      <c r="H1036" s="137"/>
      <c r="I1036" s="137"/>
      <c r="J1036" s="137"/>
      <c r="K1036" s="170"/>
      <c r="L1036" s="170"/>
      <c r="M1036" s="170"/>
      <c r="N1036" s="31"/>
      <c r="O1036" s="31"/>
    </row>
    <row r="1037" spans="1:15" x14ac:dyDescent="0.35">
      <c r="A1037" s="137"/>
      <c r="B1037" s="137"/>
      <c r="C1037" s="137"/>
      <c r="D1037" s="137"/>
      <c r="E1037" s="137"/>
      <c r="F1037" s="137"/>
      <c r="G1037" s="102"/>
      <c r="H1037" s="137"/>
      <c r="I1037" s="137"/>
      <c r="J1037" s="137"/>
      <c r="K1037" s="170"/>
      <c r="L1037" s="170"/>
      <c r="M1037" s="170"/>
    </row>
    <row r="1038" spans="1:15" x14ac:dyDescent="0.35">
      <c r="A1038" s="137"/>
      <c r="B1038" s="137"/>
      <c r="C1038" s="137"/>
      <c r="D1038" s="137"/>
      <c r="E1038" s="137"/>
      <c r="F1038" s="137"/>
      <c r="G1038" s="102"/>
      <c r="H1038" s="137"/>
      <c r="I1038" s="137"/>
      <c r="J1038" s="137"/>
      <c r="K1038" s="170"/>
      <c r="L1038" s="170"/>
      <c r="M1038" s="170"/>
    </row>
    <row r="1039" spans="1:15" x14ac:dyDescent="0.35">
      <c r="A1039" s="137"/>
      <c r="B1039" s="137"/>
      <c r="C1039" s="137"/>
      <c r="D1039" s="137"/>
      <c r="E1039" s="137"/>
      <c r="F1039" s="137"/>
      <c r="G1039" s="102"/>
      <c r="H1039" s="137"/>
      <c r="I1039" s="137"/>
      <c r="J1039" s="137"/>
      <c r="K1039" s="170"/>
      <c r="L1039" s="170"/>
      <c r="M1039" s="170"/>
    </row>
    <row r="1040" spans="1:15" x14ac:dyDescent="0.35">
      <c r="A1040" s="137"/>
      <c r="B1040" s="137"/>
      <c r="C1040" s="137"/>
      <c r="D1040" s="137"/>
      <c r="E1040" s="137"/>
      <c r="F1040" s="137"/>
      <c r="G1040" s="102"/>
      <c r="H1040" s="137"/>
      <c r="I1040" s="137"/>
      <c r="J1040" s="137"/>
      <c r="K1040" s="170"/>
      <c r="L1040" s="170"/>
      <c r="M1040" s="170"/>
    </row>
    <row r="1041" spans="1:15" x14ac:dyDescent="0.35">
      <c r="A1041" s="137"/>
      <c r="B1041" s="137"/>
      <c r="C1041" s="137"/>
      <c r="D1041" s="137"/>
      <c r="E1041" s="137"/>
      <c r="F1041" s="137"/>
      <c r="G1041" s="102"/>
      <c r="H1041" s="137"/>
      <c r="I1041" s="137"/>
      <c r="J1041" s="137"/>
      <c r="K1041" s="170"/>
      <c r="L1041" s="170"/>
      <c r="M1041" s="170"/>
    </row>
    <row r="1042" spans="1:15" x14ac:dyDescent="0.35">
      <c r="A1042" s="137"/>
      <c r="B1042" s="137"/>
      <c r="C1042" s="137"/>
      <c r="D1042" s="137"/>
      <c r="E1042" s="137"/>
      <c r="F1042" s="137"/>
      <c r="G1042" s="102"/>
      <c r="H1042" s="137"/>
      <c r="I1042" s="137"/>
      <c r="J1042" s="137"/>
      <c r="K1042" s="170"/>
      <c r="L1042" s="170"/>
      <c r="M1042" s="170"/>
      <c r="N1042" s="137"/>
      <c r="O1042" s="137"/>
    </row>
    <row r="1043" spans="1:15" x14ac:dyDescent="0.35">
      <c r="A1043" s="137"/>
      <c r="B1043" s="137"/>
      <c r="C1043" s="137"/>
      <c r="D1043" s="137"/>
      <c r="E1043" s="137"/>
      <c r="F1043" s="137"/>
      <c r="G1043" s="102"/>
      <c r="H1043" s="137"/>
      <c r="I1043" s="137"/>
      <c r="J1043" s="137"/>
      <c r="K1043" s="170"/>
      <c r="L1043" s="170"/>
      <c r="M1043" s="170"/>
    </row>
    <row r="1044" spans="1:15" x14ac:dyDescent="0.35">
      <c r="A1044" s="137"/>
      <c r="B1044" s="137"/>
      <c r="C1044" s="137"/>
      <c r="D1044" s="137"/>
      <c r="E1044" s="137"/>
      <c r="F1044" s="137"/>
      <c r="G1044" s="102"/>
      <c r="H1044" s="137"/>
      <c r="I1044" s="137"/>
      <c r="J1044" s="137"/>
      <c r="K1044" s="170"/>
      <c r="L1044" s="170"/>
      <c r="M1044" s="170"/>
      <c r="N1044" s="31"/>
      <c r="O1044" s="31"/>
    </row>
    <row r="1045" spans="1:15" x14ac:dyDescent="0.35">
      <c r="A1045" s="137"/>
      <c r="B1045" s="137"/>
      <c r="C1045" s="137"/>
      <c r="D1045" s="137"/>
      <c r="E1045" s="137"/>
      <c r="F1045" s="137"/>
      <c r="G1045" s="102"/>
      <c r="H1045" s="137"/>
      <c r="I1045" s="137"/>
      <c r="J1045" s="137"/>
      <c r="K1045" s="170"/>
      <c r="L1045" s="170"/>
      <c r="M1045" s="170"/>
      <c r="N1045" s="137"/>
      <c r="O1045" s="137"/>
    </row>
    <row r="1046" spans="1:15" x14ac:dyDescent="0.35">
      <c r="A1046" s="137"/>
      <c r="B1046" s="137"/>
      <c r="C1046" s="137"/>
      <c r="D1046" s="137"/>
      <c r="E1046" s="137"/>
      <c r="F1046" s="137"/>
      <c r="G1046" s="102"/>
      <c r="H1046" s="137"/>
      <c r="I1046" s="137"/>
      <c r="J1046" s="137"/>
      <c r="K1046" s="170"/>
      <c r="L1046" s="170"/>
      <c r="M1046" s="170"/>
      <c r="N1046" s="137"/>
      <c r="O1046" s="137"/>
    </row>
    <row r="1047" spans="1:15" x14ac:dyDescent="0.35">
      <c r="A1047" s="137"/>
      <c r="B1047" s="137"/>
      <c r="C1047" s="137"/>
      <c r="D1047" s="137"/>
      <c r="E1047" s="137"/>
      <c r="F1047" s="137"/>
      <c r="G1047" s="102"/>
      <c r="H1047" s="137"/>
      <c r="I1047" s="137"/>
      <c r="J1047" s="137"/>
      <c r="K1047" s="170"/>
      <c r="L1047" s="170"/>
      <c r="M1047" s="170"/>
      <c r="N1047" s="137"/>
      <c r="O1047" s="137"/>
    </row>
    <row r="1048" spans="1:15" x14ac:dyDescent="0.35">
      <c r="A1048" s="137"/>
      <c r="B1048" s="137"/>
      <c r="C1048" s="137"/>
      <c r="D1048" s="137"/>
      <c r="E1048" s="137"/>
      <c r="F1048" s="137"/>
      <c r="G1048" s="102"/>
      <c r="H1048" s="137"/>
      <c r="I1048" s="137"/>
      <c r="J1048" s="137"/>
      <c r="K1048" s="170"/>
      <c r="L1048" s="170"/>
      <c r="M1048" s="170"/>
      <c r="N1048" s="137"/>
      <c r="O1048" s="137"/>
    </row>
    <row r="1049" spans="1:15" x14ac:dyDescent="0.35">
      <c r="A1049" s="137"/>
      <c r="B1049" s="137"/>
      <c r="C1049" s="137"/>
      <c r="D1049" s="137"/>
      <c r="E1049" s="137"/>
      <c r="F1049" s="137"/>
      <c r="G1049" s="102"/>
      <c r="H1049" s="137"/>
      <c r="I1049" s="137"/>
      <c r="J1049" s="137"/>
      <c r="K1049" s="170"/>
      <c r="L1049" s="170"/>
      <c r="M1049" s="170"/>
    </row>
    <row r="1050" spans="1:15" x14ac:dyDescent="0.35">
      <c r="A1050" s="137"/>
      <c r="B1050" s="137"/>
      <c r="C1050" s="137"/>
      <c r="D1050" s="137"/>
      <c r="E1050" s="137"/>
      <c r="F1050" s="137"/>
      <c r="G1050" s="102"/>
      <c r="H1050" s="137"/>
      <c r="I1050" s="137"/>
      <c r="J1050" s="137"/>
      <c r="K1050" s="170"/>
      <c r="L1050" s="170"/>
      <c r="M1050" s="170"/>
      <c r="N1050" s="137"/>
      <c r="O1050" s="137"/>
    </row>
    <row r="1051" spans="1:15" x14ac:dyDescent="0.35">
      <c r="A1051" s="137"/>
      <c r="B1051" s="137"/>
      <c r="C1051" s="137"/>
      <c r="D1051" s="137"/>
      <c r="E1051" s="137"/>
      <c r="F1051" s="137"/>
      <c r="G1051" s="102"/>
      <c r="H1051" s="137"/>
      <c r="I1051" s="137"/>
      <c r="J1051" s="137"/>
      <c r="K1051" s="170"/>
      <c r="L1051" s="170"/>
      <c r="M1051" s="170"/>
      <c r="N1051" s="137"/>
      <c r="O1051" s="137"/>
    </row>
    <row r="1052" spans="1:15" x14ac:dyDescent="0.35">
      <c r="A1052" s="137"/>
      <c r="B1052" s="137"/>
      <c r="C1052" s="137"/>
      <c r="D1052" s="137"/>
      <c r="E1052" s="137"/>
      <c r="F1052" s="137"/>
      <c r="G1052" s="102"/>
      <c r="H1052" s="137"/>
      <c r="I1052" s="137"/>
      <c r="J1052" s="137"/>
      <c r="K1052" s="170"/>
      <c r="L1052" s="170"/>
      <c r="M1052" s="170"/>
      <c r="N1052" s="137"/>
      <c r="O1052" s="137"/>
    </row>
    <row r="1053" spans="1:15" x14ac:dyDescent="0.35">
      <c r="A1053" s="137"/>
      <c r="B1053" s="137"/>
      <c r="C1053" s="137"/>
      <c r="D1053" s="137"/>
      <c r="E1053" s="137"/>
      <c r="F1053" s="137"/>
      <c r="G1053" s="102"/>
      <c r="H1053" s="137"/>
      <c r="I1053" s="137"/>
      <c r="J1053" s="137"/>
      <c r="K1053" s="170"/>
      <c r="L1053" s="170"/>
      <c r="M1053" s="170"/>
      <c r="N1053" s="137"/>
      <c r="O1053" s="137"/>
    </row>
    <row r="1054" spans="1:15" x14ac:dyDescent="0.35">
      <c r="A1054" s="137"/>
      <c r="B1054" s="137"/>
      <c r="C1054" s="137"/>
      <c r="D1054" s="137"/>
      <c r="E1054" s="137"/>
      <c r="F1054" s="137"/>
      <c r="G1054" s="102"/>
      <c r="H1054" s="137"/>
      <c r="I1054" s="137"/>
      <c r="J1054" s="137"/>
      <c r="K1054" s="170"/>
      <c r="L1054" s="170"/>
      <c r="M1054" s="170"/>
      <c r="N1054" s="137"/>
      <c r="O1054" s="137"/>
    </row>
    <row r="1055" spans="1:15" x14ac:dyDescent="0.35">
      <c r="A1055" s="137"/>
      <c r="B1055" s="137"/>
      <c r="C1055" s="137"/>
      <c r="D1055" s="137"/>
      <c r="E1055" s="137"/>
      <c r="F1055" s="137"/>
      <c r="G1055" s="102"/>
      <c r="H1055" s="137"/>
      <c r="I1055" s="137"/>
      <c r="J1055" s="137"/>
      <c r="K1055" s="170"/>
      <c r="L1055" s="170"/>
      <c r="M1055" s="170"/>
      <c r="N1055" s="137"/>
      <c r="O1055" s="137"/>
    </row>
    <row r="1056" spans="1:15" x14ac:dyDescent="0.35">
      <c r="A1056" s="137"/>
      <c r="B1056" s="137"/>
      <c r="C1056" s="137"/>
      <c r="D1056" s="137"/>
      <c r="E1056" s="137"/>
      <c r="F1056" s="137"/>
      <c r="G1056" s="102"/>
      <c r="H1056" s="137"/>
      <c r="I1056" s="137"/>
      <c r="J1056" s="137"/>
      <c r="K1056" s="170"/>
      <c r="L1056" s="170"/>
      <c r="M1056" s="170"/>
      <c r="N1056" s="137"/>
      <c r="O1056" s="137"/>
    </row>
    <row r="1057" spans="1:15" x14ac:dyDescent="0.35">
      <c r="A1057" s="137"/>
      <c r="B1057" s="137"/>
      <c r="C1057" s="137"/>
      <c r="D1057" s="137"/>
      <c r="E1057" s="137"/>
      <c r="F1057" s="137"/>
      <c r="G1057" s="102"/>
      <c r="H1057" s="137"/>
      <c r="I1057" s="137"/>
      <c r="J1057" s="137"/>
      <c r="K1057" s="170"/>
      <c r="L1057" s="170"/>
      <c r="M1057" s="170"/>
      <c r="N1057" s="137"/>
      <c r="O1057" s="137"/>
    </row>
    <row r="1058" spans="1:15" x14ac:dyDescent="0.35">
      <c r="A1058" s="137"/>
      <c r="B1058" s="137"/>
      <c r="C1058" s="137"/>
      <c r="D1058" s="137"/>
      <c r="E1058" s="137"/>
      <c r="F1058" s="137"/>
      <c r="G1058" s="102"/>
      <c r="H1058" s="137"/>
      <c r="I1058" s="137"/>
      <c r="J1058" s="137"/>
      <c r="K1058" s="170"/>
      <c r="L1058" s="170"/>
      <c r="M1058" s="170"/>
      <c r="N1058" s="137"/>
      <c r="O1058" s="137"/>
    </row>
    <row r="1059" spans="1:15" x14ac:dyDescent="0.35">
      <c r="A1059" s="137"/>
      <c r="B1059" s="137"/>
      <c r="C1059" s="137"/>
      <c r="D1059" s="137"/>
      <c r="E1059" s="137"/>
      <c r="F1059" s="137"/>
      <c r="G1059" s="102"/>
      <c r="H1059" s="137"/>
      <c r="I1059" s="137"/>
      <c r="J1059" s="137"/>
      <c r="K1059" s="170"/>
      <c r="L1059" s="170"/>
      <c r="M1059" s="170"/>
      <c r="N1059" s="137"/>
      <c r="O1059" s="137"/>
    </row>
    <row r="1060" spans="1:15" x14ac:dyDescent="0.35">
      <c r="A1060" s="137"/>
      <c r="B1060" s="137"/>
      <c r="C1060" s="137"/>
      <c r="D1060" s="137"/>
      <c r="E1060" s="137"/>
      <c r="F1060" s="137"/>
      <c r="G1060" s="102"/>
      <c r="H1060" s="137"/>
      <c r="I1060" s="137"/>
      <c r="J1060" s="137"/>
      <c r="K1060" s="170"/>
      <c r="L1060" s="170"/>
      <c r="M1060" s="170"/>
      <c r="N1060" s="137"/>
      <c r="O1060" s="137"/>
    </row>
    <row r="1061" spans="1:15" x14ac:dyDescent="0.35">
      <c r="A1061" s="137"/>
      <c r="B1061" s="137"/>
      <c r="C1061" s="137"/>
      <c r="D1061" s="137"/>
      <c r="E1061" s="137"/>
      <c r="F1061" s="137"/>
      <c r="G1061" s="102"/>
      <c r="H1061" s="137"/>
      <c r="I1061" s="137"/>
      <c r="J1061" s="137"/>
      <c r="K1061" s="170"/>
      <c r="L1061" s="170"/>
      <c r="M1061" s="170"/>
      <c r="N1061" s="137"/>
      <c r="O1061" s="137"/>
    </row>
    <row r="1062" spans="1:15" x14ac:dyDescent="0.35">
      <c r="A1062" s="137"/>
      <c r="B1062" s="137"/>
      <c r="C1062" s="137"/>
      <c r="D1062" s="137"/>
      <c r="E1062" s="137"/>
      <c r="F1062" s="137"/>
      <c r="G1062" s="102"/>
      <c r="H1062" s="137"/>
      <c r="I1062" s="137"/>
      <c r="J1062" s="137"/>
      <c r="K1062" s="170"/>
      <c r="L1062" s="170"/>
      <c r="M1062" s="170"/>
      <c r="N1062" s="137"/>
      <c r="O1062" s="137"/>
    </row>
    <row r="1063" spans="1:15" x14ac:dyDescent="0.35">
      <c r="A1063" s="137"/>
      <c r="B1063" s="137"/>
      <c r="C1063" s="137"/>
      <c r="D1063" s="137"/>
      <c r="E1063" s="137"/>
      <c r="F1063" s="137"/>
      <c r="G1063" s="102"/>
      <c r="H1063" s="137"/>
      <c r="I1063" s="137"/>
      <c r="J1063" s="137"/>
      <c r="K1063" s="170"/>
      <c r="L1063" s="170"/>
      <c r="M1063" s="170"/>
      <c r="N1063" s="137"/>
      <c r="O1063" s="137"/>
    </row>
    <row r="1064" spans="1:15" x14ac:dyDescent="0.35">
      <c r="A1064" s="137"/>
      <c r="B1064" s="137"/>
      <c r="C1064" s="137"/>
      <c r="D1064" s="137"/>
      <c r="E1064" s="137"/>
      <c r="F1064" s="137"/>
      <c r="G1064" s="102"/>
      <c r="H1064" s="137"/>
      <c r="I1064" s="137"/>
      <c r="J1064" s="137"/>
      <c r="K1064" s="170"/>
      <c r="L1064" s="170"/>
      <c r="M1064" s="170"/>
      <c r="N1064" s="137"/>
      <c r="O1064" s="137"/>
    </row>
    <row r="1065" spans="1:15" x14ac:dyDescent="0.35">
      <c r="A1065" s="137"/>
      <c r="B1065" s="137"/>
      <c r="C1065" s="137"/>
      <c r="D1065" s="137"/>
      <c r="E1065" s="137"/>
      <c r="F1065" s="137"/>
      <c r="G1065" s="102"/>
      <c r="H1065" s="137"/>
      <c r="I1065" s="137"/>
      <c r="J1065" s="137"/>
      <c r="K1065" s="170"/>
      <c r="L1065" s="170"/>
      <c r="M1065" s="170"/>
      <c r="N1065" s="137"/>
      <c r="O1065" s="137"/>
    </row>
    <row r="1066" spans="1:15" x14ac:dyDescent="0.35">
      <c r="A1066" s="137"/>
      <c r="B1066" s="137"/>
      <c r="C1066" s="137"/>
      <c r="D1066" s="137"/>
      <c r="E1066" s="137"/>
      <c r="F1066" s="137"/>
      <c r="G1066" s="102"/>
      <c r="H1066" s="137"/>
      <c r="I1066" s="137"/>
      <c r="J1066" s="137"/>
      <c r="K1066" s="170"/>
      <c r="L1066" s="170"/>
      <c r="M1066" s="170"/>
    </row>
    <row r="1067" spans="1:15" x14ac:dyDescent="0.35">
      <c r="A1067" s="137"/>
      <c r="B1067" s="137"/>
      <c r="C1067" s="137"/>
      <c r="D1067" s="137"/>
      <c r="E1067" s="137"/>
      <c r="F1067" s="137"/>
      <c r="G1067" s="102"/>
      <c r="H1067" s="137"/>
      <c r="I1067" s="137"/>
      <c r="J1067" s="137"/>
      <c r="K1067" s="170"/>
      <c r="L1067" s="170"/>
      <c r="M1067" s="170"/>
    </row>
    <row r="1068" spans="1:15" x14ac:dyDescent="0.35">
      <c r="A1068" s="137"/>
      <c r="B1068" s="137"/>
      <c r="C1068" s="137"/>
      <c r="D1068" s="137"/>
      <c r="E1068" s="137"/>
      <c r="F1068" s="137"/>
      <c r="G1068" s="102"/>
      <c r="H1068" s="137"/>
      <c r="I1068" s="137"/>
      <c r="J1068" s="137"/>
      <c r="K1068" s="170"/>
      <c r="L1068" s="170"/>
      <c r="M1068" s="170"/>
      <c r="N1068" s="137"/>
      <c r="O1068" s="137"/>
    </row>
    <row r="1069" spans="1:15" x14ac:dyDescent="0.35">
      <c r="A1069" s="137"/>
      <c r="B1069" s="137"/>
      <c r="C1069" s="137"/>
      <c r="D1069" s="137"/>
      <c r="E1069" s="137"/>
      <c r="F1069" s="137"/>
      <c r="G1069" s="102"/>
      <c r="H1069" s="137"/>
      <c r="I1069" s="137"/>
      <c r="J1069" s="137"/>
      <c r="K1069" s="170"/>
      <c r="L1069" s="170"/>
      <c r="M1069" s="170"/>
      <c r="N1069" s="137"/>
      <c r="O1069" s="137"/>
    </row>
    <row r="1070" spans="1:15" x14ac:dyDescent="0.35">
      <c r="A1070" s="137"/>
      <c r="B1070" s="137"/>
      <c r="C1070" s="137"/>
      <c r="D1070" s="137"/>
      <c r="E1070" s="137"/>
      <c r="F1070" s="137"/>
      <c r="G1070" s="102"/>
      <c r="H1070" s="137"/>
      <c r="I1070" s="137"/>
      <c r="J1070" s="137"/>
      <c r="K1070" s="170"/>
      <c r="L1070" s="170"/>
      <c r="M1070" s="170"/>
      <c r="N1070" s="137"/>
      <c r="O1070" s="137"/>
    </row>
    <row r="1071" spans="1:15" x14ac:dyDescent="0.35">
      <c r="A1071" s="137"/>
      <c r="B1071" s="137"/>
      <c r="C1071" s="137"/>
      <c r="D1071" s="137"/>
      <c r="E1071" s="137"/>
      <c r="F1071" s="137"/>
      <c r="G1071" s="102"/>
      <c r="H1071" s="137"/>
      <c r="I1071" s="137"/>
      <c r="J1071" s="137"/>
      <c r="K1071" s="170"/>
      <c r="L1071" s="170"/>
      <c r="M1071" s="170"/>
      <c r="N1071" s="137"/>
      <c r="O1071" s="137"/>
    </row>
    <row r="1072" spans="1:15" x14ac:dyDescent="0.35">
      <c r="A1072" s="137"/>
      <c r="B1072" s="137"/>
      <c r="C1072" s="137"/>
      <c r="D1072" s="137"/>
      <c r="E1072" s="137"/>
      <c r="F1072" s="137"/>
      <c r="G1072" s="102"/>
      <c r="H1072" s="137"/>
      <c r="I1072" s="137"/>
      <c r="J1072" s="137"/>
      <c r="K1072" s="170"/>
      <c r="L1072" s="170"/>
      <c r="M1072" s="170"/>
      <c r="N1072" s="137"/>
      <c r="O1072" s="137"/>
    </row>
    <row r="1073" spans="1:15" x14ac:dyDescent="0.35">
      <c r="A1073" s="137"/>
      <c r="B1073" s="137"/>
      <c r="C1073" s="137"/>
      <c r="D1073" s="137"/>
      <c r="E1073" s="137"/>
      <c r="F1073" s="137"/>
      <c r="G1073" s="102"/>
      <c r="H1073" s="137"/>
      <c r="I1073" s="137"/>
      <c r="J1073" s="137"/>
      <c r="K1073" s="170"/>
      <c r="L1073" s="170"/>
      <c r="M1073" s="170"/>
      <c r="N1073" s="137"/>
      <c r="O1073" s="137"/>
    </row>
    <row r="1074" spans="1:15" x14ac:dyDescent="0.35">
      <c r="A1074" s="137"/>
      <c r="B1074" s="137"/>
      <c r="C1074" s="137"/>
      <c r="D1074" s="137"/>
      <c r="E1074" s="137"/>
      <c r="F1074" s="137"/>
      <c r="G1074" s="102"/>
      <c r="H1074" s="137"/>
      <c r="I1074" s="137"/>
      <c r="J1074" s="137"/>
      <c r="K1074" s="170"/>
      <c r="L1074" s="170"/>
      <c r="M1074" s="170"/>
      <c r="N1074" s="137"/>
      <c r="O1074" s="137"/>
    </row>
    <row r="1075" spans="1:15" x14ac:dyDescent="0.35">
      <c r="A1075" s="137"/>
      <c r="B1075" s="137"/>
      <c r="C1075" s="137"/>
      <c r="D1075" s="137"/>
      <c r="E1075" s="137"/>
      <c r="F1075" s="137"/>
      <c r="G1075" s="102"/>
      <c r="H1075" s="137"/>
      <c r="I1075" s="137"/>
      <c r="J1075" s="137"/>
      <c r="K1075" s="170"/>
      <c r="L1075" s="170"/>
      <c r="M1075" s="170"/>
      <c r="N1075" s="137"/>
      <c r="O1075" s="137"/>
    </row>
    <row r="1076" spans="1:15" x14ac:dyDescent="0.35">
      <c r="A1076" s="137"/>
      <c r="B1076" s="137"/>
      <c r="C1076" s="137"/>
      <c r="D1076" s="137"/>
      <c r="E1076" s="137"/>
      <c r="F1076" s="137"/>
      <c r="G1076" s="102"/>
      <c r="H1076" s="137"/>
      <c r="I1076" s="137"/>
      <c r="J1076" s="137"/>
      <c r="K1076" s="170"/>
      <c r="L1076" s="170"/>
      <c r="M1076" s="170"/>
      <c r="N1076" s="137"/>
      <c r="O1076" s="137"/>
    </row>
    <row r="1077" spans="1:15" x14ac:dyDescent="0.35">
      <c r="A1077" s="137"/>
      <c r="B1077" s="137"/>
      <c r="C1077" s="137"/>
      <c r="D1077" s="137"/>
      <c r="E1077" s="137"/>
      <c r="F1077" s="137"/>
      <c r="G1077" s="102"/>
      <c r="H1077" s="137"/>
      <c r="I1077" s="137"/>
      <c r="J1077" s="137"/>
      <c r="K1077" s="170"/>
      <c r="L1077" s="170"/>
      <c r="M1077" s="170"/>
      <c r="N1077" s="137"/>
      <c r="O1077" s="137"/>
    </row>
    <row r="1078" spans="1:15" x14ac:dyDescent="0.35">
      <c r="A1078" s="137"/>
      <c r="B1078" s="137"/>
      <c r="C1078" s="137"/>
      <c r="D1078" s="137"/>
      <c r="E1078" s="137"/>
      <c r="F1078" s="137"/>
      <c r="G1078" s="102"/>
      <c r="H1078" s="137"/>
      <c r="I1078" s="137"/>
      <c r="J1078" s="137"/>
      <c r="K1078" s="170"/>
      <c r="L1078" s="170"/>
      <c r="M1078" s="170"/>
      <c r="N1078" s="137"/>
      <c r="O1078" s="137"/>
    </row>
    <row r="1079" spans="1:15" x14ac:dyDescent="0.35">
      <c r="A1079" s="137"/>
      <c r="B1079" s="137"/>
      <c r="C1079" s="137"/>
      <c r="D1079" s="137"/>
      <c r="E1079" s="137"/>
      <c r="F1079" s="137"/>
      <c r="G1079" s="102"/>
      <c r="H1079" s="137"/>
      <c r="I1079" s="137"/>
      <c r="J1079" s="137"/>
      <c r="K1079" s="170"/>
      <c r="L1079" s="170"/>
      <c r="M1079" s="170"/>
      <c r="N1079" s="137"/>
      <c r="O1079" s="137"/>
    </row>
    <row r="1080" spans="1:15" x14ac:dyDescent="0.35">
      <c r="A1080" s="137"/>
      <c r="B1080" s="137"/>
      <c r="C1080" s="137"/>
      <c r="D1080" s="137"/>
      <c r="E1080" s="137"/>
      <c r="F1080" s="137"/>
      <c r="G1080" s="102"/>
      <c r="H1080" s="137"/>
      <c r="I1080" s="137"/>
      <c r="J1080" s="137"/>
      <c r="K1080" s="170"/>
      <c r="L1080" s="170"/>
      <c r="M1080" s="170"/>
      <c r="N1080" s="137"/>
      <c r="O1080" s="137"/>
    </row>
    <row r="1081" spans="1:15" x14ac:dyDescent="0.35">
      <c r="A1081" s="137"/>
      <c r="B1081" s="137"/>
      <c r="C1081" s="137"/>
      <c r="D1081" s="137"/>
      <c r="E1081" s="137"/>
      <c r="F1081" s="137"/>
      <c r="G1081" s="102"/>
      <c r="H1081" s="137"/>
      <c r="I1081" s="137"/>
      <c r="J1081" s="137"/>
      <c r="K1081" s="170"/>
      <c r="L1081" s="170"/>
      <c r="M1081" s="170"/>
      <c r="N1081" s="137"/>
      <c r="O1081" s="137"/>
    </row>
    <row r="1082" spans="1:15" x14ac:dyDescent="0.35">
      <c r="A1082" s="137"/>
      <c r="B1082" s="137"/>
      <c r="C1082" s="137"/>
      <c r="D1082" s="137"/>
      <c r="E1082" s="137"/>
      <c r="F1082" s="137"/>
      <c r="G1082" s="102"/>
      <c r="H1082" s="137"/>
      <c r="I1082" s="137"/>
      <c r="J1082" s="137"/>
      <c r="K1082" s="170"/>
      <c r="L1082" s="170"/>
      <c r="M1082" s="170"/>
      <c r="N1082" s="137"/>
      <c r="O1082" s="137"/>
    </row>
    <row r="1083" spans="1:15" x14ac:dyDescent="0.35">
      <c r="A1083" s="137"/>
      <c r="B1083" s="137"/>
      <c r="C1083" s="137"/>
      <c r="D1083" s="137"/>
      <c r="E1083" s="137"/>
      <c r="F1083" s="137"/>
      <c r="G1083" s="102"/>
      <c r="H1083" s="137"/>
      <c r="I1083" s="137"/>
      <c r="J1083" s="137"/>
      <c r="K1083" s="170"/>
      <c r="L1083" s="170"/>
      <c r="M1083" s="170"/>
      <c r="N1083" s="137"/>
      <c r="O1083" s="137"/>
    </row>
    <row r="1084" spans="1:15" x14ac:dyDescent="0.35">
      <c r="A1084" s="137"/>
      <c r="B1084" s="137"/>
      <c r="C1084" s="137"/>
      <c r="D1084" s="137"/>
      <c r="E1084" s="137"/>
      <c r="F1084" s="137"/>
      <c r="G1084" s="102"/>
      <c r="H1084" s="137"/>
      <c r="I1084" s="137"/>
      <c r="J1084" s="137"/>
      <c r="K1084" s="170"/>
      <c r="L1084" s="170"/>
      <c r="M1084" s="170"/>
      <c r="N1084" s="137"/>
      <c r="O1084" s="137"/>
    </row>
    <row r="1085" spans="1:15" x14ac:dyDescent="0.35">
      <c r="A1085" s="137"/>
      <c r="B1085" s="137"/>
      <c r="C1085" s="137"/>
      <c r="D1085" s="137"/>
      <c r="E1085" s="137"/>
      <c r="F1085" s="137"/>
      <c r="G1085" s="102"/>
      <c r="H1085" s="137"/>
      <c r="I1085" s="137"/>
      <c r="J1085" s="137"/>
      <c r="K1085" s="170"/>
      <c r="L1085" s="170"/>
      <c r="M1085" s="170"/>
      <c r="N1085" s="137"/>
      <c r="O1085" s="137"/>
    </row>
    <row r="1086" spans="1:15" x14ac:dyDescent="0.35">
      <c r="A1086" s="137"/>
      <c r="B1086" s="137"/>
      <c r="C1086" s="137"/>
      <c r="D1086" s="137"/>
      <c r="E1086" s="137"/>
      <c r="F1086" s="137"/>
      <c r="G1086" s="102"/>
      <c r="H1086" s="137"/>
      <c r="I1086" s="137"/>
      <c r="J1086" s="137"/>
      <c r="K1086" s="170"/>
      <c r="L1086" s="170"/>
      <c r="M1086" s="170"/>
      <c r="N1086" s="137"/>
      <c r="O1086" s="137"/>
    </row>
    <row r="1087" spans="1:15" x14ac:dyDescent="0.35">
      <c r="A1087" s="137"/>
      <c r="B1087" s="137"/>
      <c r="C1087" s="137"/>
      <c r="D1087" s="137"/>
      <c r="E1087" s="137"/>
      <c r="F1087" s="137"/>
      <c r="G1087" s="102"/>
      <c r="H1087" s="137"/>
      <c r="I1087" s="137"/>
      <c r="J1087" s="137"/>
      <c r="K1087" s="170"/>
      <c r="L1087" s="170"/>
      <c r="M1087" s="170"/>
      <c r="N1087" s="137"/>
      <c r="O1087" s="137"/>
    </row>
    <row r="1088" spans="1:15" x14ac:dyDescent="0.35">
      <c r="A1088" s="137"/>
      <c r="B1088" s="137"/>
      <c r="C1088" s="137"/>
      <c r="D1088" s="137"/>
      <c r="E1088" s="137"/>
      <c r="F1088" s="137"/>
      <c r="G1088" s="102"/>
      <c r="H1088" s="137"/>
      <c r="I1088" s="137"/>
      <c r="J1088" s="137"/>
      <c r="K1088" s="170"/>
      <c r="L1088" s="170"/>
      <c r="M1088" s="170"/>
      <c r="N1088" s="137"/>
      <c r="O1088" s="137"/>
    </row>
    <row r="1089" spans="1:15" x14ac:dyDescent="0.35">
      <c r="A1089" s="137"/>
      <c r="B1089" s="137"/>
      <c r="C1089" s="137"/>
      <c r="D1089" s="137"/>
      <c r="E1089" s="137"/>
      <c r="F1089" s="137"/>
      <c r="G1089" s="102"/>
      <c r="H1089" s="137"/>
      <c r="I1089" s="137"/>
      <c r="J1089" s="137"/>
      <c r="K1089" s="170"/>
      <c r="L1089" s="170"/>
      <c r="M1089" s="170"/>
      <c r="N1089" s="137"/>
      <c r="O1089" s="137"/>
    </row>
    <row r="1090" spans="1:15" x14ac:dyDescent="0.35">
      <c r="A1090" s="137"/>
      <c r="B1090" s="137"/>
      <c r="C1090" s="137"/>
      <c r="D1090" s="137"/>
      <c r="E1090" s="137"/>
      <c r="F1090" s="137"/>
      <c r="G1090" s="102"/>
      <c r="H1090" s="137"/>
      <c r="I1090" s="137"/>
      <c r="J1090" s="137"/>
      <c r="K1090" s="170"/>
      <c r="L1090" s="170"/>
      <c r="M1090" s="170"/>
      <c r="N1090" s="137"/>
      <c r="O1090" s="137"/>
    </row>
    <row r="1091" spans="1:15" x14ac:dyDescent="0.35">
      <c r="A1091" s="137"/>
      <c r="B1091" s="137"/>
      <c r="C1091" s="137"/>
      <c r="D1091" s="137"/>
      <c r="E1091" s="137"/>
      <c r="F1091" s="137"/>
      <c r="G1091" s="102"/>
      <c r="H1091" s="137"/>
      <c r="I1091" s="137"/>
      <c r="J1091" s="137"/>
      <c r="K1091" s="170"/>
      <c r="L1091" s="170"/>
      <c r="M1091" s="170"/>
      <c r="N1091" s="137"/>
      <c r="O1091" s="137"/>
    </row>
    <row r="1092" spans="1:15" x14ac:dyDescent="0.35">
      <c r="A1092" s="137"/>
      <c r="B1092" s="137"/>
      <c r="C1092" s="137"/>
      <c r="D1092" s="137"/>
      <c r="E1092" s="137"/>
      <c r="F1092" s="137"/>
      <c r="G1092" s="102"/>
      <c r="H1092" s="137"/>
      <c r="I1092" s="137"/>
      <c r="J1092" s="137"/>
      <c r="K1092" s="170"/>
      <c r="L1092" s="170"/>
      <c r="M1092" s="170"/>
      <c r="N1092" s="137"/>
      <c r="O1092" s="137"/>
    </row>
    <row r="1093" spans="1:15" x14ac:dyDescent="0.35">
      <c r="A1093" s="137"/>
      <c r="B1093" s="137"/>
      <c r="C1093" s="137"/>
      <c r="D1093" s="137"/>
      <c r="E1093" s="137"/>
      <c r="F1093" s="137"/>
      <c r="G1093" s="102"/>
      <c r="H1093" s="137"/>
      <c r="I1093" s="137"/>
      <c r="J1093" s="137"/>
      <c r="K1093" s="170"/>
      <c r="L1093" s="170"/>
      <c r="M1093" s="170"/>
      <c r="N1093" s="137"/>
      <c r="O1093" s="137"/>
    </row>
    <row r="1094" spans="1:15" x14ac:dyDescent="0.35">
      <c r="A1094" s="137"/>
      <c r="B1094" s="137"/>
      <c r="C1094" s="137"/>
      <c r="D1094" s="137"/>
      <c r="E1094" s="137"/>
      <c r="F1094" s="137"/>
      <c r="G1094" s="102"/>
      <c r="H1094" s="137"/>
      <c r="I1094" s="137"/>
      <c r="J1094" s="137"/>
      <c r="K1094" s="170"/>
      <c r="L1094" s="170"/>
      <c r="M1094" s="170"/>
    </row>
    <row r="1095" spans="1:15" x14ac:dyDescent="0.35">
      <c r="A1095" s="137"/>
      <c r="B1095" s="137"/>
      <c r="C1095" s="137"/>
      <c r="D1095" s="137"/>
      <c r="E1095" s="137"/>
      <c r="F1095" s="137"/>
      <c r="G1095" s="102"/>
      <c r="H1095" s="137"/>
      <c r="I1095" s="137"/>
      <c r="J1095" s="137"/>
      <c r="K1095" s="170"/>
      <c r="L1095" s="170"/>
      <c r="M1095" s="170"/>
    </row>
    <row r="1096" spans="1:15" x14ac:dyDescent="0.35">
      <c r="A1096" s="137"/>
      <c r="B1096" s="137"/>
      <c r="C1096" s="137"/>
      <c r="D1096" s="137"/>
      <c r="E1096" s="137"/>
      <c r="F1096" s="137"/>
      <c r="G1096" s="102"/>
      <c r="H1096" s="137"/>
      <c r="I1096" s="137"/>
      <c r="J1096" s="137"/>
      <c r="K1096" s="170"/>
      <c r="L1096" s="170"/>
      <c r="M1096" s="170"/>
    </row>
    <row r="1097" spans="1:15" x14ac:dyDescent="0.35">
      <c r="A1097" s="137"/>
      <c r="B1097" s="137"/>
      <c r="C1097" s="137"/>
      <c r="D1097" s="137"/>
      <c r="E1097" s="137"/>
      <c r="F1097" s="137"/>
      <c r="G1097" s="102"/>
      <c r="H1097" s="137"/>
      <c r="I1097" s="137"/>
      <c r="J1097" s="137"/>
      <c r="K1097" s="170"/>
      <c r="L1097" s="170"/>
      <c r="M1097" s="170"/>
      <c r="N1097" s="137"/>
      <c r="O1097" s="137"/>
    </row>
    <row r="1098" spans="1:15" x14ac:dyDescent="0.35">
      <c r="A1098" s="137"/>
      <c r="B1098" s="137"/>
      <c r="C1098" s="137"/>
      <c r="D1098" s="137"/>
      <c r="E1098" s="137"/>
      <c r="F1098" s="137"/>
      <c r="G1098" s="102"/>
      <c r="H1098" s="137"/>
      <c r="I1098" s="137"/>
      <c r="J1098" s="137"/>
      <c r="K1098" s="170"/>
      <c r="L1098" s="170"/>
      <c r="M1098" s="170"/>
      <c r="N1098" s="137"/>
      <c r="O1098" s="137"/>
    </row>
    <row r="1099" spans="1:15" x14ac:dyDescent="0.35">
      <c r="A1099" s="137"/>
      <c r="B1099" s="137"/>
      <c r="C1099" s="137"/>
      <c r="D1099" s="137"/>
      <c r="E1099" s="137"/>
      <c r="F1099" s="137"/>
      <c r="G1099" s="102"/>
      <c r="H1099" s="137"/>
      <c r="I1099" s="137"/>
      <c r="J1099" s="137"/>
      <c r="K1099" s="170"/>
      <c r="L1099" s="170"/>
      <c r="M1099" s="170"/>
      <c r="N1099" s="137"/>
      <c r="O1099" s="137"/>
    </row>
    <row r="1100" spans="1:15" x14ac:dyDescent="0.35">
      <c r="A1100" s="137"/>
      <c r="B1100" s="137"/>
      <c r="C1100" s="137"/>
      <c r="D1100" s="137"/>
      <c r="E1100" s="137"/>
      <c r="F1100" s="137"/>
      <c r="G1100" s="102"/>
      <c r="H1100" s="137"/>
      <c r="I1100" s="137"/>
      <c r="J1100" s="137"/>
      <c r="K1100" s="170"/>
      <c r="L1100" s="170"/>
      <c r="M1100" s="170"/>
      <c r="N1100" s="137"/>
      <c r="O1100" s="137"/>
    </row>
    <row r="1101" spans="1:15" x14ac:dyDescent="0.35">
      <c r="A1101" s="137"/>
      <c r="B1101" s="137"/>
      <c r="C1101" s="137"/>
      <c r="D1101" s="137"/>
      <c r="E1101" s="137"/>
      <c r="F1101" s="137"/>
      <c r="G1101" s="102"/>
      <c r="H1101" s="137"/>
      <c r="I1101" s="137"/>
      <c r="J1101" s="137"/>
      <c r="K1101" s="170"/>
      <c r="L1101" s="170"/>
      <c r="M1101" s="170"/>
      <c r="N1101" s="31"/>
      <c r="O1101" s="31"/>
    </row>
    <row r="1102" spans="1:15" x14ac:dyDescent="0.35">
      <c r="A1102" s="137"/>
      <c r="B1102" s="137"/>
      <c r="C1102" s="137"/>
      <c r="D1102" s="137"/>
      <c r="E1102" s="137"/>
      <c r="F1102" s="137"/>
      <c r="G1102" s="102"/>
      <c r="H1102" s="137"/>
      <c r="I1102" s="137"/>
      <c r="J1102" s="137"/>
      <c r="K1102" s="170"/>
      <c r="L1102" s="170"/>
      <c r="M1102" s="170"/>
      <c r="N1102" s="31"/>
      <c r="O1102" s="31"/>
    </row>
    <row r="1103" spans="1:15" x14ac:dyDescent="0.35">
      <c r="A1103" s="137"/>
      <c r="B1103" s="137"/>
      <c r="C1103" s="137"/>
      <c r="D1103" s="137"/>
      <c r="E1103" s="137"/>
      <c r="F1103" s="137"/>
      <c r="G1103" s="102"/>
      <c r="H1103" s="137"/>
      <c r="I1103" s="137"/>
      <c r="J1103" s="137"/>
      <c r="K1103" s="170"/>
      <c r="L1103" s="170"/>
      <c r="M1103" s="170"/>
    </row>
    <row r="1104" spans="1:15" x14ac:dyDescent="0.35">
      <c r="A1104" s="137"/>
      <c r="B1104" s="137"/>
      <c r="C1104" s="137"/>
      <c r="D1104" s="137"/>
      <c r="E1104" s="137"/>
      <c r="F1104" s="137"/>
      <c r="G1104" s="102"/>
      <c r="H1104" s="137"/>
      <c r="I1104" s="137"/>
      <c r="J1104" s="137"/>
      <c r="K1104" s="170"/>
      <c r="L1104" s="170"/>
      <c r="M1104" s="170"/>
    </row>
    <row r="1105" spans="1:15" x14ac:dyDescent="0.35">
      <c r="A1105" s="137"/>
      <c r="B1105" s="137"/>
      <c r="C1105" s="137"/>
      <c r="D1105" s="137"/>
      <c r="E1105" s="137"/>
      <c r="F1105" s="137"/>
      <c r="G1105" s="102"/>
      <c r="H1105" s="137"/>
      <c r="I1105" s="137"/>
      <c r="J1105" s="137"/>
      <c r="K1105" s="170"/>
      <c r="L1105" s="170"/>
      <c r="M1105" s="170"/>
    </row>
    <row r="1106" spans="1:15" x14ac:dyDescent="0.35">
      <c r="A1106" s="137"/>
      <c r="B1106" s="137"/>
      <c r="C1106" s="137"/>
      <c r="D1106" s="137"/>
      <c r="E1106" s="137"/>
      <c r="F1106" s="137"/>
      <c r="G1106" s="102"/>
      <c r="H1106" s="137"/>
      <c r="I1106" s="137"/>
      <c r="J1106" s="137"/>
      <c r="K1106" s="170"/>
      <c r="L1106" s="170"/>
      <c r="M1106" s="170"/>
    </row>
    <row r="1107" spans="1:15" x14ac:dyDescent="0.35">
      <c r="A1107" s="137"/>
      <c r="B1107" s="137"/>
      <c r="C1107" s="137"/>
      <c r="D1107" s="137"/>
      <c r="E1107" s="137"/>
      <c r="F1107" s="137"/>
      <c r="G1107" s="102"/>
      <c r="H1107" s="137"/>
      <c r="I1107" s="137"/>
      <c r="J1107" s="137"/>
      <c r="K1107" s="170"/>
      <c r="L1107" s="170"/>
      <c r="M1107" s="170"/>
    </row>
    <row r="1108" spans="1:15" x14ac:dyDescent="0.35">
      <c r="A1108" s="137"/>
      <c r="B1108" s="137"/>
      <c r="C1108" s="137"/>
      <c r="D1108" s="137"/>
      <c r="E1108" s="137"/>
      <c r="F1108" s="137"/>
      <c r="G1108" s="102"/>
      <c r="H1108" s="137"/>
      <c r="I1108" s="137"/>
      <c r="J1108" s="137"/>
      <c r="K1108" s="170"/>
      <c r="L1108" s="170"/>
      <c r="M1108" s="170"/>
      <c r="N1108" s="137"/>
      <c r="O1108" s="137"/>
    </row>
    <row r="1109" spans="1:15" x14ac:dyDescent="0.35">
      <c r="A1109" s="137"/>
      <c r="B1109" s="137"/>
      <c r="C1109" s="137"/>
      <c r="D1109" s="137"/>
      <c r="E1109" s="137"/>
      <c r="F1109" s="137"/>
      <c r="G1109" s="102"/>
      <c r="H1109" s="137"/>
      <c r="I1109" s="137"/>
      <c r="J1109" s="137"/>
      <c r="K1109" s="170"/>
      <c r="L1109" s="170"/>
      <c r="M1109" s="170"/>
    </row>
    <row r="1110" spans="1:15" x14ac:dyDescent="0.35">
      <c r="A1110" s="137"/>
      <c r="B1110" s="137"/>
      <c r="C1110" s="137"/>
      <c r="D1110" s="137"/>
      <c r="E1110" s="137"/>
      <c r="F1110" s="137"/>
      <c r="G1110" s="102"/>
      <c r="H1110" s="137"/>
      <c r="I1110" s="137"/>
      <c r="J1110" s="137"/>
      <c r="K1110" s="170"/>
      <c r="L1110" s="170"/>
      <c r="M1110" s="170"/>
      <c r="N1110" s="137"/>
      <c r="O1110" s="137"/>
    </row>
    <row r="1111" spans="1:15" x14ac:dyDescent="0.35">
      <c r="A1111" s="137"/>
      <c r="B1111" s="137"/>
      <c r="C1111" s="137"/>
      <c r="D1111" s="137"/>
      <c r="E1111" s="137"/>
      <c r="F1111" s="137"/>
      <c r="G1111" s="102"/>
      <c r="H1111" s="137"/>
      <c r="I1111" s="137"/>
      <c r="J1111" s="137"/>
      <c r="K1111" s="170"/>
      <c r="L1111" s="170"/>
      <c r="M1111" s="170"/>
      <c r="N1111" s="137"/>
      <c r="O1111" s="137"/>
    </row>
    <row r="1112" spans="1:15" x14ac:dyDescent="0.35">
      <c r="A1112" s="137"/>
      <c r="B1112" s="137"/>
      <c r="C1112" s="137"/>
      <c r="D1112" s="137"/>
      <c r="E1112" s="137"/>
      <c r="F1112" s="137"/>
      <c r="G1112" s="102"/>
      <c r="H1112" s="137"/>
      <c r="I1112" s="137"/>
      <c r="J1112" s="137"/>
      <c r="K1112" s="170"/>
      <c r="L1112" s="170"/>
      <c r="M1112" s="170"/>
      <c r="N1112" s="137"/>
      <c r="O1112" s="137"/>
    </row>
    <row r="1113" spans="1:15" x14ac:dyDescent="0.35">
      <c r="A1113" s="137"/>
      <c r="B1113" s="137"/>
      <c r="C1113" s="137"/>
      <c r="D1113" s="137"/>
      <c r="E1113" s="137"/>
      <c r="F1113" s="137"/>
      <c r="G1113" s="102"/>
      <c r="H1113" s="137"/>
      <c r="I1113" s="137"/>
      <c r="J1113" s="137"/>
      <c r="K1113" s="170"/>
      <c r="L1113" s="170"/>
      <c r="M1113" s="170"/>
      <c r="N1113" s="137"/>
      <c r="O1113" s="137"/>
    </row>
    <row r="1114" spans="1:15" x14ac:dyDescent="0.35">
      <c r="A1114" s="137"/>
      <c r="B1114" s="137"/>
      <c r="C1114" s="137"/>
      <c r="D1114" s="137"/>
      <c r="E1114" s="137"/>
      <c r="F1114" s="137"/>
      <c r="G1114" s="102"/>
      <c r="H1114" s="137"/>
      <c r="I1114" s="137"/>
      <c r="J1114" s="137"/>
      <c r="K1114" s="170"/>
      <c r="L1114" s="170"/>
      <c r="M1114" s="170"/>
      <c r="N1114" s="137"/>
      <c r="O1114" s="137"/>
    </row>
    <row r="1115" spans="1:15" x14ac:dyDescent="0.35">
      <c r="A1115" s="137"/>
      <c r="B1115" s="137"/>
      <c r="C1115" s="137"/>
      <c r="D1115" s="137"/>
      <c r="E1115" s="137"/>
      <c r="F1115" s="137"/>
      <c r="G1115" s="102"/>
      <c r="H1115" s="137"/>
      <c r="I1115" s="137"/>
      <c r="J1115" s="137"/>
      <c r="K1115" s="170"/>
      <c r="L1115" s="170"/>
      <c r="M1115" s="170"/>
      <c r="N1115" s="137"/>
      <c r="O1115" s="137"/>
    </row>
    <row r="1116" spans="1:15" x14ac:dyDescent="0.35">
      <c r="A1116" s="137"/>
      <c r="B1116" s="137"/>
      <c r="C1116" s="137"/>
      <c r="D1116" s="137"/>
      <c r="E1116" s="137"/>
      <c r="F1116" s="137"/>
      <c r="G1116" s="102"/>
      <c r="H1116" s="137"/>
      <c r="I1116" s="137"/>
      <c r="J1116" s="137"/>
      <c r="K1116" s="170"/>
      <c r="L1116" s="170"/>
      <c r="M1116" s="170"/>
      <c r="N1116" s="137"/>
      <c r="O1116" s="137"/>
    </row>
    <row r="1117" spans="1:15" x14ac:dyDescent="0.35">
      <c r="A1117" s="137"/>
      <c r="B1117" s="137"/>
      <c r="C1117" s="137"/>
      <c r="D1117" s="137"/>
      <c r="E1117" s="137"/>
      <c r="F1117" s="137"/>
      <c r="G1117" s="102"/>
      <c r="H1117" s="137"/>
      <c r="I1117" s="137"/>
      <c r="J1117" s="137"/>
      <c r="K1117" s="170"/>
      <c r="L1117" s="170"/>
      <c r="M1117" s="170"/>
    </row>
    <row r="1118" spans="1:15" x14ac:dyDescent="0.35">
      <c r="A1118" s="137"/>
      <c r="B1118" s="137"/>
      <c r="C1118" s="137"/>
      <c r="D1118" s="137"/>
      <c r="E1118" s="137"/>
      <c r="F1118" s="137"/>
      <c r="G1118" s="102"/>
      <c r="H1118" s="137"/>
      <c r="I1118" s="137"/>
      <c r="J1118" s="137"/>
      <c r="K1118" s="170"/>
      <c r="L1118" s="170"/>
      <c r="M1118" s="170"/>
      <c r="N1118" s="137"/>
      <c r="O1118" s="137"/>
    </row>
    <row r="1119" spans="1:15" x14ac:dyDescent="0.35">
      <c r="A1119" s="137"/>
      <c r="B1119" s="137"/>
      <c r="C1119" s="137"/>
      <c r="D1119" s="137"/>
      <c r="E1119" s="137"/>
      <c r="F1119" s="137"/>
      <c r="G1119" s="102"/>
      <c r="H1119" s="137"/>
      <c r="I1119" s="137"/>
      <c r="J1119" s="137"/>
      <c r="K1119" s="170"/>
      <c r="L1119" s="170"/>
      <c r="M1119" s="170"/>
      <c r="N1119" s="137"/>
      <c r="O1119" s="137"/>
    </row>
    <row r="1120" spans="1:15" x14ac:dyDescent="0.35">
      <c r="A1120" s="137"/>
      <c r="B1120" s="137"/>
      <c r="C1120" s="137"/>
      <c r="D1120" s="137"/>
      <c r="E1120" s="137"/>
      <c r="F1120" s="137"/>
      <c r="G1120" s="102"/>
      <c r="H1120" s="137"/>
      <c r="I1120" s="137"/>
      <c r="J1120" s="137"/>
      <c r="K1120" s="170"/>
      <c r="L1120" s="170"/>
      <c r="M1120" s="170"/>
      <c r="N1120" s="137"/>
      <c r="O1120" s="137"/>
    </row>
    <row r="1121" spans="1:15" x14ac:dyDescent="0.35">
      <c r="A1121" s="137"/>
      <c r="B1121" s="137"/>
      <c r="C1121" s="137"/>
      <c r="D1121" s="137"/>
      <c r="E1121" s="137"/>
      <c r="F1121" s="137"/>
      <c r="G1121" s="102"/>
      <c r="H1121" s="137"/>
      <c r="I1121" s="137"/>
      <c r="J1121" s="137"/>
      <c r="K1121" s="170"/>
      <c r="L1121" s="170"/>
      <c r="M1121" s="170"/>
      <c r="N1121" s="137"/>
      <c r="O1121" s="137"/>
    </row>
    <row r="1122" spans="1:15" x14ac:dyDescent="0.35">
      <c r="A1122" s="137"/>
      <c r="B1122" s="137"/>
      <c r="C1122" s="137"/>
      <c r="D1122" s="137"/>
      <c r="E1122" s="137"/>
      <c r="F1122" s="137"/>
      <c r="G1122" s="102"/>
      <c r="H1122" s="137"/>
      <c r="I1122" s="137"/>
      <c r="J1122" s="137"/>
      <c r="K1122" s="170"/>
      <c r="L1122" s="170"/>
      <c r="M1122" s="170"/>
      <c r="N1122" s="137"/>
      <c r="O1122" s="137"/>
    </row>
    <row r="1123" spans="1:15" x14ac:dyDescent="0.35">
      <c r="A1123" s="137"/>
      <c r="B1123" s="137"/>
      <c r="C1123" s="137"/>
      <c r="D1123" s="137"/>
      <c r="E1123" s="137"/>
      <c r="F1123" s="137"/>
      <c r="G1123" s="102"/>
      <c r="H1123" s="137"/>
      <c r="I1123" s="137"/>
      <c r="J1123" s="137"/>
      <c r="K1123" s="170"/>
      <c r="L1123" s="170"/>
      <c r="M1123" s="170"/>
      <c r="N1123" s="137"/>
      <c r="O1123" s="137"/>
    </row>
    <row r="1124" spans="1:15" x14ac:dyDescent="0.35">
      <c r="A1124" s="137"/>
      <c r="B1124" s="137"/>
      <c r="C1124" s="137"/>
      <c r="D1124" s="137"/>
      <c r="E1124" s="137"/>
      <c r="F1124" s="137"/>
      <c r="G1124" s="102"/>
      <c r="H1124" s="137"/>
      <c r="I1124" s="137"/>
      <c r="J1124" s="137"/>
      <c r="K1124" s="170"/>
      <c r="L1124" s="170"/>
      <c r="M1124" s="170"/>
      <c r="N1124" s="137"/>
      <c r="O1124" s="137"/>
    </row>
    <row r="1125" spans="1:15" x14ac:dyDescent="0.35">
      <c r="A1125" s="137"/>
      <c r="B1125" s="137"/>
      <c r="C1125" s="137"/>
      <c r="D1125" s="137"/>
      <c r="E1125" s="137"/>
      <c r="F1125" s="137"/>
      <c r="G1125" s="102"/>
      <c r="H1125" s="137"/>
      <c r="I1125" s="137"/>
      <c r="J1125" s="137"/>
      <c r="K1125" s="170"/>
      <c r="L1125" s="170"/>
      <c r="M1125" s="170"/>
      <c r="N1125" s="137"/>
      <c r="O1125" s="137"/>
    </row>
    <row r="1126" spans="1:15" x14ac:dyDescent="0.35">
      <c r="A1126" s="137"/>
      <c r="B1126" s="137"/>
      <c r="C1126" s="137"/>
      <c r="D1126" s="137"/>
      <c r="E1126" s="137"/>
      <c r="F1126" s="137"/>
      <c r="G1126" s="102"/>
      <c r="H1126" s="137"/>
      <c r="I1126" s="137"/>
      <c r="J1126" s="137"/>
      <c r="K1126" s="170"/>
      <c r="L1126" s="170"/>
      <c r="M1126" s="170"/>
      <c r="N1126" s="137"/>
      <c r="O1126" s="137"/>
    </row>
    <row r="1127" spans="1:15" x14ac:dyDescent="0.35">
      <c r="A1127" s="137"/>
      <c r="B1127" s="137"/>
      <c r="C1127" s="137"/>
      <c r="D1127" s="137"/>
      <c r="E1127" s="137"/>
      <c r="F1127" s="137"/>
      <c r="G1127" s="102"/>
      <c r="H1127" s="137"/>
      <c r="I1127" s="137"/>
      <c r="J1127" s="137"/>
      <c r="K1127" s="170"/>
      <c r="L1127" s="170"/>
      <c r="M1127" s="170"/>
      <c r="N1127" s="137"/>
      <c r="O1127" s="137"/>
    </row>
    <row r="1128" spans="1:15" x14ac:dyDescent="0.35">
      <c r="A1128" s="137"/>
      <c r="B1128" s="137"/>
      <c r="C1128" s="137"/>
      <c r="D1128" s="137"/>
      <c r="E1128" s="137"/>
      <c r="F1128" s="137"/>
      <c r="G1128" s="102"/>
      <c r="H1128" s="137"/>
      <c r="I1128" s="137"/>
      <c r="J1128" s="137"/>
      <c r="K1128" s="170"/>
      <c r="L1128" s="170"/>
      <c r="M1128" s="170"/>
    </row>
    <row r="1129" spans="1:15" x14ac:dyDescent="0.35">
      <c r="A1129" s="137"/>
      <c r="B1129" s="137"/>
      <c r="C1129" s="137"/>
      <c r="D1129" s="137"/>
      <c r="E1129" s="137"/>
      <c r="F1129" s="137"/>
      <c r="G1129" s="102"/>
      <c r="H1129" s="137"/>
      <c r="I1129" s="137"/>
      <c r="J1129" s="137"/>
      <c r="K1129" s="170"/>
      <c r="L1129" s="170"/>
      <c r="M1129" s="170"/>
    </row>
    <row r="1130" spans="1:15" x14ac:dyDescent="0.35">
      <c r="A1130" s="137"/>
      <c r="B1130" s="137"/>
      <c r="C1130" s="137"/>
      <c r="D1130" s="137"/>
      <c r="E1130" s="137"/>
      <c r="F1130" s="137"/>
      <c r="G1130" s="102"/>
      <c r="H1130" s="137"/>
      <c r="I1130" s="137"/>
      <c r="J1130" s="137"/>
      <c r="K1130" s="170"/>
      <c r="L1130" s="170"/>
      <c r="M1130" s="170"/>
    </row>
    <row r="1131" spans="1:15" x14ac:dyDescent="0.35">
      <c r="A1131" s="137"/>
      <c r="B1131" s="137"/>
      <c r="C1131" s="137"/>
      <c r="D1131" s="137"/>
      <c r="E1131" s="137"/>
      <c r="F1131" s="137"/>
      <c r="G1131" s="102"/>
      <c r="H1131" s="137"/>
      <c r="I1131" s="137"/>
      <c r="J1131" s="137"/>
      <c r="K1131" s="170"/>
      <c r="L1131" s="170"/>
      <c r="M1131" s="170"/>
    </row>
    <row r="1132" spans="1:15" x14ac:dyDescent="0.35">
      <c r="A1132" s="137"/>
      <c r="B1132" s="137"/>
      <c r="C1132" s="137"/>
      <c r="D1132" s="137"/>
      <c r="E1132" s="137"/>
      <c r="F1132" s="137"/>
      <c r="G1132" s="102"/>
      <c r="H1132" s="137"/>
      <c r="I1132" s="137"/>
      <c r="J1132" s="137"/>
      <c r="K1132" s="170"/>
      <c r="L1132" s="170"/>
      <c r="M1132" s="170"/>
    </row>
    <row r="1133" spans="1:15" x14ac:dyDescent="0.35">
      <c r="A1133" s="137"/>
      <c r="B1133" s="137"/>
      <c r="C1133" s="137"/>
      <c r="D1133" s="137"/>
      <c r="E1133" s="137"/>
      <c r="F1133" s="137"/>
      <c r="G1133" s="102"/>
      <c r="H1133" s="137"/>
      <c r="I1133" s="137"/>
      <c r="J1133" s="137"/>
      <c r="K1133" s="170"/>
      <c r="L1133" s="170"/>
      <c r="M1133" s="170"/>
      <c r="N1133" s="137"/>
      <c r="O1133" s="137"/>
    </row>
    <row r="1134" spans="1:15" x14ac:dyDescent="0.35">
      <c r="A1134" s="137"/>
      <c r="B1134" s="137"/>
      <c r="C1134" s="137"/>
      <c r="D1134" s="137"/>
      <c r="E1134" s="137"/>
      <c r="F1134" s="137"/>
      <c r="G1134" s="102"/>
      <c r="H1134" s="137"/>
      <c r="I1134" s="137"/>
      <c r="J1134" s="137"/>
      <c r="K1134" s="170"/>
      <c r="L1134" s="170"/>
      <c r="M1134" s="170"/>
      <c r="N1134" s="137"/>
      <c r="O1134" s="137"/>
    </row>
    <row r="1135" spans="1:15" x14ac:dyDescent="0.35">
      <c r="A1135" s="137"/>
      <c r="B1135" s="137"/>
      <c r="C1135" s="137"/>
      <c r="D1135" s="137"/>
      <c r="E1135" s="137"/>
      <c r="F1135" s="137"/>
      <c r="G1135" s="102"/>
      <c r="H1135" s="137"/>
      <c r="I1135" s="137"/>
      <c r="J1135" s="137"/>
      <c r="K1135" s="170"/>
      <c r="L1135" s="170"/>
      <c r="M1135" s="170"/>
      <c r="N1135" s="137"/>
      <c r="O1135" s="137"/>
    </row>
    <row r="1136" spans="1:15" x14ac:dyDescent="0.35">
      <c r="A1136" s="137"/>
      <c r="B1136" s="137"/>
      <c r="C1136" s="137"/>
      <c r="D1136" s="137"/>
      <c r="E1136" s="137"/>
      <c r="F1136" s="137"/>
      <c r="G1136" s="102"/>
      <c r="H1136" s="137"/>
      <c r="I1136" s="137"/>
      <c r="J1136" s="137"/>
      <c r="K1136" s="170"/>
      <c r="L1136" s="170"/>
      <c r="M1136" s="170"/>
      <c r="N1136" s="137"/>
      <c r="O1136" s="137"/>
    </row>
    <row r="1137" spans="1:15" x14ac:dyDescent="0.35">
      <c r="A1137" s="137"/>
      <c r="B1137" s="137"/>
      <c r="C1137" s="137"/>
      <c r="D1137" s="137"/>
      <c r="E1137" s="137"/>
      <c r="F1137" s="137"/>
      <c r="G1137" s="102"/>
      <c r="H1137" s="137"/>
      <c r="I1137" s="137"/>
      <c r="J1137" s="137"/>
      <c r="K1137" s="170"/>
      <c r="L1137" s="170"/>
      <c r="M1137" s="170"/>
      <c r="N1137" s="137"/>
      <c r="O1137" s="137"/>
    </row>
    <row r="1138" spans="1:15" x14ac:dyDescent="0.35">
      <c r="A1138" s="137"/>
      <c r="B1138" s="137"/>
      <c r="C1138" s="137"/>
      <c r="D1138" s="137"/>
      <c r="E1138" s="137"/>
      <c r="F1138" s="137"/>
      <c r="G1138" s="102"/>
      <c r="H1138" s="137"/>
      <c r="I1138" s="137"/>
      <c r="J1138" s="137"/>
      <c r="K1138" s="170"/>
      <c r="L1138" s="170"/>
      <c r="M1138" s="170"/>
      <c r="N1138" s="137"/>
      <c r="O1138" s="137"/>
    </row>
    <row r="1139" spans="1:15" x14ac:dyDescent="0.35">
      <c r="A1139" s="137"/>
      <c r="B1139" s="137"/>
      <c r="C1139" s="137"/>
      <c r="D1139" s="137"/>
      <c r="E1139" s="137"/>
      <c r="F1139" s="137"/>
      <c r="G1139" s="102"/>
      <c r="H1139" s="137"/>
      <c r="I1139" s="137"/>
      <c r="J1139" s="137"/>
      <c r="K1139" s="170"/>
      <c r="L1139" s="170"/>
      <c r="M1139" s="170"/>
      <c r="N1139" s="137"/>
      <c r="O1139" s="137"/>
    </row>
    <row r="1140" spans="1:15" x14ac:dyDescent="0.35">
      <c r="A1140" s="137"/>
      <c r="B1140" s="137"/>
      <c r="C1140" s="137"/>
      <c r="D1140" s="137"/>
      <c r="E1140" s="137"/>
      <c r="F1140" s="137"/>
      <c r="G1140" s="102"/>
      <c r="H1140" s="137"/>
      <c r="I1140" s="137"/>
      <c r="J1140" s="137"/>
      <c r="K1140" s="170"/>
      <c r="L1140" s="170"/>
      <c r="M1140" s="170"/>
      <c r="N1140" s="137"/>
      <c r="O1140" s="137"/>
    </row>
    <row r="1141" spans="1:15" x14ac:dyDescent="0.35">
      <c r="A1141" s="137"/>
      <c r="B1141" s="137"/>
      <c r="C1141" s="137"/>
      <c r="D1141" s="137"/>
      <c r="E1141" s="137"/>
      <c r="F1141" s="137"/>
      <c r="G1141" s="102"/>
      <c r="H1141" s="137"/>
      <c r="I1141" s="137"/>
      <c r="J1141" s="137"/>
      <c r="K1141" s="170"/>
      <c r="L1141" s="170"/>
      <c r="M1141" s="170"/>
      <c r="N1141" s="137"/>
      <c r="O1141" s="137"/>
    </row>
    <row r="1142" spans="1:15" x14ac:dyDescent="0.35">
      <c r="A1142" s="137"/>
      <c r="B1142" s="137"/>
      <c r="C1142" s="137"/>
      <c r="D1142" s="137"/>
      <c r="E1142" s="137"/>
      <c r="F1142" s="137"/>
      <c r="G1142" s="102"/>
      <c r="H1142" s="137"/>
      <c r="I1142" s="137"/>
      <c r="J1142" s="137"/>
      <c r="K1142" s="170"/>
      <c r="L1142" s="170"/>
      <c r="M1142" s="170"/>
      <c r="N1142" s="137"/>
      <c r="O1142" s="137"/>
    </row>
    <row r="1143" spans="1:15" x14ac:dyDescent="0.35">
      <c r="A1143" s="137"/>
      <c r="B1143" s="137"/>
      <c r="C1143" s="137"/>
      <c r="D1143" s="137"/>
      <c r="E1143" s="137"/>
      <c r="F1143" s="137"/>
      <c r="G1143" s="102"/>
      <c r="H1143" s="137"/>
      <c r="I1143" s="137"/>
      <c r="J1143" s="137"/>
      <c r="K1143" s="170"/>
      <c r="L1143" s="170"/>
      <c r="M1143" s="170"/>
      <c r="N1143" s="137"/>
      <c r="O1143" s="137"/>
    </row>
    <row r="1144" spans="1:15" x14ac:dyDescent="0.35">
      <c r="A1144" s="137"/>
      <c r="B1144" s="137"/>
      <c r="C1144" s="137"/>
      <c r="D1144" s="137"/>
      <c r="E1144" s="137"/>
      <c r="F1144" s="137"/>
      <c r="G1144" s="102"/>
      <c r="H1144" s="137"/>
      <c r="I1144" s="137"/>
      <c r="J1144" s="137"/>
      <c r="K1144" s="170"/>
      <c r="L1144" s="170"/>
      <c r="M1144" s="170"/>
      <c r="N1144" s="31"/>
      <c r="O1144" s="31"/>
    </row>
    <row r="1145" spans="1:15" x14ac:dyDescent="0.35">
      <c r="A1145" s="137"/>
      <c r="B1145" s="137"/>
      <c r="C1145" s="137"/>
      <c r="D1145" s="137"/>
      <c r="E1145" s="137"/>
      <c r="F1145" s="137"/>
      <c r="G1145" s="102"/>
      <c r="H1145" s="137"/>
      <c r="I1145" s="137"/>
      <c r="J1145" s="137"/>
      <c r="K1145" s="170"/>
      <c r="L1145" s="170"/>
      <c r="M1145" s="170"/>
      <c r="N1145" s="137"/>
      <c r="O1145" s="137"/>
    </row>
    <row r="1146" spans="1:15" x14ac:dyDescent="0.35">
      <c r="A1146" s="137"/>
      <c r="B1146" s="137"/>
      <c r="C1146" s="137"/>
      <c r="D1146" s="137"/>
      <c r="E1146" s="137"/>
      <c r="F1146" s="137"/>
      <c r="G1146" s="102"/>
      <c r="H1146" s="137"/>
      <c r="I1146" s="137"/>
      <c r="J1146" s="137"/>
      <c r="K1146" s="170"/>
      <c r="L1146" s="170"/>
      <c r="M1146" s="170"/>
      <c r="N1146" s="137"/>
      <c r="O1146" s="137"/>
    </row>
    <row r="1147" spans="1:15" x14ac:dyDescent="0.35">
      <c r="A1147" s="137"/>
      <c r="B1147" s="137"/>
      <c r="C1147" s="137"/>
      <c r="D1147" s="137"/>
      <c r="E1147" s="137"/>
      <c r="F1147" s="137"/>
      <c r="G1147" s="102"/>
      <c r="H1147" s="137"/>
      <c r="I1147" s="137"/>
      <c r="J1147" s="137"/>
      <c r="K1147" s="170"/>
      <c r="L1147" s="170"/>
      <c r="M1147" s="170"/>
      <c r="N1147" s="137"/>
      <c r="O1147" s="137"/>
    </row>
    <row r="1148" spans="1:15" x14ac:dyDescent="0.35">
      <c r="A1148" s="137"/>
      <c r="B1148" s="137"/>
      <c r="C1148" s="137"/>
      <c r="D1148" s="137"/>
      <c r="E1148" s="137"/>
      <c r="F1148" s="137"/>
      <c r="G1148" s="102"/>
      <c r="H1148" s="137"/>
      <c r="I1148" s="137"/>
      <c r="J1148" s="137"/>
      <c r="K1148" s="170"/>
      <c r="L1148" s="170"/>
      <c r="M1148" s="170"/>
      <c r="N1148" s="137"/>
      <c r="O1148" s="137"/>
    </row>
    <row r="1149" spans="1:15" x14ac:dyDescent="0.35">
      <c r="A1149" s="137"/>
      <c r="B1149" s="137"/>
      <c r="C1149" s="137"/>
      <c r="D1149" s="137"/>
      <c r="E1149" s="137"/>
      <c r="F1149" s="137"/>
      <c r="G1149" s="102"/>
      <c r="H1149" s="137"/>
      <c r="I1149" s="137"/>
      <c r="J1149" s="137"/>
      <c r="K1149" s="170"/>
      <c r="L1149" s="170"/>
      <c r="M1149" s="170"/>
      <c r="N1149" s="137"/>
      <c r="O1149" s="137"/>
    </row>
    <row r="1150" spans="1:15" x14ac:dyDescent="0.35">
      <c r="A1150" s="137"/>
      <c r="B1150" s="137"/>
      <c r="C1150" s="137"/>
      <c r="D1150" s="137"/>
      <c r="E1150" s="137"/>
      <c r="F1150" s="137"/>
      <c r="G1150" s="102"/>
      <c r="H1150" s="137"/>
      <c r="I1150" s="137"/>
      <c r="J1150" s="137"/>
      <c r="K1150" s="170"/>
      <c r="L1150" s="170"/>
      <c r="M1150" s="170"/>
      <c r="N1150" s="137"/>
      <c r="O1150" s="137"/>
    </row>
    <row r="1151" spans="1:15" x14ac:dyDescent="0.35">
      <c r="A1151" s="137"/>
      <c r="B1151" s="137"/>
      <c r="C1151" s="137"/>
      <c r="D1151" s="137"/>
      <c r="E1151" s="137"/>
      <c r="F1151" s="137"/>
      <c r="G1151" s="102"/>
      <c r="H1151" s="137"/>
      <c r="I1151" s="137"/>
      <c r="J1151" s="137"/>
      <c r="K1151" s="170"/>
      <c r="L1151" s="170"/>
      <c r="M1151" s="170"/>
      <c r="N1151" s="137"/>
      <c r="O1151" s="137"/>
    </row>
    <row r="1152" spans="1:15" x14ac:dyDescent="0.35">
      <c r="A1152" s="137"/>
      <c r="B1152" s="137"/>
      <c r="C1152" s="137"/>
      <c r="D1152" s="137"/>
      <c r="E1152" s="137"/>
      <c r="F1152" s="137"/>
      <c r="G1152" s="102"/>
      <c r="H1152" s="137"/>
      <c r="I1152" s="137"/>
      <c r="J1152" s="137"/>
      <c r="K1152" s="170"/>
      <c r="L1152" s="170"/>
      <c r="M1152" s="170"/>
      <c r="N1152" s="137"/>
      <c r="O1152" s="137"/>
    </row>
    <row r="1153" spans="1:15" x14ac:dyDescent="0.35">
      <c r="A1153" s="137"/>
      <c r="B1153" s="137"/>
      <c r="C1153" s="137"/>
      <c r="D1153" s="137"/>
      <c r="E1153" s="137"/>
      <c r="F1153" s="137"/>
      <c r="G1153" s="102"/>
      <c r="H1153" s="137"/>
      <c r="I1153" s="137"/>
      <c r="J1153" s="137"/>
      <c r="K1153" s="170"/>
      <c r="L1153" s="170"/>
      <c r="M1153" s="170"/>
      <c r="N1153" s="137"/>
      <c r="O1153" s="137"/>
    </row>
    <row r="1154" spans="1:15" x14ac:dyDescent="0.35">
      <c r="A1154" s="137"/>
      <c r="B1154" s="137"/>
      <c r="C1154" s="137"/>
      <c r="D1154" s="137"/>
      <c r="E1154" s="137"/>
      <c r="F1154" s="137"/>
      <c r="G1154" s="102"/>
      <c r="H1154" s="137"/>
      <c r="I1154" s="137"/>
      <c r="J1154" s="137"/>
      <c r="K1154" s="170"/>
      <c r="L1154" s="170"/>
      <c r="M1154" s="170"/>
      <c r="N1154" s="137"/>
      <c r="O1154" s="137"/>
    </row>
    <row r="1155" spans="1:15" x14ac:dyDescent="0.35">
      <c r="A1155" s="137"/>
      <c r="B1155" s="137"/>
      <c r="C1155" s="137"/>
      <c r="D1155" s="137"/>
      <c r="E1155" s="137"/>
      <c r="F1155" s="137"/>
      <c r="G1155" s="102"/>
      <c r="H1155" s="137"/>
      <c r="I1155" s="137"/>
      <c r="J1155" s="137"/>
      <c r="K1155" s="170"/>
      <c r="L1155" s="170"/>
      <c r="M1155" s="170"/>
      <c r="N1155" s="137"/>
      <c r="O1155" s="137"/>
    </row>
    <row r="1156" spans="1:15" x14ac:dyDescent="0.35">
      <c r="A1156" s="137"/>
      <c r="B1156" s="137"/>
      <c r="C1156" s="137"/>
      <c r="D1156" s="137"/>
      <c r="E1156" s="137"/>
      <c r="F1156" s="137"/>
      <c r="G1156" s="102"/>
      <c r="H1156" s="137"/>
      <c r="I1156" s="137"/>
      <c r="J1156" s="137"/>
      <c r="K1156" s="170"/>
      <c r="L1156" s="170"/>
      <c r="M1156" s="170"/>
      <c r="N1156" s="137"/>
      <c r="O1156" s="137"/>
    </row>
    <row r="1157" spans="1:15" x14ac:dyDescent="0.35">
      <c r="A1157" s="137"/>
      <c r="B1157" s="137"/>
      <c r="C1157" s="137"/>
      <c r="D1157" s="137"/>
      <c r="E1157" s="137"/>
      <c r="F1157" s="137"/>
      <c r="G1157" s="102"/>
      <c r="H1157" s="137"/>
      <c r="I1157" s="137"/>
      <c r="J1157" s="137"/>
      <c r="K1157" s="170"/>
      <c r="L1157" s="170"/>
      <c r="M1157" s="170"/>
      <c r="N1157" s="137"/>
      <c r="O1157" s="137"/>
    </row>
    <row r="1158" spans="1:15" x14ac:dyDescent="0.35">
      <c r="A1158" s="137"/>
      <c r="B1158" s="137"/>
      <c r="C1158" s="137"/>
      <c r="D1158" s="137"/>
      <c r="E1158" s="137"/>
      <c r="F1158" s="137"/>
      <c r="G1158" s="102"/>
      <c r="H1158" s="137"/>
      <c r="I1158" s="137"/>
      <c r="J1158" s="137"/>
      <c r="K1158" s="170"/>
      <c r="L1158" s="170"/>
      <c r="M1158" s="170"/>
      <c r="N1158" s="137"/>
      <c r="O1158" s="137"/>
    </row>
    <row r="1159" spans="1:15" x14ac:dyDescent="0.35">
      <c r="A1159" s="137"/>
      <c r="B1159" s="137"/>
      <c r="C1159" s="137"/>
      <c r="D1159" s="137"/>
      <c r="E1159" s="137"/>
      <c r="F1159" s="137"/>
      <c r="G1159" s="102"/>
      <c r="H1159" s="137"/>
      <c r="I1159" s="137"/>
      <c r="J1159" s="137"/>
      <c r="K1159" s="170"/>
      <c r="L1159" s="170"/>
      <c r="M1159" s="170"/>
      <c r="N1159" s="137"/>
      <c r="O1159" s="137"/>
    </row>
    <row r="1160" spans="1:15" x14ac:dyDescent="0.35">
      <c r="A1160" s="137"/>
      <c r="B1160" s="137"/>
      <c r="C1160" s="137"/>
      <c r="D1160" s="137"/>
      <c r="E1160" s="137"/>
      <c r="F1160" s="137"/>
      <c r="G1160" s="102"/>
      <c r="H1160" s="137"/>
      <c r="I1160" s="137"/>
      <c r="J1160" s="137"/>
      <c r="K1160" s="170"/>
      <c r="L1160" s="170"/>
      <c r="M1160" s="170"/>
      <c r="N1160" s="137"/>
      <c r="O1160" s="137"/>
    </row>
    <row r="1161" spans="1:15" x14ac:dyDescent="0.35">
      <c r="A1161" s="137"/>
      <c r="B1161" s="137"/>
      <c r="C1161" s="137"/>
      <c r="D1161" s="137"/>
      <c r="E1161" s="137"/>
      <c r="F1161" s="137"/>
      <c r="G1161" s="102"/>
      <c r="H1161" s="137"/>
      <c r="I1161" s="137"/>
      <c r="J1161" s="137"/>
      <c r="K1161" s="170"/>
      <c r="L1161" s="170"/>
      <c r="M1161" s="170"/>
      <c r="N1161" s="137"/>
      <c r="O1161" s="137"/>
    </row>
    <row r="1162" spans="1:15" x14ac:dyDescent="0.35">
      <c r="A1162" s="137"/>
      <c r="B1162" s="137"/>
      <c r="C1162" s="137"/>
      <c r="D1162" s="137"/>
      <c r="E1162" s="137"/>
      <c r="F1162" s="137"/>
      <c r="G1162" s="102"/>
      <c r="H1162" s="137"/>
      <c r="I1162" s="137"/>
      <c r="J1162" s="137"/>
      <c r="K1162" s="170"/>
      <c r="L1162" s="170"/>
      <c r="M1162" s="170"/>
      <c r="N1162" s="137"/>
      <c r="O1162" s="137"/>
    </row>
    <row r="1163" spans="1:15" x14ac:dyDescent="0.35">
      <c r="A1163" s="137"/>
      <c r="B1163" s="137"/>
      <c r="C1163" s="137"/>
      <c r="D1163" s="137"/>
      <c r="E1163" s="137"/>
      <c r="F1163" s="137"/>
      <c r="G1163" s="102"/>
      <c r="H1163" s="137"/>
      <c r="I1163" s="137"/>
      <c r="J1163" s="137"/>
      <c r="K1163" s="170"/>
      <c r="L1163" s="170"/>
      <c r="M1163" s="170"/>
      <c r="N1163" s="137"/>
      <c r="O1163" s="137"/>
    </row>
    <row r="1164" spans="1:15" x14ac:dyDescent="0.35">
      <c r="A1164" s="137"/>
      <c r="B1164" s="137"/>
      <c r="C1164" s="137"/>
      <c r="D1164" s="137"/>
      <c r="E1164" s="137"/>
      <c r="F1164" s="137"/>
      <c r="G1164" s="102"/>
      <c r="H1164" s="137"/>
      <c r="I1164" s="137"/>
      <c r="J1164" s="137"/>
      <c r="K1164" s="170"/>
      <c r="L1164" s="170"/>
      <c r="M1164" s="170"/>
      <c r="N1164" s="137"/>
      <c r="O1164" s="137"/>
    </row>
    <row r="1165" spans="1:15" x14ac:dyDescent="0.35">
      <c r="A1165" s="137"/>
      <c r="B1165" s="137"/>
      <c r="C1165" s="137"/>
      <c r="D1165" s="137"/>
      <c r="E1165" s="137"/>
      <c r="F1165" s="137"/>
      <c r="G1165" s="102"/>
      <c r="H1165" s="137"/>
      <c r="I1165" s="137"/>
      <c r="J1165" s="137"/>
      <c r="K1165" s="170"/>
      <c r="L1165" s="170"/>
      <c r="M1165" s="170"/>
      <c r="N1165" s="137"/>
      <c r="O1165" s="137"/>
    </row>
    <row r="1166" spans="1:15" x14ac:dyDescent="0.35">
      <c r="A1166" s="137"/>
      <c r="B1166" s="137"/>
      <c r="C1166" s="137"/>
      <c r="D1166" s="137"/>
      <c r="E1166" s="137"/>
      <c r="F1166" s="137"/>
      <c r="G1166" s="102"/>
      <c r="H1166" s="137"/>
      <c r="I1166" s="137"/>
      <c r="J1166" s="137"/>
      <c r="K1166" s="170"/>
      <c r="L1166" s="170"/>
      <c r="M1166" s="170"/>
    </row>
    <row r="1167" spans="1:15" x14ac:dyDescent="0.35">
      <c r="A1167" s="137"/>
      <c r="B1167" s="137"/>
      <c r="C1167" s="137"/>
      <c r="D1167" s="137"/>
      <c r="E1167" s="137"/>
      <c r="F1167" s="137"/>
      <c r="G1167" s="102"/>
      <c r="H1167" s="137"/>
      <c r="I1167" s="137"/>
      <c r="J1167" s="137"/>
      <c r="K1167" s="170"/>
      <c r="L1167" s="170"/>
      <c r="M1167" s="170"/>
      <c r="N1167" s="137"/>
      <c r="O1167" s="137"/>
    </row>
    <row r="1168" spans="1:15" x14ac:dyDescent="0.35">
      <c r="A1168" s="137"/>
      <c r="B1168" s="137"/>
      <c r="C1168" s="137"/>
      <c r="D1168" s="137"/>
      <c r="E1168" s="137"/>
      <c r="F1168" s="137"/>
      <c r="G1168" s="102"/>
      <c r="H1168" s="137"/>
      <c r="I1168" s="137"/>
      <c r="J1168" s="137"/>
      <c r="K1168" s="170"/>
      <c r="L1168" s="170"/>
      <c r="M1168" s="170"/>
      <c r="N1168" s="137"/>
      <c r="O1168" s="137"/>
    </row>
    <row r="1169" spans="1:15" x14ac:dyDescent="0.35">
      <c r="A1169" s="137"/>
      <c r="B1169" s="137"/>
      <c r="C1169" s="137"/>
      <c r="D1169" s="137"/>
      <c r="E1169" s="137"/>
      <c r="F1169" s="137"/>
      <c r="G1169" s="102"/>
      <c r="H1169" s="137"/>
      <c r="I1169" s="137"/>
      <c r="J1169" s="137"/>
      <c r="K1169" s="170"/>
      <c r="L1169" s="170"/>
      <c r="M1169" s="170"/>
      <c r="N1169" s="137"/>
      <c r="O1169" s="137"/>
    </row>
    <row r="1170" spans="1:15" x14ac:dyDescent="0.35">
      <c r="A1170" s="137"/>
      <c r="B1170" s="137"/>
      <c r="C1170" s="137"/>
      <c r="D1170" s="137"/>
      <c r="E1170" s="137"/>
      <c r="F1170" s="137"/>
      <c r="G1170" s="102"/>
      <c r="H1170" s="137"/>
      <c r="I1170" s="137"/>
      <c r="J1170" s="137"/>
      <c r="K1170" s="170"/>
      <c r="L1170" s="170"/>
      <c r="M1170" s="170"/>
      <c r="N1170" s="137"/>
      <c r="O1170" s="137"/>
    </row>
    <row r="1171" spans="1:15" x14ac:dyDescent="0.35">
      <c r="A1171" s="137"/>
      <c r="B1171" s="137"/>
      <c r="C1171" s="137"/>
      <c r="D1171" s="137"/>
      <c r="E1171" s="137"/>
      <c r="F1171" s="137"/>
      <c r="G1171" s="102"/>
      <c r="H1171" s="137"/>
      <c r="I1171" s="137"/>
      <c r="J1171" s="137"/>
      <c r="K1171" s="170"/>
      <c r="L1171" s="170"/>
      <c r="M1171" s="170"/>
      <c r="N1171" s="137"/>
      <c r="O1171" s="137"/>
    </row>
    <row r="1172" spans="1:15" x14ac:dyDescent="0.35">
      <c r="A1172" s="137"/>
      <c r="B1172" s="137"/>
      <c r="C1172" s="137"/>
      <c r="D1172" s="137"/>
      <c r="E1172" s="137"/>
      <c r="F1172" s="137"/>
      <c r="G1172" s="102"/>
      <c r="H1172" s="137"/>
      <c r="I1172" s="137"/>
      <c r="J1172" s="137"/>
      <c r="K1172" s="170"/>
      <c r="L1172" s="170"/>
      <c r="M1172" s="170"/>
      <c r="N1172" s="137"/>
      <c r="O1172" s="137"/>
    </row>
    <row r="1173" spans="1:15" x14ac:dyDescent="0.35">
      <c r="A1173" s="137"/>
      <c r="B1173" s="137"/>
      <c r="C1173" s="137"/>
      <c r="D1173" s="137"/>
      <c r="E1173" s="137"/>
      <c r="F1173" s="137"/>
      <c r="G1173" s="102"/>
      <c r="H1173" s="137"/>
      <c r="I1173" s="137"/>
      <c r="J1173" s="137"/>
      <c r="K1173" s="170"/>
      <c r="L1173" s="170"/>
      <c r="M1173" s="170"/>
      <c r="N1173" s="137"/>
      <c r="O1173" s="137"/>
    </row>
    <row r="1174" spans="1:15" x14ac:dyDescent="0.35">
      <c r="A1174" s="137"/>
      <c r="B1174" s="137"/>
      <c r="C1174" s="137"/>
      <c r="D1174" s="137"/>
      <c r="E1174" s="137"/>
      <c r="F1174" s="137"/>
      <c r="G1174" s="102"/>
      <c r="H1174" s="137"/>
      <c r="I1174" s="137"/>
      <c r="J1174" s="137"/>
      <c r="K1174" s="170"/>
      <c r="L1174" s="170"/>
      <c r="M1174" s="170"/>
      <c r="N1174" s="137"/>
      <c r="O1174" s="137"/>
    </row>
    <row r="1175" spans="1:15" x14ac:dyDescent="0.35">
      <c r="A1175" s="137"/>
      <c r="B1175" s="137"/>
      <c r="C1175" s="137"/>
      <c r="D1175" s="137"/>
      <c r="E1175" s="137"/>
      <c r="F1175" s="137"/>
      <c r="G1175" s="102"/>
      <c r="H1175" s="137"/>
      <c r="I1175" s="137"/>
      <c r="J1175" s="137"/>
      <c r="K1175" s="170"/>
      <c r="L1175" s="170"/>
      <c r="M1175" s="170"/>
      <c r="N1175" s="137"/>
      <c r="O1175" s="137"/>
    </row>
    <row r="1176" spans="1:15" x14ac:dyDescent="0.35">
      <c r="A1176" s="137"/>
      <c r="B1176" s="137"/>
      <c r="C1176" s="137"/>
      <c r="D1176" s="137"/>
      <c r="E1176" s="137"/>
      <c r="F1176" s="137"/>
      <c r="G1176" s="102"/>
      <c r="H1176" s="137"/>
      <c r="I1176" s="137"/>
      <c r="J1176" s="137"/>
      <c r="K1176" s="170"/>
      <c r="L1176" s="170"/>
      <c r="M1176" s="170"/>
      <c r="N1176" s="137"/>
      <c r="O1176" s="137"/>
    </row>
    <row r="1177" spans="1:15" x14ac:dyDescent="0.35">
      <c r="A1177" s="137"/>
      <c r="B1177" s="137"/>
      <c r="C1177" s="137"/>
      <c r="D1177" s="137"/>
      <c r="E1177" s="137"/>
      <c r="F1177" s="137"/>
      <c r="G1177" s="102"/>
      <c r="H1177" s="137"/>
      <c r="I1177" s="137"/>
      <c r="J1177" s="137"/>
      <c r="K1177" s="170"/>
      <c r="L1177" s="170"/>
      <c r="M1177" s="170"/>
      <c r="N1177" s="137"/>
      <c r="O1177" s="137"/>
    </row>
    <row r="1178" spans="1:15" x14ac:dyDescent="0.35">
      <c r="A1178" s="137"/>
      <c r="B1178" s="137"/>
      <c r="C1178" s="137"/>
      <c r="D1178" s="137"/>
      <c r="E1178" s="137"/>
      <c r="F1178" s="137"/>
      <c r="G1178" s="102"/>
      <c r="H1178" s="137"/>
      <c r="I1178" s="137"/>
      <c r="J1178" s="137"/>
      <c r="K1178" s="170"/>
      <c r="L1178" s="170"/>
      <c r="M1178" s="170"/>
      <c r="N1178" s="137"/>
      <c r="O1178" s="137"/>
    </row>
    <row r="1179" spans="1:15" x14ac:dyDescent="0.35">
      <c r="A1179" s="137"/>
      <c r="B1179" s="137"/>
      <c r="C1179" s="137"/>
      <c r="D1179" s="137"/>
      <c r="E1179" s="137"/>
      <c r="F1179" s="137"/>
      <c r="G1179" s="102"/>
      <c r="H1179" s="137"/>
      <c r="I1179" s="137"/>
      <c r="J1179" s="137"/>
      <c r="K1179" s="170"/>
      <c r="L1179" s="170"/>
      <c r="M1179" s="170"/>
      <c r="N1179" s="137"/>
      <c r="O1179" s="137"/>
    </row>
    <row r="1180" spans="1:15" x14ac:dyDescent="0.35">
      <c r="A1180" s="137"/>
      <c r="B1180" s="137"/>
      <c r="C1180" s="137"/>
      <c r="D1180" s="137"/>
      <c r="E1180" s="137"/>
      <c r="F1180" s="137"/>
      <c r="G1180" s="102"/>
      <c r="H1180" s="137"/>
      <c r="I1180" s="137"/>
      <c r="J1180" s="137"/>
      <c r="K1180" s="170"/>
      <c r="L1180" s="170"/>
      <c r="M1180" s="170"/>
      <c r="N1180" s="137"/>
      <c r="O1180" s="137"/>
    </row>
    <row r="1181" spans="1:15" x14ac:dyDescent="0.35">
      <c r="A1181" s="137"/>
      <c r="B1181" s="137"/>
      <c r="C1181" s="137"/>
      <c r="D1181" s="137"/>
      <c r="E1181" s="137"/>
      <c r="F1181" s="137"/>
      <c r="G1181" s="102"/>
      <c r="H1181" s="137"/>
      <c r="I1181" s="137"/>
      <c r="J1181" s="137"/>
      <c r="K1181" s="170"/>
      <c r="L1181" s="170"/>
      <c r="M1181" s="170"/>
      <c r="N1181" s="137"/>
      <c r="O1181" s="137"/>
    </row>
    <row r="1182" spans="1:15" x14ac:dyDescent="0.35">
      <c r="A1182" s="137"/>
      <c r="B1182" s="137"/>
      <c r="C1182" s="137"/>
      <c r="D1182" s="137"/>
      <c r="E1182" s="137"/>
      <c r="F1182" s="137"/>
      <c r="G1182" s="102"/>
      <c r="H1182" s="137"/>
      <c r="I1182" s="137"/>
      <c r="J1182" s="137"/>
      <c r="K1182" s="170"/>
      <c r="L1182" s="170"/>
      <c r="M1182" s="170"/>
    </row>
    <row r="1183" spans="1:15" x14ac:dyDescent="0.35">
      <c r="A1183" s="137"/>
      <c r="B1183" s="137"/>
      <c r="C1183" s="137"/>
      <c r="D1183" s="137"/>
      <c r="E1183" s="137"/>
      <c r="F1183" s="137"/>
      <c r="G1183" s="102"/>
      <c r="H1183" s="137"/>
      <c r="I1183" s="137"/>
      <c r="J1183" s="137"/>
      <c r="K1183" s="170"/>
      <c r="L1183" s="170"/>
      <c r="M1183" s="170"/>
      <c r="N1183" s="31"/>
      <c r="O1183" s="31"/>
    </row>
    <row r="1184" spans="1:15" x14ac:dyDescent="0.35">
      <c r="A1184" s="137"/>
      <c r="B1184" s="137"/>
      <c r="C1184" s="137"/>
      <c r="D1184" s="137"/>
      <c r="E1184" s="137"/>
      <c r="F1184" s="137"/>
      <c r="G1184" s="102"/>
      <c r="H1184" s="137"/>
      <c r="I1184" s="137"/>
      <c r="J1184" s="137"/>
      <c r="K1184" s="170"/>
      <c r="L1184" s="170"/>
      <c r="M1184" s="170"/>
    </row>
    <row r="1185" spans="1:15" x14ac:dyDescent="0.35">
      <c r="A1185" s="137"/>
      <c r="B1185" s="137"/>
      <c r="C1185" s="137"/>
      <c r="D1185" s="137"/>
      <c r="E1185" s="137"/>
      <c r="F1185" s="137"/>
      <c r="G1185" s="102"/>
      <c r="H1185" s="137"/>
      <c r="I1185" s="137"/>
      <c r="J1185" s="137"/>
      <c r="K1185" s="170"/>
      <c r="L1185" s="170"/>
      <c r="M1185" s="170"/>
    </row>
    <row r="1186" spans="1:15" x14ac:dyDescent="0.35">
      <c r="A1186" s="137"/>
      <c r="B1186" s="137"/>
      <c r="C1186" s="137"/>
      <c r="D1186" s="137"/>
      <c r="E1186" s="137"/>
      <c r="F1186" s="137"/>
      <c r="G1186" s="102"/>
      <c r="H1186" s="137"/>
      <c r="I1186" s="137"/>
      <c r="J1186" s="137"/>
      <c r="K1186" s="170"/>
      <c r="L1186" s="170"/>
      <c r="M1186" s="170"/>
      <c r="N1186" s="137"/>
      <c r="O1186" s="137"/>
    </row>
    <row r="1187" spans="1:15" x14ac:dyDescent="0.35">
      <c r="A1187" s="137"/>
      <c r="B1187" s="137"/>
      <c r="C1187" s="137"/>
      <c r="D1187" s="137"/>
      <c r="E1187" s="137"/>
      <c r="F1187" s="137"/>
      <c r="G1187" s="102"/>
      <c r="H1187" s="137"/>
      <c r="I1187" s="137"/>
      <c r="J1187" s="137"/>
      <c r="K1187" s="170"/>
      <c r="L1187" s="170"/>
      <c r="M1187" s="170"/>
      <c r="N1187" s="31"/>
      <c r="O1187" s="31"/>
    </row>
    <row r="1188" spans="1:15" x14ac:dyDescent="0.35">
      <c r="A1188" s="137"/>
      <c r="B1188" s="137"/>
      <c r="C1188" s="137"/>
      <c r="D1188" s="137"/>
      <c r="E1188" s="137"/>
      <c r="F1188" s="137"/>
      <c r="G1188" s="102"/>
      <c r="H1188" s="137"/>
      <c r="I1188" s="137"/>
      <c r="J1188" s="137"/>
      <c r="K1188" s="170"/>
      <c r="L1188" s="170"/>
      <c r="M1188" s="170"/>
      <c r="N1188" s="31"/>
      <c r="O1188" s="31"/>
    </row>
    <row r="1189" spans="1:15" x14ac:dyDescent="0.35">
      <c r="A1189" s="137"/>
      <c r="B1189" s="137"/>
      <c r="C1189" s="137"/>
      <c r="D1189" s="137"/>
      <c r="E1189" s="137"/>
      <c r="F1189" s="137"/>
      <c r="G1189" s="102"/>
      <c r="H1189" s="137"/>
      <c r="I1189" s="137"/>
      <c r="J1189" s="137"/>
      <c r="K1189" s="170"/>
      <c r="L1189" s="170"/>
      <c r="M1189" s="170"/>
      <c r="N1189" s="31"/>
      <c r="O1189" s="31"/>
    </row>
    <row r="1190" spans="1:15" x14ac:dyDescent="0.35">
      <c r="A1190" s="137"/>
      <c r="B1190" s="137"/>
      <c r="C1190" s="137"/>
      <c r="D1190" s="137"/>
      <c r="E1190" s="137"/>
      <c r="F1190" s="137"/>
      <c r="G1190" s="102"/>
      <c r="H1190" s="137"/>
      <c r="I1190" s="137"/>
      <c r="J1190" s="137"/>
      <c r="K1190" s="170"/>
      <c r="L1190" s="170"/>
      <c r="M1190" s="170"/>
      <c r="N1190" s="137"/>
      <c r="O1190" s="137"/>
    </row>
    <row r="1191" spans="1:15" x14ac:dyDescent="0.35">
      <c r="A1191" s="137"/>
      <c r="B1191" s="137"/>
      <c r="C1191" s="137"/>
      <c r="D1191" s="137"/>
      <c r="E1191" s="137"/>
      <c r="F1191" s="137"/>
      <c r="G1191" s="102"/>
      <c r="H1191" s="137"/>
      <c r="I1191" s="137"/>
      <c r="J1191" s="137"/>
      <c r="K1191" s="170"/>
      <c r="L1191" s="170"/>
      <c r="M1191" s="170"/>
    </row>
    <row r="1192" spans="1:15" x14ac:dyDescent="0.35">
      <c r="A1192" s="137"/>
      <c r="B1192" s="137"/>
      <c r="C1192" s="137"/>
      <c r="D1192" s="137"/>
      <c r="E1192" s="137"/>
      <c r="F1192" s="137"/>
      <c r="G1192" s="102"/>
      <c r="H1192" s="137"/>
      <c r="I1192" s="137"/>
      <c r="J1192" s="137"/>
      <c r="K1192" s="170"/>
      <c r="L1192" s="170"/>
      <c r="M1192" s="170"/>
      <c r="N1192" s="137"/>
      <c r="O1192" s="137"/>
    </row>
    <row r="1193" spans="1:15" x14ac:dyDescent="0.35">
      <c r="A1193" s="137"/>
      <c r="B1193" s="137"/>
      <c r="C1193" s="137"/>
      <c r="D1193" s="137"/>
      <c r="E1193" s="137"/>
      <c r="F1193" s="137"/>
      <c r="G1193" s="102"/>
      <c r="H1193" s="137"/>
      <c r="I1193" s="137"/>
      <c r="J1193" s="137"/>
      <c r="K1193" s="170"/>
      <c r="L1193" s="170"/>
      <c r="M1193" s="170"/>
    </row>
    <row r="1194" spans="1:15" x14ac:dyDescent="0.35">
      <c r="A1194" s="137"/>
      <c r="B1194" s="137"/>
      <c r="C1194" s="137"/>
      <c r="D1194" s="137"/>
      <c r="E1194" s="137"/>
      <c r="F1194" s="137"/>
      <c r="G1194" s="102"/>
      <c r="H1194" s="137"/>
      <c r="I1194" s="137"/>
      <c r="J1194" s="137"/>
      <c r="K1194" s="170"/>
      <c r="L1194" s="170"/>
      <c r="M1194" s="170"/>
    </row>
    <row r="1195" spans="1:15" x14ac:dyDescent="0.35">
      <c r="A1195" s="137"/>
      <c r="B1195" s="137"/>
      <c r="C1195" s="137"/>
      <c r="D1195" s="137"/>
      <c r="E1195" s="137"/>
      <c r="F1195" s="137"/>
      <c r="G1195" s="102"/>
      <c r="H1195" s="137"/>
      <c r="I1195" s="137"/>
      <c r="J1195" s="137"/>
      <c r="K1195" s="170"/>
      <c r="L1195" s="170"/>
      <c r="M1195" s="170"/>
      <c r="N1195" s="137"/>
      <c r="O1195" s="137"/>
    </row>
    <row r="1196" spans="1:15" x14ac:dyDescent="0.35">
      <c r="A1196" s="137"/>
      <c r="B1196" s="137"/>
      <c r="C1196" s="137"/>
      <c r="D1196" s="137"/>
      <c r="E1196" s="137"/>
      <c r="F1196" s="137"/>
      <c r="G1196" s="102"/>
      <c r="H1196" s="137"/>
      <c r="I1196" s="137"/>
      <c r="J1196" s="137"/>
      <c r="K1196" s="170"/>
      <c r="L1196" s="170"/>
      <c r="M1196" s="170"/>
    </row>
    <row r="1197" spans="1:15" x14ac:dyDescent="0.35">
      <c r="A1197" s="137"/>
      <c r="B1197" s="137"/>
      <c r="C1197" s="137"/>
      <c r="D1197" s="137"/>
      <c r="E1197" s="137"/>
      <c r="F1197" s="137"/>
      <c r="G1197" s="102"/>
      <c r="H1197" s="137"/>
      <c r="I1197" s="137"/>
      <c r="J1197" s="137"/>
      <c r="K1197" s="170"/>
      <c r="L1197" s="170"/>
      <c r="M1197" s="170"/>
      <c r="N1197" s="31"/>
      <c r="O1197" s="31"/>
    </row>
    <row r="1198" spans="1:15" x14ac:dyDescent="0.35">
      <c r="A1198" s="137"/>
      <c r="B1198" s="137"/>
      <c r="C1198" s="137"/>
      <c r="D1198" s="137"/>
      <c r="E1198" s="137"/>
      <c r="F1198" s="137"/>
      <c r="G1198" s="102"/>
      <c r="H1198" s="137"/>
      <c r="I1198" s="137"/>
      <c r="J1198" s="137"/>
      <c r="K1198" s="170"/>
      <c r="L1198" s="170"/>
      <c r="M1198" s="170"/>
    </row>
    <row r="1199" spans="1:15" x14ac:dyDescent="0.35">
      <c r="A1199" s="137"/>
      <c r="B1199" s="137"/>
      <c r="C1199" s="137"/>
      <c r="D1199" s="137"/>
      <c r="E1199" s="137"/>
      <c r="F1199" s="137"/>
      <c r="G1199" s="102"/>
      <c r="H1199" s="137"/>
      <c r="I1199" s="137"/>
      <c r="J1199" s="137"/>
      <c r="K1199" s="170"/>
      <c r="L1199" s="170"/>
      <c r="M1199" s="170"/>
    </row>
    <row r="1200" spans="1:15" x14ac:dyDescent="0.35">
      <c r="A1200" s="137"/>
      <c r="B1200" s="137"/>
      <c r="C1200" s="137"/>
      <c r="D1200" s="137"/>
      <c r="E1200" s="137"/>
      <c r="F1200" s="137"/>
      <c r="G1200" s="102"/>
      <c r="H1200" s="137"/>
      <c r="I1200" s="137"/>
      <c r="J1200" s="137"/>
      <c r="K1200" s="170"/>
      <c r="L1200" s="170"/>
      <c r="M1200" s="170"/>
    </row>
    <row r="1201" spans="1:15" x14ac:dyDescent="0.35">
      <c r="A1201" s="137"/>
      <c r="B1201" s="137"/>
      <c r="C1201" s="137"/>
      <c r="D1201" s="137"/>
      <c r="E1201" s="137"/>
      <c r="F1201" s="137"/>
      <c r="G1201" s="102"/>
      <c r="H1201" s="137"/>
      <c r="I1201" s="137"/>
      <c r="J1201" s="137"/>
      <c r="K1201" s="170"/>
      <c r="L1201" s="170"/>
      <c r="M1201" s="170"/>
    </row>
    <row r="1202" spans="1:15" x14ac:dyDescent="0.35">
      <c r="A1202" s="137"/>
      <c r="B1202" s="137"/>
      <c r="C1202" s="137"/>
      <c r="D1202" s="137"/>
      <c r="E1202" s="137"/>
      <c r="F1202" s="137"/>
      <c r="G1202" s="102"/>
      <c r="H1202" s="137"/>
      <c r="I1202" s="137"/>
      <c r="J1202" s="137"/>
      <c r="K1202" s="170"/>
      <c r="L1202" s="170"/>
      <c r="M1202" s="170"/>
    </row>
    <row r="1203" spans="1:15" x14ac:dyDescent="0.35">
      <c r="A1203" s="137"/>
      <c r="B1203" s="137"/>
      <c r="C1203" s="137"/>
      <c r="D1203" s="137"/>
      <c r="E1203" s="137"/>
      <c r="F1203" s="137"/>
      <c r="G1203" s="102"/>
      <c r="H1203" s="137"/>
      <c r="I1203" s="137"/>
      <c r="J1203" s="137"/>
      <c r="K1203" s="170"/>
      <c r="L1203" s="170"/>
      <c r="M1203" s="170"/>
    </row>
    <row r="1204" spans="1:15" x14ac:dyDescent="0.35">
      <c r="A1204" s="137"/>
      <c r="B1204" s="137"/>
      <c r="C1204" s="137"/>
      <c r="D1204" s="137"/>
      <c r="E1204" s="137"/>
      <c r="F1204" s="137"/>
      <c r="G1204" s="102"/>
      <c r="H1204" s="137"/>
      <c r="I1204" s="137"/>
      <c r="J1204" s="137"/>
      <c r="K1204" s="170"/>
      <c r="L1204" s="170"/>
      <c r="M1204" s="170"/>
      <c r="N1204" s="31"/>
      <c r="O1204" s="31"/>
    </row>
    <row r="1205" spans="1:15" x14ac:dyDescent="0.35">
      <c r="A1205" s="137"/>
      <c r="B1205" s="137"/>
      <c r="C1205" s="137"/>
      <c r="D1205" s="137"/>
      <c r="E1205" s="137"/>
      <c r="F1205" s="137"/>
      <c r="G1205" s="102"/>
      <c r="H1205" s="137"/>
      <c r="I1205" s="137"/>
      <c r="J1205" s="137"/>
      <c r="K1205" s="170"/>
      <c r="L1205" s="170"/>
      <c r="M1205" s="170"/>
      <c r="N1205" s="31"/>
      <c r="O1205" s="31"/>
    </row>
    <row r="1206" spans="1:15" x14ac:dyDescent="0.35">
      <c r="A1206" s="137"/>
      <c r="B1206" s="137"/>
      <c r="C1206" s="137"/>
      <c r="D1206" s="137"/>
      <c r="E1206" s="137"/>
      <c r="F1206" s="137"/>
      <c r="G1206" s="102"/>
      <c r="H1206" s="137"/>
      <c r="I1206" s="137"/>
      <c r="J1206" s="137"/>
      <c r="K1206" s="170"/>
      <c r="L1206" s="170"/>
      <c r="M1206" s="170"/>
    </row>
    <row r="1207" spans="1:15" x14ac:dyDescent="0.35">
      <c r="A1207" s="137"/>
      <c r="B1207" s="137"/>
      <c r="C1207" s="137"/>
      <c r="D1207" s="137"/>
      <c r="E1207" s="137"/>
      <c r="F1207" s="137"/>
      <c r="G1207" s="102"/>
      <c r="H1207" s="137"/>
      <c r="I1207" s="137"/>
      <c r="J1207" s="137"/>
      <c r="K1207" s="170"/>
      <c r="L1207" s="170"/>
      <c r="M1207" s="170"/>
    </row>
    <row r="1208" spans="1:15" x14ac:dyDescent="0.35">
      <c r="A1208" s="137"/>
      <c r="B1208" s="137"/>
      <c r="C1208" s="137"/>
      <c r="D1208" s="137"/>
      <c r="E1208" s="137"/>
      <c r="F1208" s="137"/>
      <c r="G1208" s="102"/>
      <c r="H1208" s="137"/>
      <c r="I1208" s="137"/>
      <c r="J1208" s="137"/>
      <c r="K1208" s="170"/>
      <c r="L1208" s="170"/>
      <c r="M1208" s="170"/>
    </row>
    <row r="1209" spans="1:15" x14ac:dyDescent="0.35">
      <c r="A1209" s="137"/>
      <c r="B1209" s="137"/>
      <c r="C1209" s="137"/>
      <c r="D1209" s="137"/>
      <c r="E1209" s="137"/>
      <c r="F1209" s="137"/>
      <c r="G1209" s="102"/>
      <c r="H1209" s="137"/>
      <c r="I1209" s="137"/>
      <c r="J1209" s="137"/>
      <c r="K1209" s="170"/>
      <c r="L1209" s="170"/>
      <c r="M1209" s="170"/>
    </row>
    <row r="1210" spans="1:15" x14ac:dyDescent="0.35">
      <c r="A1210" s="137"/>
      <c r="B1210" s="137"/>
      <c r="C1210" s="137"/>
      <c r="D1210" s="137"/>
      <c r="E1210" s="137"/>
      <c r="F1210" s="137"/>
      <c r="G1210" s="102"/>
      <c r="H1210" s="137"/>
      <c r="I1210" s="137"/>
      <c r="J1210" s="137"/>
      <c r="K1210" s="170"/>
      <c r="L1210" s="170"/>
      <c r="M1210" s="170"/>
    </row>
    <row r="1211" spans="1:15" x14ac:dyDescent="0.35">
      <c r="A1211" s="137"/>
      <c r="B1211" s="137"/>
      <c r="C1211" s="137"/>
      <c r="D1211" s="137"/>
      <c r="E1211" s="137"/>
      <c r="F1211" s="137"/>
      <c r="G1211" s="102"/>
      <c r="H1211" s="137"/>
      <c r="I1211" s="137"/>
      <c r="J1211" s="137"/>
      <c r="K1211" s="170"/>
      <c r="L1211" s="170"/>
      <c r="M1211" s="170"/>
      <c r="N1211" s="31"/>
      <c r="O1211" s="31"/>
    </row>
    <row r="1212" spans="1:15" x14ac:dyDescent="0.35">
      <c r="A1212" s="137"/>
      <c r="B1212" s="137"/>
      <c r="C1212" s="137"/>
      <c r="D1212" s="137"/>
      <c r="E1212" s="137"/>
      <c r="F1212" s="137"/>
      <c r="G1212" s="102"/>
      <c r="H1212" s="137"/>
      <c r="I1212" s="137"/>
      <c r="J1212" s="137"/>
      <c r="K1212" s="170"/>
      <c r="L1212" s="170"/>
      <c r="M1212" s="170"/>
      <c r="N1212" s="137"/>
      <c r="O1212" s="137"/>
    </row>
    <row r="1213" spans="1:15" x14ac:dyDescent="0.35">
      <c r="A1213" s="137"/>
      <c r="B1213" s="137"/>
      <c r="C1213" s="137"/>
      <c r="D1213" s="137"/>
      <c r="E1213" s="137"/>
      <c r="F1213" s="137"/>
      <c r="G1213" s="102"/>
      <c r="H1213" s="137"/>
      <c r="I1213" s="137"/>
      <c r="J1213" s="137"/>
      <c r="K1213" s="170"/>
      <c r="L1213" s="170"/>
      <c r="M1213" s="170"/>
    </row>
    <row r="1214" spans="1:15" x14ac:dyDescent="0.35">
      <c r="A1214" s="137"/>
      <c r="B1214" s="137"/>
      <c r="C1214" s="137"/>
      <c r="D1214" s="137"/>
      <c r="E1214" s="137"/>
      <c r="F1214" s="137"/>
      <c r="G1214" s="102"/>
      <c r="H1214" s="137"/>
      <c r="I1214" s="137"/>
      <c r="J1214" s="137"/>
      <c r="K1214" s="170"/>
      <c r="L1214" s="170"/>
      <c r="M1214" s="170"/>
    </row>
    <row r="1215" spans="1:15" x14ac:dyDescent="0.35">
      <c r="A1215" s="137"/>
      <c r="B1215" s="137"/>
      <c r="C1215" s="137"/>
      <c r="D1215" s="137"/>
      <c r="E1215" s="137"/>
      <c r="F1215" s="137"/>
      <c r="G1215" s="102"/>
      <c r="H1215" s="137"/>
      <c r="I1215" s="137"/>
      <c r="J1215" s="137"/>
      <c r="K1215" s="170"/>
      <c r="L1215" s="170"/>
      <c r="M1215" s="170"/>
    </row>
    <row r="1216" spans="1:15" x14ac:dyDescent="0.35">
      <c r="A1216" s="137"/>
      <c r="B1216" s="137"/>
      <c r="C1216" s="137"/>
      <c r="D1216" s="137"/>
      <c r="E1216" s="137"/>
      <c r="F1216" s="137"/>
      <c r="G1216" s="102"/>
      <c r="H1216" s="137"/>
      <c r="I1216" s="137"/>
      <c r="J1216" s="137"/>
      <c r="K1216" s="170"/>
      <c r="L1216" s="170"/>
      <c r="M1216" s="170"/>
      <c r="N1216" s="31"/>
      <c r="O1216" s="31"/>
    </row>
    <row r="1217" spans="1:15" x14ac:dyDescent="0.35">
      <c r="A1217" s="137"/>
      <c r="B1217" s="137"/>
      <c r="C1217" s="137"/>
      <c r="D1217" s="137"/>
      <c r="E1217" s="137"/>
      <c r="F1217" s="137"/>
      <c r="G1217" s="102"/>
      <c r="H1217" s="137"/>
      <c r="I1217" s="137"/>
      <c r="J1217" s="137"/>
      <c r="K1217" s="170"/>
      <c r="L1217" s="170"/>
      <c r="M1217" s="170"/>
    </row>
    <row r="1218" spans="1:15" x14ac:dyDescent="0.35">
      <c r="A1218" s="137"/>
      <c r="B1218" s="137"/>
      <c r="C1218" s="137"/>
      <c r="D1218" s="137"/>
      <c r="E1218" s="137"/>
      <c r="F1218" s="137"/>
      <c r="G1218" s="102"/>
      <c r="H1218" s="137"/>
      <c r="I1218" s="137"/>
      <c r="J1218" s="137"/>
      <c r="K1218" s="170"/>
      <c r="L1218" s="170"/>
      <c r="M1218" s="170"/>
    </row>
    <row r="1219" spans="1:15" x14ac:dyDescent="0.35">
      <c r="A1219" s="137"/>
      <c r="B1219" s="137"/>
      <c r="C1219" s="137"/>
      <c r="D1219" s="137"/>
      <c r="E1219" s="137"/>
      <c r="F1219" s="137"/>
      <c r="G1219" s="102"/>
      <c r="H1219" s="137"/>
      <c r="I1219" s="137"/>
      <c r="J1219" s="137"/>
      <c r="K1219" s="170"/>
      <c r="L1219" s="170"/>
      <c r="M1219" s="170"/>
    </row>
    <row r="1220" spans="1:15" x14ac:dyDescent="0.35">
      <c r="A1220" s="137"/>
      <c r="B1220" s="137"/>
      <c r="C1220" s="137"/>
      <c r="D1220" s="137"/>
      <c r="E1220" s="137"/>
      <c r="F1220" s="137"/>
      <c r="G1220" s="102"/>
      <c r="H1220" s="137"/>
      <c r="I1220" s="137"/>
      <c r="J1220" s="137"/>
      <c r="K1220" s="170"/>
      <c r="L1220" s="170"/>
      <c r="M1220" s="170"/>
    </row>
    <row r="1221" spans="1:15" x14ac:dyDescent="0.35">
      <c r="A1221" s="137"/>
      <c r="B1221" s="137"/>
      <c r="C1221" s="137"/>
      <c r="D1221" s="137"/>
      <c r="E1221" s="137"/>
      <c r="F1221" s="137"/>
      <c r="G1221" s="102"/>
      <c r="H1221" s="137"/>
      <c r="I1221" s="137"/>
      <c r="J1221" s="137"/>
      <c r="K1221" s="170"/>
      <c r="L1221" s="170"/>
      <c r="M1221" s="170"/>
      <c r="N1221" s="137"/>
      <c r="O1221" s="137"/>
    </row>
    <row r="1222" spans="1:15" x14ac:dyDescent="0.35">
      <c r="A1222" s="137"/>
      <c r="B1222" s="137"/>
      <c r="C1222" s="137"/>
      <c r="D1222" s="137"/>
      <c r="E1222" s="137"/>
      <c r="F1222" s="137"/>
      <c r="G1222" s="102"/>
      <c r="H1222" s="137"/>
      <c r="I1222" s="137"/>
      <c r="J1222" s="137"/>
      <c r="K1222" s="170"/>
      <c r="L1222" s="170"/>
      <c r="M1222" s="170"/>
      <c r="N1222" s="137"/>
      <c r="O1222" s="137"/>
    </row>
    <row r="1223" spans="1:15" x14ac:dyDescent="0.35">
      <c r="A1223" s="137"/>
      <c r="B1223" s="137"/>
      <c r="C1223" s="137"/>
      <c r="D1223" s="137"/>
      <c r="E1223" s="137"/>
      <c r="F1223" s="137"/>
      <c r="G1223" s="102"/>
      <c r="H1223" s="137"/>
      <c r="I1223" s="137"/>
      <c r="J1223" s="137"/>
      <c r="K1223" s="170"/>
      <c r="L1223" s="170"/>
      <c r="M1223" s="170"/>
      <c r="N1223" s="31"/>
      <c r="O1223" s="31"/>
    </row>
    <row r="1224" spans="1:15" x14ac:dyDescent="0.35">
      <c r="A1224" s="137"/>
      <c r="B1224" s="137"/>
      <c r="C1224" s="137"/>
      <c r="D1224" s="137"/>
      <c r="E1224" s="137"/>
      <c r="F1224" s="137"/>
      <c r="G1224" s="102"/>
      <c r="H1224" s="137"/>
      <c r="I1224" s="137"/>
      <c r="J1224" s="137"/>
      <c r="K1224" s="170"/>
      <c r="L1224" s="170"/>
      <c r="M1224" s="170"/>
      <c r="N1224" s="137"/>
      <c r="O1224" s="137"/>
    </row>
    <row r="1225" spans="1:15" x14ac:dyDescent="0.35">
      <c r="A1225" s="137"/>
      <c r="B1225" s="137"/>
      <c r="C1225" s="137"/>
      <c r="D1225" s="137"/>
      <c r="E1225" s="137"/>
      <c r="F1225" s="137"/>
      <c r="G1225" s="102"/>
      <c r="H1225" s="137"/>
      <c r="I1225" s="137"/>
      <c r="J1225" s="137"/>
      <c r="K1225" s="170"/>
      <c r="L1225" s="170"/>
      <c r="M1225" s="170"/>
      <c r="N1225" s="137"/>
      <c r="O1225" s="137"/>
    </row>
    <row r="1226" spans="1:15" x14ac:dyDescent="0.35">
      <c r="A1226" s="137"/>
      <c r="B1226" s="137"/>
      <c r="C1226" s="137"/>
      <c r="D1226" s="137"/>
      <c r="E1226" s="137"/>
      <c r="F1226" s="137"/>
      <c r="G1226" s="102"/>
      <c r="H1226" s="137"/>
      <c r="I1226" s="137"/>
      <c r="J1226" s="137"/>
      <c r="K1226" s="170"/>
      <c r="L1226" s="170"/>
      <c r="M1226" s="170"/>
      <c r="N1226" s="137"/>
      <c r="O1226" s="137"/>
    </row>
    <row r="1227" spans="1:15" x14ac:dyDescent="0.35">
      <c r="A1227" s="137"/>
      <c r="B1227" s="137"/>
      <c r="C1227" s="137"/>
      <c r="D1227" s="137"/>
      <c r="E1227" s="137"/>
      <c r="F1227" s="137"/>
      <c r="G1227" s="102"/>
      <c r="H1227" s="137"/>
      <c r="I1227" s="137"/>
      <c r="J1227" s="137"/>
      <c r="K1227" s="170"/>
      <c r="L1227" s="170"/>
      <c r="M1227" s="170"/>
      <c r="N1227" s="137"/>
      <c r="O1227" s="137"/>
    </row>
    <row r="1228" spans="1:15" x14ac:dyDescent="0.35">
      <c r="A1228" s="137"/>
      <c r="B1228" s="137"/>
      <c r="C1228" s="137"/>
      <c r="D1228" s="137"/>
      <c r="E1228" s="137"/>
      <c r="F1228" s="137"/>
      <c r="G1228" s="102"/>
      <c r="H1228" s="137"/>
      <c r="I1228" s="137"/>
      <c r="J1228" s="137"/>
      <c r="K1228" s="170"/>
      <c r="L1228" s="170"/>
      <c r="M1228" s="170"/>
      <c r="N1228" s="137"/>
      <c r="O1228" s="137"/>
    </row>
    <row r="1229" spans="1:15" x14ac:dyDescent="0.35">
      <c r="A1229" s="137"/>
      <c r="B1229" s="137"/>
      <c r="C1229" s="137"/>
      <c r="D1229" s="137"/>
      <c r="E1229" s="137"/>
      <c r="F1229" s="137"/>
      <c r="G1229" s="102"/>
      <c r="H1229" s="137"/>
      <c r="I1229" s="137"/>
      <c r="J1229" s="137"/>
      <c r="K1229" s="170"/>
      <c r="L1229" s="170"/>
      <c r="M1229" s="170"/>
      <c r="N1229" s="137"/>
      <c r="O1229" s="137"/>
    </row>
    <row r="1230" spans="1:15" x14ac:dyDescent="0.35">
      <c r="A1230" s="137"/>
      <c r="B1230" s="137"/>
      <c r="C1230" s="137"/>
      <c r="D1230" s="137"/>
      <c r="E1230" s="137"/>
      <c r="F1230" s="137"/>
      <c r="G1230" s="102"/>
      <c r="H1230" s="137"/>
      <c r="I1230" s="137"/>
      <c r="J1230" s="137"/>
      <c r="K1230" s="170"/>
      <c r="L1230" s="170"/>
      <c r="M1230" s="170"/>
      <c r="N1230" s="137"/>
      <c r="O1230" s="137"/>
    </row>
    <row r="1231" spans="1:15" x14ac:dyDescent="0.35">
      <c r="A1231" s="137"/>
      <c r="B1231" s="137"/>
      <c r="C1231" s="137"/>
      <c r="D1231" s="137"/>
      <c r="E1231" s="137"/>
      <c r="F1231" s="137"/>
      <c r="G1231" s="102"/>
      <c r="H1231" s="137"/>
      <c r="I1231" s="137"/>
      <c r="J1231" s="137"/>
      <c r="K1231" s="170"/>
      <c r="L1231" s="170"/>
      <c r="M1231" s="170"/>
    </row>
    <row r="1232" spans="1:15" x14ac:dyDescent="0.35">
      <c r="A1232" s="137"/>
      <c r="B1232" s="137"/>
      <c r="C1232" s="137"/>
      <c r="D1232" s="137"/>
      <c r="E1232" s="137"/>
      <c r="F1232" s="137"/>
      <c r="G1232" s="102"/>
      <c r="H1232" s="137"/>
      <c r="I1232" s="137"/>
      <c r="J1232" s="137"/>
      <c r="K1232" s="170"/>
      <c r="L1232" s="170"/>
      <c r="M1232" s="170"/>
      <c r="N1232" s="137"/>
      <c r="O1232" s="137"/>
    </row>
    <row r="1233" spans="1:15" x14ac:dyDescent="0.35">
      <c r="A1233" s="137"/>
      <c r="B1233" s="137"/>
      <c r="C1233" s="137"/>
      <c r="D1233" s="137"/>
      <c r="E1233" s="137"/>
      <c r="F1233" s="137"/>
      <c r="G1233" s="102"/>
      <c r="H1233" s="137"/>
      <c r="I1233" s="137"/>
      <c r="J1233" s="137"/>
      <c r="K1233" s="170"/>
      <c r="L1233" s="170"/>
      <c r="M1233" s="170"/>
      <c r="N1233" s="137"/>
      <c r="O1233" s="137"/>
    </row>
    <row r="1234" spans="1:15" x14ac:dyDescent="0.35">
      <c r="A1234" s="137"/>
      <c r="B1234" s="137"/>
      <c r="C1234" s="137"/>
      <c r="D1234" s="137"/>
      <c r="E1234" s="137"/>
      <c r="F1234" s="137"/>
      <c r="G1234" s="102"/>
      <c r="H1234" s="137"/>
      <c r="I1234" s="137"/>
      <c r="J1234" s="137"/>
      <c r="K1234" s="170"/>
      <c r="L1234" s="170"/>
      <c r="M1234" s="170"/>
      <c r="N1234" s="137"/>
      <c r="O1234" s="137"/>
    </row>
    <row r="1235" spans="1:15" x14ac:dyDescent="0.35">
      <c r="A1235" s="137"/>
      <c r="B1235" s="137"/>
      <c r="C1235" s="137"/>
      <c r="D1235" s="137"/>
      <c r="E1235" s="137"/>
      <c r="F1235" s="137"/>
      <c r="G1235" s="102"/>
      <c r="H1235" s="137"/>
      <c r="I1235" s="137"/>
      <c r="J1235" s="137"/>
      <c r="K1235" s="170"/>
      <c r="L1235" s="170"/>
      <c r="M1235" s="170"/>
      <c r="N1235" s="137"/>
      <c r="O1235" s="137"/>
    </row>
    <row r="1236" spans="1:15" x14ac:dyDescent="0.35">
      <c r="A1236" s="137"/>
      <c r="B1236" s="137"/>
      <c r="C1236" s="137"/>
      <c r="D1236" s="137"/>
      <c r="E1236" s="137"/>
      <c r="F1236" s="137"/>
      <c r="G1236" s="102"/>
      <c r="H1236" s="137"/>
      <c r="I1236" s="137"/>
      <c r="J1236" s="137"/>
      <c r="K1236" s="170"/>
      <c r="L1236" s="170"/>
      <c r="M1236" s="170"/>
      <c r="N1236" s="31"/>
      <c r="O1236" s="31"/>
    </row>
    <row r="1237" spans="1:15" x14ac:dyDescent="0.35">
      <c r="A1237" s="137"/>
      <c r="B1237" s="137"/>
      <c r="C1237" s="137"/>
      <c r="D1237" s="137"/>
      <c r="E1237" s="137"/>
      <c r="F1237" s="137"/>
      <c r="G1237" s="102"/>
      <c r="H1237" s="137"/>
      <c r="I1237" s="137"/>
      <c r="J1237" s="137"/>
      <c r="K1237" s="170"/>
      <c r="L1237" s="170"/>
      <c r="M1237" s="170"/>
      <c r="N1237" s="31"/>
      <c r="O1237" s="31"/>
    </row>
    <row r="1238" spans="1:15" x14ac:dyDescent="0.35">
      <c r="A1238" s="137"/>
      <c r="B1238" s="137"/>
      <c r="C1238" s="137"/>
      <c r="D1238" s="137"/>
      <c r="E1238" s="137"/>
      <c r="F1238" s="137"/>
      <c r="G1238" s="102"/>
      <c r="H1238" s="137"/>
      <c r="I1238" s="137"/>
      <c r="J1238" s="137"/>
      <c r="K1238" s="170"/>
      <c r="L1238" s="170"/>
      <c r="M1238" s="170"/>
    </row>
    <row r="1239" spans="1:15" x14ac:dyDescent="0.35">
      <c r="A1239" s="137"/>
      <c r="B1239" s="137"/>
      <c r="C1239" s="137"/>
      <c r="D1239" s="137"/>
      <c r="E1239" s="137"/>
      <c r="F1239" s="137"/>
      <c r="G1239" s="102"/>
      <c r="H1239" s="137"/>
      <c r="I1239" s="137"/>
      <c r="J1239" s="137"/>
      <c r="K1239" s="170"/>
      <c r="L1239" s="170"/>
      <c r="M1239" s="170"/>
    </row>
    <row r="1240" spans="1:15" x14ac:dyDescent="0.35">
      <c r="A1240" s="137"/>
      <c r="B1240" s="137"/>
      <c r="C1240" s="137"/>
      <c r="D1240" s="137"/>
      <c r="E1240" s="137"/>
      <c r="F1240" s="137"/>
      <c r="G1240" s="102"/>
      <c r="H1240" s="137"/>
      <c r="I1240" s="137"/>
      <c r="J1240" s="137"/>
      <c r="K1240" s="170"/>
      <c r="L1240" s="170"/>
      <c r="M1240" s="170"/>
    </row>
    <row r="1241" spans="1:15" x14ac:dyDescent="0.35">
      <c r="A1241" s="137"/>
      <c r="B1241" s="137"/>
      <c r="C1241" s="137"/>
      <c r="D1241" s="137"/>
      <c r="E1241" s="137"/>
      <c r="F1241" s="137"/>
      <c r="G1241" s="102"/>
      <c r="H1241" s="137"/>
      <c r="I1241" s="137"/>
      <c r="J1241" s="137"/>
      <c r="K1241" s="170"/>
      <c r="L1241" s="170"/>
      <c r="M1241" s="170"/>
      <c r="N1241" s="137"/>
      <c r="O1241" s="137"/>
    </row>
    <row r="1242" spans="1:15" x14ac:dyDescent="0.35">
      <c r="A1242" s="137"/>
      <c r="B1242" s="137"/>
      <c r="C1242" s="137"/>
      <c r="D1242" s="137"/>
      <c r="E1242" s="137"/>
      <c r="F1242" s="137"/>
      <c r="G1242" s="102"/>
      <c r="H1242" s="137"/>
      <c r="I1242" s="137"/>
      <c r="J1242" s="137"/>
      <c r="K1242" s="170"/>
      <c r="L1242" s="170"/>
      <c r="M1242" s="170"/>
    </row>
    <row r="1243" spans="1:15" x14ac:dyDescent="0.35">
      <c r="A1243" s="137"/>
      <c r="B1243" s="137"/>
      <c r="C1243" s="137"/>
      <c r="D1243" s="137"/>
      <c r="E1243" s="137"/>
      <c r="F1243" s="137"/>
      <c r="G1243" s="102"/>
      <c r="H1243" s="137"/>
      <c r="I1243" s="137"/>
      <c r="J1243" s="137"/>
      <c r="K1243" s="170"/>
      <c r="L1243" s="170"/>
      <c r="M1243" s="170"/>
    </row>
    <row r="1244" spans="1:15" x14ac:dyDescent="0.35">
      <c r="A1244" s="137"/>
      <c r="B1244" s="137"/>
      <c r="C1244" s="137"/>
      <c r="D1244" s="137"/>
      <c r="E1244" s="137"/>
      <c r="F1244" s="137"/>
      <c r="G1244" s="102"/>
      <c r="H1244" s="137"/>
      <c r="I1244" s="137"/>
      <c r="J1244" s="137"/>
      <c r="K1244" s="170"/>
      <c r="L1244" s="170"/>
      <c r="M1244" s="170"/>
    </row>
    <row r="1245" spans="1:15" x14ac:dyDescent="0.35">
      <c r="A1245" s="137"/>
      <c r="B1245" s="137"/>
      <c r="C1245" s="137"/>
      <c r="D1245" s="137"/>
      <c r="E1245" s="137"/>
      <c r="F1245" s="137"/>
      <c r="G1245" s="102"/>
      <c r="H1245" s="137"/>
      <c r="I1245" s="137"/>
      <c r="J1245" s="137"/>
      <c r="K1245" s="170"/>
      <c r="L1245" s="170"/>
      <c r="M1245" s="170"/>
      <c r="N1245" s="137"/>
      <c r="O1245" s="137"/>
    </row>
    <row r="1246" spans="1:15" x14ac:dyDescent="0.35">
      <c r="A1246" s="137"/>
      <c r="B1246" s="137"/>
      <c r="C1246" s="137"/>
      <c r="D1246" s="137"/>
      <c r="E1246" s="137"/>
      <c r="F1246" s="137"/>
      <c r="G1246" s="102"/>
      <c r="H1246" s="137"/>
      <c r="I1246" s="137"/>
      <c r="J1246" s="137"/>
      <c r="K1246" s="170"/>
      <c r="L1246" s="170"/>
      <c r="M1246" s="170"/>
      <c r="N1246" s="137"/>
      <c r="O1246" s="137"/>
    </row>
    <row r="1247" spans="1:15" x14ac:dyDescent="0.35">
      <c r="A1247" s="137"/>
      <c r="B1247" s="137"/>
      <c r="C1247" s="137"/>
      <c r="D1247" s="137"/>
      <c r="E1247" s="137"/>
      <c r="F1247" s="137"/>
      <c r="G1247" s="102"/>
      <c r="H1247" s="137"/>
      <c r="I1247" s="137"/>
      <c r="J1247" s="137"/>
      <c r="K1247" s="170"/>
      <c r="L1247" s="170"/>
      <c r="M1247" s="170"/>
      <c r="N1247" s="137"/>
      <c r="O1247" s="137"/>
    </row>
    <row r="1248" spans="1:15" x14ac:dyDescent="0.35">
      <c r="A1248" s="137"/>
      <c r="B1248" s="137"/>
      <c r="C1248" s="137"/>
      <c r="D1248" s="137"/>
      <c r="E1248" s="137"/>
      <c r="F1248" s="137"/>
      <c r="G1248" s="102"/>
      <c r="H1248" s="137"/>
      <c r="I1248" s="137"/>
      <c r="J1248" s="137"/>
      <c r="K1248" s="170"/>
      <c r="L1248" s="170"/>
      <c r="M1248" s="170"/>
      <c r="N1248" s="137"/>
      <c r="O1248" s="137"/>
    </row>
    <row r="1249" spans="1:15" x14ac:dyDescent="0.35">
      <c r="A1249" s="137"/>
      <c r="B1249" s="137"/>
      <c r="C1249" s="137"/>
      <c r="D1249" s="137"/>
      <c r="E1249" s="137"/>
      <c r="F1249" s="137"/>
      <c r="G1249" s="102"/>
      <c r="H1249" s="137"/>
      <c r="I1249" s="137"/>
      <c r="J1249" s="137"/>
      <c r="K1249" s="170"/>
      <c r="L1249" s="170"/>
      <c r="M1249" s="170"/>
      <c r="N1249" s="137"/>
      <c r="O1249" s="137"/>
    </row>
    <row r="1250" spans="1:15" x14ac:dyDescent="0.35">
      <c r="A1250" s="137"/>
      <c r="B1250" s="137"/>
      <c r="C1250" s="137"/>
      <c r="D1250" s="137"/>
      <c r="E1250" s="137"/>
      <c r="F1250" s="137"/>
      <c r="G1250" s="102"/>
      <c r="H1250" s="137"/>
      <c r="I1250" s="137"/>
      <c r="J1250" s="137"/>
      <c r="K1250" s="170"/>
      <c r="L1250" s="170"/>
      <c r="M1250" s="170"/>
      <c r="N1250" s="137"/>
      <c r="O1250" s="137"/>
    </row>
    <row r="1251" spans="1:15" x14ac:dyDescent="0.35">
      <c r="A1251" s="137"/>
      <c r="B1251" s="137"/>
      <c r="C1251" s="137"/>
      <c r="D1251" s="137"/>
      <c r="E1251" s="137"/>
      <c r="F1251" s="137"/>
      <c r="G1251" s="102"/>
      <c r="H1251" s="137"/>
      <c r="I1251" s="137"/>
      <c r="J1251" s="137"/>
      <c r="K1251" s="170"/>
      <c r="L1251" s="170"/>
      <c r="M1251" s="170"/>
      <c r="N1251" s="137"/>
      <c r="O1251" s="137"/>
    </row>
    <row r="1252" spans="1:15" x14ac:dyDescent="0.35">
      <c r="A1252" s="137"/>
      <c r="B1252" s="137"/>
      <c r="C1252" s="137"/>
      <c r="D1252" s="137"/>
      <c r="E1252" s="137"/>
      <c r="F1252" s="137"/>
      <c r="G1252" s="102"/>
      <c r="H1252" s="137"/>
      <c r="I1252" s="137"/>
      <c r="J1252" s="137"/>
      <c r="K1252" s="170"/>
      <c r="L1252" s="170"/>
      <c r="M1252" s="170"/>
      <c r="N1252" s="137"/>
      <c r="O1252" s="137"/>
    </row>
    <row r="1253" spans="1:15" x14ac:dyDescent="0.35">
      <c r="A1253" s="137"/>
      <c r="B1253" s="137"/>
      <c r="C1253" s="137"/>
      <c r="D1253" s="137"/>
      <c r="E1253" s="137"/>
      <c r="F1253" s="137"/>
      <c r="G1253" s="102"/>
      <c r="H1253" s="137"/>
      <c r="I1253" s="137"/>
      <c r="J1253" s="137"/>
      <c r="K1253" s="170"/>
      <c r="L1253" s="170"/>
      <c r="M1253" s="170"/>
      <c r="N1253" s="137"/>
      <c r="O1253" s="137"/>
    </row>
    <row r="1254" spans="1:15" x14ac:dyDescent="0.35">
      <c r="A1254" s="137"/>
      <c r="B1254" s="137"/>
      <c r="C1254" s="137"/>
      <c r="D1254" s="137"/>
      <c r="E1254" s="137"/>
      <c r="F1254" s="137"/>
      <c r="G1254" s="102"/>
      <c r="H1254" s="137"/>
      <c r="I1254" s="137"/>
      <c r="J1254" s="137"/>
      <c r="K1254" s="170"/>
      <c r="L1254" s="170"/>
      <c r="M1254" s="170"/>
      <c r="N1254" s="137"/>
      <c r="O1254" s="137"/>
    </row>
    <row r="1255" spans="1:15" x14ac:dyDescent="0.35">
      <c r="A1255" s="137"/>
      <c r="B1255" s="137"/>
      <c r="C1255" s="137"/>
      <c r="D1255" s="137"/>
      <c r="E1255" s="137"/>
      <c r="F1255" s="137"/>
      <c r="G1255" s="102"/>
      <c r="H1255" s="137"/>
      <c r="I1255" s="137"/>
      <c r="J1255" s="137"/>
      <c r="K1255" s="170"/>
      <c r="L1255" s="170"/>
      <c r="M1255" s="170"/>
      <c r="N1255" s="137"/>
      <c r="O1255" s="137"/>
    </row>
    <row r="1256" spans="1:15" x14ac:dyDescent="0.35">
      <c r="A1256" s="137"/>
      <c r="B1256" s="137"/>
      <c r="C1256" s="137"/>
      <c r="D1256" s="137"/>
      <c r="E1256" s="137"/>
      <c r="F1256" s="137"/>
      <c r="G1256" s="102"/>
      <c r="H1256" s="137"/>
      <c r="I1256" s="137"/>
      <c r="J1256" s="137"/>
      <c r="K1256" s="170"/>
      <c r="L1256" s="170"/>
      <c r="M1256" s="170"/>
      <c r="N1256" s="137"/>
      <c r="O1256" s="137"/>
    </row>
    <row r="1257" spans="1:15" x14ac:dyDescent="0.35">
      <c r="A1257" s="137"/>
      <c r="B1257" s="137"/>
      <c r="C1257" s="137"/>
      <c r="D1257" s="137"/>
      <c r="E1257" s="137"/>
      <c r="F1257" s="137"/>
      <c r="G1257" s="102"/>
      <c r="H1257" s="137"/>
      <c r="I1257" s="137"/>
      <c r="J1257" s="137"/>
      <c r="K1257" s="170"/>
      <c r="L1257" s="170"/>
      <c r="M1257" s="170"/>
      <c r="N1257" s="31"/>
      <c r="O1257" s="31"/>
    </row>
    <row r="1258" spans="1:15" x14ac:dyDescent="0.35">
      <c r="A1258" s="137"/>
      <c r="B1258" s="137"/>
      <c r="C1258" s="137"/>
      <c r="D1258" s="137"/>
      <c r="E1258" s="137"/>
      <c r="F1258" s="137"/>
      <c r="G1258" s="102"/>
      <c r="H1258" s="137"/>
      <c r="I1258" s="137"/>
      <c r="J1258" s="137"/>
      <c r="K1258" s="170"/>
      <c r="L1258" s="170"/>
      <c r="M1258" s="170"/>
    </row>
    <row r="1259" spans="1:15" x14ac:dyDescent="0.35">
      <c r="A1259" s="137"/>
      <c r="B1259" s="137"/>
      <c r="C1259" s="137"/>
      <c r="D1259" s="137"/>
      <c r="E1259" s="137"/>
      <c r="F1259" s="137"/>
      <c r="G1259" s="102"/>
      <c r="H1259" s="137"/>
      <c r="I1259" s="137"/>
      <c r="J1259" s="137"/>
      <c r="K1259" s="170"/>
      <c r="L1259" s="170"/>
      <c r="M1259" s="170"/>
    </row>
    <row r="1260" spans="1:15" x14ac:dyDescent="0.35">
      <c r="A1260" s="137"/>
      <c r="B1260" s="137"/>
      <c r="C1260" s="137"/>
      <c r="D1260" s="137"/>
      <c r="E1260" s="137"/>
      <c r="F1260" s="137"/>
      <c r="G1260" s="102"/>
      <c r="H1260" s="137"/>
      <c r="I1260" s="137"/>
      <c r="J1260" s="137"/>
      <c r="K1260" s="170"/>
      <c r="L1260" s="170"/>
      <c r="M1260" s="170"/>
    </row>
    <row r="1261" spans="1:15" x14ac:dyDescent="0.35">
      <c r="A1261" s="137"/>
      <c r="B1261" s="137"/>
      <c r="C1261" s="137"/>
      <c r="D1261" s="137"/>
      <c r="E1261" s="137"/>
      <c r="F1261" s="137"/>
      <c r="G1261" s="102"/>
      <c r="H1261" s="137"/>
      <c r="I1261" s="137"/>
      <c r="J1261" s="137"/>
      <c r="K1261" s="170"/>
      <c r="L1261" s="170"/>
      <c r="M1261" s="170"/>
      <c r="N1261" s="137"/>
      <c r="O1261" s="137"/>
    </row>
    <row r="1262" spans="1:15" x14ac:dyDescent="0.35">
      <c r="A1262" s="137"/>
      <c r="B1262" s="137"/>
      <c r="C1262" s="137"/>
      <c r="D1262" s="137"/>
      <c r="E1262" s="137"/>
      <c r="F1262" s="137"/>
      <c r="G1262" s="102"/>
      <c r="H1262" s="137"/>
      <c r="I1262" s="137"/>
      <c r="J1262" s="137"/>
      <c r="K1262" s="170"/>
      <c r="L1262" s="170"/>
      <c r="M1262" s="170"/>
    </row>
    <row r="1263" spans="1:15" x14ac:dyDescent="0.35">
      <c r="A1263" s="137"/>
      <c r="B1263" s="137"/>
      <c r="C1263" s="137"/>
      <c r="D1263" s="137"/>
      <c r="E1263" s="137"/>
      <c r="F1263" s="137"/>
      <c r="G1263" s="102"/>
      <c r="H1263" s="137"/>
      <c r="I1263" s="137"/>
      <c r="J1263" s="137"/>
      <c r="K1263" s="170"/>
      <c r="L1263" s="170"/>
      <c r="M1263" s="170"/>
    </row>
    <row r="1264" spans="1:15" x14ac:dyDescent="0.35">
      <c r="A1264" s="137"/>
      <c r="B1264" s="137"/>
      <c r="C1264" s="137"/>
      <c r="D1264" s="137"/>
      <c r="E1264" s="137"/>
      <c r="F1264" s="137"/>
      <c r="G1264" s="102"/>
      <c r="H1264" s="137"/>
      <c r="I1264" s="137"/>
      <c r="J1264" s="137"/>
      <c r="K1264" s="170"/>
      <c r="L1264" s="170"/>
      <c r="M1264" s="170"/>
    </row>
    <row r="1265" spans="1:15" x14ac:dyDescent="0.35">
      <c r="A1265" s="137"/>
      <c r="B1265" s="137"/>
      <c r="C1265" s="137"/>
      <c r="D1265" s="137"/>
      <c r="E1265" s="137"/>
      <c r="F1265" s="137"/>
      <c r="G1265" s="102"/>
      <c r="H1265" s="137"/>
      <c r="I1265" s="137"/>
      <c r="J1265" s="137"/>
      <c r="K1265" s="170"/>
      <c r="L1265" s="170"/>
      <c r="M1265" s="170"/>
      <c r="N1265" s="31"/>
      <c r="O1265" s="31"/>
    </row>
    <row r="1266" spans="1:15" x14ac:dyDescent="0.35">
      <c r="A1266" s="137"/>
      <c r="B1266" s="137"/>
      <c r="C1266" s="137"/>
      <c r="D1266" s="137"/>
      <c r="E1266" s="137"/>
      <c r="F1266" s="137"/>
      <c r="G1266" s="102"/>
      <c r="H1266" s="137"/>
      <c r="I1266" s="137"/>
      <c r="J1266" s="137"/>
      <c r="K1266" s="170"/>
      <c r="L1266" s="170"/>
      <c r="M1266" s="170"/>
      <c r="N1266" s="137"/>
      <c r="O1266" s="137"/>
    </row>
    <row r="1267" spans="1:15" x14ac:dyDescent="0.35">
      <c r="A1267" s="137"/>
      <c r="B1267" s="137"/>
      <c r="C1267" s="137"/>
      <c r="D1267" s="137"/>
      <c r="E1267" s="137"/>
      <c r="F1267" s="137"/>
      <c r="G1267" s="102"/>
      <c r="H1267" s="137"/>
      <c r="I1267" s="137"/>
      <c r="J1267" s="137"/>
      <c r="K1267" s="170"/>
      <c r="L1267" s="170"/>
      <c r="M1267" s="170"/>
      <c r="N1267" s="137"/>
      <c r="O1267" s="137"/>
    </row>
    <row r="1268" spans="1:15" x14ac:dyDescent="0.35">
      <c r="A1268" s="137"/>
      <c r="B1268" s="137"/>
      <c r="C1268" s="137"/>
      <c r="D1268" s="137"/>
      <c r="E1268" s="137"/>
      <c r="F1268" s="137"/>
      <c r="G1268" s="102"/>
      <c r="H1268" s="137"/>
      <c r="I1268" s="137"/>
      <c r="J1268" s="137"/>
      <c r="K1268" s="170"/>
      <c r="L1268" s="170"/>
      <c r="M1268" s="170"/>
      <c r="N1268" s="137"/>
      <c r="O1268" s="137"/>
    </row>
    <row r="1269" spans="1:15" x14ac:dyDescent="0.35">
      <c r="A1269" s="137"/>
      <c r="B1269" s="137"/>
      <c r="C1269" s="137"/>
      <c r="D1269" s="137"/>
      <c r="E1269" s="137"/>
      <c r="F1269" s="137"/>
      <c r="G1269" s="102"/>
      <c r="H1269" s="137"/>
      <c r="I1269" s="137"/>
      <c r="J1269" s="137"/>
      <c r="K1269" s="170"/>
      <c r="L1269" s="170"/>
      <c r="M1269" s="170"/>
      <c r="N1269" s="137"/>
      <c r="O1269" s="137"/>
    </row>
    <row r="1270" spans="1:15" x14ac:dyDescent="0.35">
      <c r="A1270" s="137"/>
      <c r="B1270" s="137"/>
      <c r="C1270" s="137"/>
      <c r="D1270" s="137"/>
      <c r="E1270" s="137"/>
      <c r="F1270" s="137"/>
      <c r="G1270" s="102"/>
      <c r="H1270" s="137"/>
      <c r="I1270" s="137"/>
      <c r="J1270" s="137"/>
      <c r="K1270" s="170"/>
      <c r="L1270" s="170"/>
      <c r="M1270" s="170"/>
    </row>
    <row r="1271" spans="1:15" x14ac:dyDescent="0.35">
      <c r="A1271" s="137"/>
      <c r="B1271" s="137"/>
      <c r="C1271" s="137"/>
      <c r="D1271" s="137"/>
      <c r="E1271" s="137"/>
      <c r="F1271" s="137"/>
      <c r="G1271" s="102"/>
      <c r="H1271" s="137"/>
      <c r="I1271" s="137"/>
      <c r="J1271" s="137"/>
      <c r="K1271" s="170"/>
      <c r="L1271" s="170"/>
      <c r="M1271" s="170"/>
      <c r="N1271" s="137"/>
      <c r="O1271" s="137"/>
    </row>
    <row r="1272" spans="1:15" x14ac:dyDescent="0.35">
      <c r="A1272" s="137"/>
      <c r="B1272" s="137"/>
      <c r="C1272" s="137"/>
      <c r="D1272" s="137"/>
      <c r="E1272" s="137"/>
      <c r="F1272" s="137"/>
      <c r="G1272" s="102"/>
      <c r="H1272" s="137"/>
      <c r="I1272" s="137"/>
      <c r="J1272" s="137"/>
      <c r="K1272" s="170"/>
      <c r="L1272" s="170"/>
      <c r="M1272" s="170"/>
    </row>
    <row r="1273" spans="1:15" x14ac:dyDescent="0.35">
      <c r="A1273" s="137"/>
      <c r="B1273" s="137"/>
      <c r="C1273" s="137"/>
      <c r="D1273" s="137"/>
      <c r="E1273" s="137"/>
      <c r="F1273" s="137"/>
      <c r="G1273" s="102"/>
      <c r="H1273" s="137"/>
      <c r="I1273" s="137"/>
      <c r="J1273" s="137"/>
      <c r="K1273" s="170"/>
      <c r="L1273" s="170"/>
      <c r="M1273" s="170"/>
    </row>
    <row r="1274" spans="1:15" x14ac:dyDescent="0.35">
      <c r="A1274" s="137"/>
      <c r="B1274" s="137"/>
      <c r="C1274" s="137"/>
      <c r="D1274" s="137"/>
      <c r="E1274" s="137"/>
      <c r="F1274" s="137"/>
      <c r="G1274" s="102"/>
      <c r="H1274" s="137"/>
      <c r="I1274" s="137"/>
      <c r="J1274" s="137"/>
      <c r="K1274" s="170"/>
      <c r="L1274" s="170"/>
      <c r="M1274" s="170"/>
    </row>
    <row r="1275" spans="1:15" x14ac:dyDescent="0.35">
      <c r="A1275" s="137"/>
      <c r="B1275" s="137"/>
      <c r="C1275" s="137"/>
      <c r="D1275" s="137"/>
      <c r="E1275" s="137"/>
      <c r="F1275" s="137"/>
      <c r="G1275" s="102"/>
      <c r="H1275" s="137"/>
      <c r="I1275" s="137"/>
      <c r="J1275" s="137"/>
      <c r="K1275" s="170"/>
      <c r="L1275" s="170"/>
      <c r="M1275" s="170"/>
    </row>
    <row r="1276" spans="1:15" x14ac:dyDescent="0.35">
      <c r="A1276" s="137"/>
      <c r="B1276" s="137"/>
      <c r="C1276" s="137"/>
      <c r="D1276" s="137"/>
      <c r="E1276" s="137"/>
      <c r="F1276" s="137"/>
      <c r="G1276" s="102"/>
      <c r="H1276" s="137"/>
      <c r="I1276" s="137"/>
      <c r="J1276" s="137"/>
      <c r="K1276" s="170"/>
      <c r="L1276" s="170"/>
      <c r="M1276" s="170"/>
    </row>
    <row r="1277" spans="1:15" x14ac:dyDescent="0.35">
      <c r="A1277" s="137"/>
      <c r="B1277" s="137"/>
      <c r="C1277" s="137"/>
      <c r="D1277" s="137"/>
      <c r="E1277" s="137"/>
      <c r="F1277" s="137"/>
      <c r="G1277" s="102"/>
      <c r="H1277" s="137"/>
      <c r="I1277" s="137"/>
      <c r="J1277" s="137"/>
      <c r="K1277" s="170"/>
      <c r="L1277" s="170"/>
      <c r="M1277" s="170"/>
    </row>
    <row r="1278" spans="1:15" x14ac:dyDescent="0.35">
      <c r="A1278" s="137"/>
      <c r="B1278" s="137"/>
      <c r="C1278" s="137"/>
      <c r="D1278" s="137"/>
      <c r="E1278" s="137"/>
      <c r="F1278" s="137"/>
      <c r="G1278" s="102"/>
      <c r="H1278" s="137"/>
      <c r="I1278" s="137"/>
      <c r="J1278" s="137"/>
      <c r="K1278" s="170"/>
      <c r="L1278" s="170"/>
      <c r="M1278" s="170"/>
    </row>
    <row r="1279" spans="1:15" x14ac:dyDescent="0.35">
      <c r="A1279" s="137"/>
      <c r="B1279" s="137"/>
      <c r="C1279" s="137"/>
      <c r="D1279" s="137"/>
      <c r="E1279" s="137"/>
      <c r="F1279" s="137"/>
      <c r="G1279" s="102"/>
      <c r="H1279" s="137"/>
      <c r="I1279" s="137"/>
      <c r="J1279" s="137"/>
      <c r="K1279" s="170"/>
      <c r="L1279" s="170"/>
      <c r="M1279" s="170"/>
    </row>
    <row r="1280" spans="1:15" x14ac:dyDescent="0.35">
      <c r="A1280" s="137"/>
      <c r="B1280" s="137"/>
      <c r="C1280" s="137"/>
      <c r="D1280" s="137"/>
      <c r="E1280" s="137"/>
      <c r="F1280" s="137"/>
      <c r="G1280" s="102"/>
      <c r="H1280" s="137"/>
      <c r="I1280" s="137"/>
      <c r="J1280" s="137"/>
      <c r="K1280" s="170"/>
      <c r="L1280" s="170"/>
      <c r="M1280" s="170"/>
    </row>
    <row r="1281" spans="1:15" x14ac:dyDescent="0.35">
      <c r="A1281" s="137"/>
      <c r="B1281" s="137"/>
      <c r="C1281" s="137"/>
      <c r="D1281" s="137"/>
      <c r="E1281" s="137"/>
      <c r="F1281" s="137"/>
      <c r="G1281" s="102"/>
      <c r="H1281" s="137"/>
      <c r="I1281" s="137"/>
      <c r="J1281" s="137"/>
      <c r="K1281" s="170"/>
      <c r="L1281" s="170"/>
      <c r="M1281" s="170"/>
      <c r="N1281" s="137"/>
      <c r="O1281" s="137"/>
    </row>
    <row r="1282" spans="1:15" x14ac:dyDescent="0.35">
      <c r="A1282" s="137"/>
      <c r="B1282" s="137"/>
      <c r="C1282" s="137"/>
      <c r="D1282" s="137"/>
      <c r="E1282" s="137"/>
      <c r="F1282" s="137"/>
      <c r="G1282" s="102"/>
      <c r="H1282" s="137"/>
      <c r="I1282" s="137"/>
      <c r="J1282" s="137"/>
      <c r="K1282" s="170"/>
      <c r="L1282" s="170"/>
      <c r="M1282" s="170"/>
    </row>
    <row r="1283" spans="1:15" x14ac:dyDescent="0.35">
      <c r="A1283" s="137"/>
      <c r="B1283" s="137"/>
      <c r="C1283" s="137"/>
      <c r="D1283" s="137"/>
      <c r="E1283" s="137"/>
      <c r="F1283" s="137"/>
      <c r="G1283" s="102"/>
      <c r="H1283" s="137"/>
      <c r="I1283" s="137"/>
      <c r="J1283" s="137"/>
      <c r="K1283" s="170"/>
      <c r="L1283" s="170"/>
      <c r="M1283" s="170"/>
    </row>
    <row r="1284" spans="1:15" x14ac:dyDescent="0.35">
      <c r="A1284" s="137"/>
      <c r="B1284" s="137"/>
      <c r="C1284" s="137"/>
      <c r="D1284" s="137"/>
      <c r="E1284" s="137"/>
      <c r="F1284" s="137"/>
      <c r="G1284" s="102"/>
      <c r="H1284" s="137"/>
      <c r="I1284" s="137"/>
      <c r="J1284" s="137"/>
      <c r="K1284" s="170"/>
      <c r="L1284" s="170"/>
      <c r="M1284" s="170"/>
      <c r="N1284" s="137"/>
      <c r="O1284" s="137"/>
    </row>
    <row r="1285" spans="1:15" x14ac:dyDescent="0.35">
      <c r="A1285" s="137"/>
      <c r="B1285" s="137"/>
      <c r="C1285" s="137"/>
      <c r="D1285" s="137"/>
      <c r="E1285" s="137"/>
      <c r="F1285" s="137"/>
      <c r="G1285" s="102"/>
      <c r="H1285" s="137"/>
      <c r="I1285" s="137"/>
      <c r="J1285" s="137"/>
      <c r="K1285" s="170"/>
      <c r="L1285" s="170"/>
      <c r="M1285" s="170"/>
    </row>
    <row r="1286" spans="1:15" x14ac:dyDescent="0.35">
      <c r="A1286" s="137"/>
      <c r="B1286" s="137"/>
      <c r="C1286" s="137"/>
      <c r="D1286" s="137"/>
      <c r="E1286" s="137"/>
      <c r="F1286" s="137"/>
      <c r="G1286" s="102"/>
      <c r="H1286" s="137"/>
      <c r="I1286" s="137"/>
      <c r="J1286" s="137"/>
      <c r="K1286" s="170"/>
      <c r="L1286" s="170"/>
      <c r="M1286" s="170"/>
      <c r="N1286" s="137"/>
      <c r="O1286" s="137"/>
    </row>
    <row r="1287" spans="1:15" x14ac:dyDescent="0.35">
      <c r="A1287" s="137"/>
      <c r="B1287" s="137"/>
      <c r="C1287" s="137"/>
      <c r="D1287" s="137"/>
      <c r="E1287" s="137"/>
      <c r="F1287" s="137"/>
      <c r="G1287" s="102"/>
      <c r="H1287" s="137"/>
      <c r="I1287" s="137"/>
      <c r="J1287" s="137"/>
      <c r="K1287" s="170"/>
      <c r="L1287" s="170"/>
      <c r="M1287" s="170"/>
    </row>
    <row r="1288" spans="1:15" x14ac:dyDescent="0.35">
      <c r="A1288" s="137"/>
      <c r="B1288" s="137"/>
      <c r="C1288" s="137"/>
      <c r="D1288" s="137"/>
      <c r="E1288" s="137"/>
      <c r="F1288" s="137"/>
      <c r="G1288" s="102"/>
      <c r="H1288" s="137"/>
      <c r="I1288" s="137"/>
      <c r="J1288" s="137"/>
      <c r="K1288" s="170"/>
      <c r="L1288" s="170"/>
      <c r="M1288" s="170"/>
    </row>
    <row r="1289" spans="1:15" x14ac:dyDescent="0.35">
      <c r="A1289" s="137"/>
      <c r="B1289" s="137"/>
      <c r="C1289" s="137"/>
      <c r="D1289" s="137"/>
      <c r="E1289" s="137"/>
      <c r="F1289" s="137"/>
      <c r="G1289" s="102"/>
      <c r="H1289" s="137"/>
      <c r="I1289" s="137"/>
      <c r="J1289" s="137"/>
      <c r="K1289" s="170"/>
      <c r="L1289" s="170"/>
      <c r="M1289" s="170"/>
    </row>
    <row r="1290" spans="1:15" x14ac:dyDescent="0.35">
      <c r="A1290" s="137"/>
      <c r="B1290" s="137"/>
      <c r="C1290" s="137"/>
      <c r="D1290" s="137"/>
      <c r="E1290" s="137"/>
      <c r="F1290" s="137"/>
      <c r="G1290" s="102"/>
      <c r="H1290" s="137"/>
      <c r="I1290" s="137"/>
      <c r="J1290" s="137"/>
      <c r="K1290" s="170"/>
      <c r="L1290" s="170"/>
      <c r="M1290" s="170"/>
    </row>
    <row r="1291" spans="1:15" x14ac:dyDescent="0.35">
      <c r="A1291" s="137"/>
      <c r="B1291" s="137"/>
      <c r="C1291" s="137"/>
      <c r="D1291" s="137"/>
      <c r="E1291" s="137"/>
      <c r="F1291" s="137"/>
      <c r="G1291" s="102"/>
      <c r="H1291" s="137"/>
      <c r="I1291" s="137"/>
      <c r="J1291" s="137"/>
      <c r="K1291" s="170"/>
      <c r="L1291" s="170"/>
      <c r="M1291" s="170"/>
    </row>
    <row r="1292" spans="1:15" x14ac:dyDescent="0.35">
      <c r="A1292" s="137"/>
      <c r="B1292" s="137"/>
      <c r="C1292" s="137"/>
      <c r="D1292" s="137"/>
      <c r="E1292" s="137"/>
      <c r="F1292" s="137"/>
      <c r="G1292" s="102"/>
      <c r="H1292" s="137"/>
      <c r="I1292" s="137"/>
      <c r="J1292" s="137"/>
      <c r="K1292" s="170"/>
      <c r="L1292" s="170"/>
      <c r="M1292" s="170"/>
      <c r="N1292" s="137"/>
      <c r="O1292" s="137"/>
    </row>
    <row r="1293" spans="1:15" x14ac:dyDescent="0.35">
      <c r="A1293" s="137"/>
      <c r="B1293" s="137"/>
      <c r="C1293" s="137"/>
      <c r="D1293" s="137"/>
      <c r="E1293" s="137"/>
      <c r="F1293" s="137"/>
      <c r="G1293" s="102"/>
      <c r="H1293" s="137"/>
      <c r="I1293" s="137"/>
      <c r="J1293" s="137"/>
      <c r="K1293" s="170"/>
      <c r="L1293" s="170"/>
      <c r="M1293" s="170"/>
    </row>
    <row r="1294" spans="1:15" x14ac:dyDescent="0.35">
      <c r="A1294" s="137"/>
      <c r="B1294" s="137"/>
      <c r="C1294" s="137"/>
      <c r="D1294" s="137"/>
      <c r="E1294" s="137"/>
      <c r="F1294" s="137"/>
      <c r="G1294" s="102"/>
      <c r="H1294" s="137"/>
      <c r="I1294" s="137"/>
      <c r="J1294" s="137"/>
      <c r="K1294" s="170"/>
      <c r="L1294" s="170"/>
      <c r="M1294" s="170"/>
    </row>
    <row r="1295" spans="1:15" x14ac:dyDescent="0.35">
      <c r="A1295" s="137"/>
      <c r="B1295" s="137"/>
      <c r="C1295" s="137"/>
      <c r="D1295" s="137"/>
      <c r="E1295" s="137"/>
      <c r="F1295" s="137"/>
      <c r="G1295" s="102"/>
      <c r="H1295" s="137"/>
      <c r="I1295" s="137"/>
      <c r="J1295" s="137"/>
      <c r="K1295" s="170"/>
      <c r="L1295" s="170"/>
      <c r="M1295" s="170"/>
    </row>
    <row r="1296" spans="1:15" x14ac:dyDescent="0.35">
      <c r="A1296" s="137"/>
      <c r="B1296" s="137"/>
      <c r="C1296" s="137"/>
      <c r="D1296" s="137"/>
      <c r="E1296" s="137"/>
      <c r="F1296" s="137"/>
      <c r="G1296" s="102"/>
      <c r="H1296" s="137"/>
      <c r="I1296" s="137"/>
      <c r="J1296" s="137"/>
      <c r="K1296" s="170"/>
      <c r="L1296" s="170"/>
      <c r="M1296" s="170"/>
    </row>
    <row r="1297" spans="1:15" x14ac:dyDescent="0.35">
      <c r="A1297" s="137"/>
      <c r="B1297" s="137"/>
      <c r="C1297" s="137"/>
      <c r="D1297" s="137"/>
      <c r="E1297" s="137"/>
      <c r="F1297" s="137"/>
      <c r="G1297" s="102"/>
      <c r="H1297" s="137"/>
      <c r="I1297" s="137"/>
      <c r="J1297" s="137"/>
      <c r="K1297" s="170"/>
      <c r="L1297" s="170"/>
      <c r="M1297" s="170"/>
    </row>
    <row r="1298" spans="1:15" x14ac:dyDescent="0.35">
      <c r="A1298" s="137"/>
      <c r="B1298" s="137"/>
      <c r="C1298" s="137"/>
      <c r="D1298" s="137"/>
      <c r="E1298" s="137"/>
      <c r="F1298" s="137"/>
      <c r="G1298" s="102"/>
      <c r="H1298" s="137"/>
      <c r="I1298" s="137"/>
      <c r="J1298" s="137"/>
      <c r="K1298" s="170"/>
      <c r="L1298" s="170"/>
      <c r="M1298" s="170"/>
    </row>
    <row r="1299" spans="1:15" x14ac:dyDescent="0.35">
      <c r="A1299" s="137"/>
      <c r="B1299" s="137"/>
      <c r="C1299" s="137"/>
      <c r="D1299" s="137"/>
      <c r="E1299" s="137"/>
      <c r="F1299" s="137"/>
      <c r="G1299" s="102"/>
      <c r="H1299" s="137"/>
      <c r="I1299" s="137"/>
      <c r="J1299" s="137"/>
      <c r="K1299" s="170"/>
      <c r="L1299" s="170"/>
      <c r="M1299" s="170"/>
    </row>
    <row r="1300" spans="1:15" x14ac:dyDescent="0.35">
      <c r="A1300" s="137"/>
      <c r="B1300" s="137"/>
      <c r="C1300" s="137"/>
      <c r="D1300" s="137"/>
      <c r="E1300" s="137"/>
      <c r="F1300" s="137"/>
      <c r="G1300" s="102"/>
      <c r="H1300" s="137"/>
      <c r="I1300" s="137"/>
      <c r="J1300" s="137"/>
      <c r="K1300" s="170"/>
      <c r="L1300" s="170"/>
      <c r="M1300" s="170"/>
    </row>
    <row r="1301" spans="1:15" x14ac:dyDescent="0.35">
      <c r="A1301" s="137"/>
      <c r="B1301" s="137"/>
      <c r="C1301" s="137"/>
      <c r="D1301" s="137"/>
      <c r="E1301" s="137"/>
      <c r="F1301" s="137"/>
      <c r="G1301" s="102"/>
      <c r="H1301" s="137"/>
      <c r="I1301" s="137"/>
      <c r="J1301" s="137"/>
      <c r="K1301" s="170"/>
      <c r="L1301" s="170"/>
      <c r="M1301" s="170"/>
    </row>
    <row r="1302" spans="1:15" x14ac:dyDescent="0.35">
      <c r="A1302" s="137"/>
      <c r="B1302" s="137"/>
      <c r="C1302" s="137"/>
      <c r="D1302" s="137"/>
      <c r="E1302" s="137"/>
      <c r="F1302" s="137"/>
      <c r="G1302" s="102"/>
      <c r="H1302" s="137"/>
      <c r="I1302" s="137"/>
      <c r="J1302" s="137"/>
      <c r="K1302" s="170"/>
      <c r="L1302" s="170"/>
      <c r="M1302" s="170"/>
    </row>
    <row r="1303" spans="1:15" x14ac:dyDescent="0.35">
      <c r="A1303" s="137"/>
      <c r="B1303" s="137"/>
      <c r="C1303" s="137"/>
      <c r="D1303" s="137"/>
      <c r="E1303" s="137"/>
      <c r="F1303" s="137"/>
      <c r="G1303" s="102"/>
      <c r="H1303" s="137"/>
      <c r="I1303" s="137"/>
      <c r="J1303" s="137"/>
      <c r="K1303" s="170"/>
      <c r="L1303" s="170"/>
      <c r="M1303" s="170"/>
    </row>
    <row r="1304" spans="1:15" x14ac:dyDescent="0.35">
      <c r="A1304" s="137"/>
      <c r="B1304" s="137"/>
      <c r="C1304" s="137"/>
      <c r="D1304" s="137"/>
      <c r="E1304" s="137"/>
      <c r="F1304" s="137"/>
      <c r="G1304" s="102"/>
      <c r="H1304" s="137"/>
      <c r="I1304" s="137"/>
      <c r="J1304" s="137"/>
      <c r="K1304" s="170"/>
      <c r="L1304" s="170"/>
      <c r="M1304" s="170"/>
    </row>
    <row r="1305" spans="1:15" x14ac:dyDescent="0.35">
      <c r="A1305" s="137"/>
      <c r="B1305" s="137"/>
      <c r="C1305" s="137"/>
      <c r="D1305" s="137"/>
      <c r="E1305" s="137"/>
      <c r="F1305" s="137"/>
      <c r="G1305" s="102"/>
      <c r="H1305" s="137"/>
      <c r="I1305" s="137"/>
      <c r="J1305" s="137"/>
      <c r="K1305" s="170"/>
      <c r="L1305" s="170"/>
      <c r="M1305" s="170"/>
      <c r="N1305" s="137"/>
      <c r="O1305" s="137"/>
    </row>
    <row r="1306" spans="1:15" x14ac:dyDescent="0.35">
      <c r="A1306" s="137"/>
      <c r="B1306" s="137"/>
      <c r="C1306" s="137"/>
      <c r="D1306" s="137"/>
      <c r="E1306" s="137"/>
      <c r="F1306" s="137"/>
      <c r="G1306" s="102"/>
      <c r="H1306" s="137"/>
      <c r="I1306" s="137"/>
      <c r="J1306" s="137"/>
      <c r="K1306" s="170"/>
      <c r="L1306" s="170"/>
      <c r="M1306" s="170"/>
    </row>
    <row r="1307" spans="1:15" x14ac:dyDescent="0.35">
      <c r="A1307" s="137"/>
      <c r="B1307" s="137"/>
      <c r="C1307" s="137"/>
      <c r="D1307" s="137"/>
      <c r="E1307" s="137"/>
      <c r="F1307" s="137"/>
      <c r="G1307" s="102"/>
      <c r="H1307" s="137"/>
      <c r="I1307" s="137"/>
      <c r="J1307" s="137"/>
      <c r="K1307" s="170"/>
      <c r="L1307" s="170"/>
      <c r="M1307" s="170"/>
    </row>
    <row r="1308" spans="1:15" x14ac:dyDescent="0.35">
      <c r="A1308" s="137"/>
      <c r="B1308" s="137"/>
      <c r="C1308" s="137"/>
      <c r="D1308" s="137"/>
      <c r="E1308" s="137"/>
      <c r="F1308" s="137"/>
      <c r="G1308" s="102"/>
      <c r="H1308" s="137"/>
      <c r="I1308" s="137"/>
      <c r="J1308" s="137"/>
      <c r="K1308" s="170"/>
      <c r="L1308" s="170"/>
      <c r="M1308" s="170"/>
      <c r="N1308" s="137"/>
      <c r="O1308" s="137"/>
    </row>
    <row r="1309" spans="1:15" x14ac:dyDescent="0.35">
      <c r="A1309" s="137"/>
      <c r="B1309" s="137"/>
      <c r="C1309" s="137"/>
      <c r="D1309" s="137"/>
      <c r="E1309" s="137"/>
      <c r="F1309" s="137"/>
      <c r="G1309" s="102"/>
      <c r="H1309" s="137"/>
      <c r="I1309" s="137"/>
      <c r="J1309" s="137"/>
      <c r="K1309" s="170"/>
      <c r="L1309" s="170"/>
      <c r="M1309" s="170"/>
    </row>
    <row r="1310" spans="1:15" x14ac:dyDescent="0.35">
      <c r="A1310" s="137"/>
      <c r="B1310" s="137"/>
      <c r="C1310" s="137"/>
      <c r="D1310" s="137"/>
      <c r="E1310" s="137"/>
      <c r="F1310" s="137"/>
      <c r="G1310" s="102"/>
      <c r="H1310" s="137"/>
      <c r="I1310" s="137"/>
      <c r="J1310" s="137"/>
      <c r="K1310" s="170"/>
      <c r="L1310" s="170"/>
      <c r="M1310" s="170"/>
    </row>
    <row r="1311" spans="1:15" x14ac:dyDescent="0.35">
      <c r="A1311" s="137"/>
      <c r="B1311" s="137"/>
      <c r="C1311" s="137"/>
      <c r="D1311" s="137"/>
      <c r="E1311" s="137"/>
      <c r="F1311" s="137"/>
      <c r="G1311" s="102"/>
      <c r="H1311" s="137"/>
      <c r="I1311" s="137"/>
      <c r="J1311" s="137"/>
      <c r="K1311" s="170"/>
      <c r="L1311" s="170"/>
      <c r="M1311" s="170"/>
      <c r="N1311" s="137"/>
      <c r="O1311" s="137"/>
    </row>
    <row r="1312" spans="1:15" x14ac:dyDescent="0.35">
      <c r="A1312" s="137"/>
      <c r="B1312" s="137"/>
      <c r="C1312" s="137"/>
      <c r="D1312" s="137"/>
      <c r="E1312" s="137"/>
      <c r="F1312" s="137"/>
      <c r="G1312" s="102"/>
      <c r="H1312" s="137"/>
      <c r="I1312" s="137"/>
      <c r="J1312" s="137"/>
      <c r="K1312" s="170"/>
      <c r="L1312" s="170"/>
      <c r="M1312" s="170"/>
      <c r="N1312" s="137"/>
      <c r="O1312" s="137"/>
    </row>
    <row r="1313" spans="1:15" x14ac:dyDescent="0.35">
      <c r="A1313" s="137"/>
      <c r="B1313" s="137"/>
      <c r="C1313" s="137"/>
      <c r="D1313" s="137"/>
      <c r="E1313" s="137"/>
      <c r="F1313" s="137"/>
      <c r="G1313" s="102"/>
      <c r="H1313" s="137"/>
      <c r="I1313" s="137"/>
      <c r="J1313" s="137"/>
      <c r="K1313" s="170"/>
      <c r="L1313" s="170"/>
      <c r="M1313" s="170"/>
    </row>
    <row r="1314" spans="1:15" x14ac:dyDescent="0.35">
      <c r="A1314" s="137"/>
      <c r="B1314" s="137"/>
      <c r="C1314" s="137"/>
      <c r="D1314" s="137"/>
      <c r="E1314" s="137"/>
      <c r="F1314" s="137"/>
      <c r="G1314" s="102"/>
      <c r="H1314" s="137"/>
      <c r="I1314" s="137"/>
      <c r="J1314" s="137"/>
      <c r="K1314" s="170"/>
      <c r="L1314" s="170"/>
      <c r="M1314" s="170"/>
    </row>
    <row r="1315" spans="1:15" x14ac:dyDescent="0.35">
      <c r="A1315" s="137"/>
      <c r="B1315" s="137"/>
      <c r="C1315" s="137"/>
      <c r="D1315" s="137"/>
      <c r="E1315" s="137"/>
      <c r="F1315" s="137"/>
      <c r="G1315" s="102"/>
      <c r="H1315" s="137"/>
      <c r="I1315" s="137"/>
      <c r="J1315" s="137"/>
      <c r="K1315" s="170"/>
      <c r="L1315" s="170"/>
      <c r="M1315" s="170"/>
      <c r="N1315" s="137"/>
      <c r="O1315" s="137"/>
    </row>
    <row r="1316" spans="1:15" x14ac:dyDescent="0.35">
      <c r="A1316" s="137"/>
      <c r="B1316" s="137"/>
      <c r="C1316" s="137"/>
      <c r="D1316" s="137"/>
      <c r="E1316" s="137"/>
      <c r="F1316" s="137"/>
      <c r="G1316" s="102"/>
      <c r="H1316" s="137"/>
      <c r="I1316" s="137"/>
      <c r="J1316" s="137"/>
      <c r="K1316" s="170"/>
      <c r="L1316" s="170"/>
      <c r="M1316" s="170"/>
      <c r="N1316" s="137"/>
      <c r="O1316" s="137"/>
    </row>
    <row r="1317" spans="1:15" x14ac:dyDescent="0.35">
      <c r="A1317" s="137"/>
      <c r="B1317" s="137"/>
      <c r="C1317" s="137"/>
      <c r="D1317" s="137"/>
      <c r="E1317" s="137"/>
      <c r="F1317" s="137"/>
      <c r="G1317" s="102"/>
      <c r="H1317" s="137"/>
      <c r="I1317" s="137"/>
      <c r="J1317" s="137"/>
      <c r="K1317" s="170"/>
      <c r="L1317" s="170"/>
      <c r="M1317" s="170"/>
      <c r="N1317" s="137"/>
      <c r="O1317" s="137"/>
    </row>
    <row r="1318" spans="1:15" x14ac:dyDescent="0.35">
      <c r="A1318" s="137"/>
      <c r="B1318" s="137"/>
      <c r="C1318" s="137"/>
      <c r="D1318" s="137"/>
      <c r="E1318" s="137"/>
      <c r="F1318" s="137"/>
      <c r="G1318" s="102"/>
      <c r="H1318" s="137"/>
      <c r="I1318" s="137"/>
      <c r="J1318" s="137"/>
      <c r="K1318" s="170"/>
      <c r="L1318" s="170"/>
      <c r="M1318" s="170"/>
      <c r="N1318" s="137"/>
      <c r="O1318" s="137"/>
    </row>
    <row r="1319" spans="1:15" x14ac:dyDescent="0.35">
      <c r="A1319" s="137"/>
      <c r="B1319" s="137"/>
      <c r="C1319" s="137"/>
      <c r="D1319" s="137"/>
      <c r="E1319" s="137"/>
      <c r="F1319" s="137"/>
      <c r="G1319" s="102"/>
      <c r="H1319" s="137"/>
      <c r="I1319" s="137"/>
      <c r="J1319" s="137"/>
      <c r="K1319" s="170"/>
      <c r="L1319" s="170"/>
      <c r="M1319" s="170"/>
      <c r="N1319" s="137"/>
      <c r="O1319" s="137"/>
    </row>
    <row r="1320" spans="1:15" x14ac:dyDescent="0.35">
      <c r="A1320" s="137"/>
      <c r="B1320" s="137"/>
      <c r="C1320" s="137"/>
      <c r="D1320" s="137"/>
      <c r="E1320" s="137"/>
      <c r="F1320" s="137"/>
      <c r="G1320" s="102"/>
      <c r="H1320" s="137"/>
      <c r="I1320" s="137"/>
      <c r="J1320" s="137"/>
      <c r="K1320" s="170"/>
      <c r="L1320" s="170"/>
      <c r="M1320" s="170"/>
      <c r="N1320" s="137"/>
      <c r="O1320" s="137"/>
    </row>
    <row r="1321" spans="1:15" x14ac:dyDescent="0.35">
      <c r="A1321" s="137"/>
      <c r="B1321" s="137"/>
      <c r="C1321" s="137"/>
      <c r="D1321" s="137"/>
      <c r="E1321" s="137"/>
      <c r="F1321" s="137"/>
      <c r="G1321" s="102"/>
      <c r="H1321" s="137"/>
      <c r="I1321" s="137"/>
      <c r="J1321" s="137"/>
      <c r="K1321" s="170"/>
      <c r="L1321" s="170"/>
      <c r="M1321" s="170"/>
      <c r="N1321" s="137"/>
      <c r="O1321" s="137"/>
    </row>
    <row r="1322" spans="1:15" x14ac:dyDescent="0.35">
      <c r="A1322" s="137"/>
      <c r="B1322" s="137"/>
      <c r="C1322" s="137"/>
      <c r="D1322" s="137"/>
      <c r="E1322" s="137"/>
      <c r="F1322" s="137"/>
      <c r="G1322" s="102"/>
      <c r="H1322" s="137"/>
      <c r="I1322" s="137"/>
      <c r="J1322" s="137"/>
      <c r="K1322" s="170"/>
      <c r="L1322" s="170"/>
      <c r="M1322" s="170"/>
      <c r="N1322" s="137"/>
      <c r="O1322" s="137"/>
    </row>
    <row r="1323" spans="1:15" x14ac:dyDescent="0.35">
      <c r="A1323" s="137"/>
      <c r="B1323" s="137"/>
      <c r="C1323" s="137"/>
      <c r="D1323" s="137"/>
      <c r="E1323" s="137"/>
      <c r="F1323" s="137"/>
      <c r="G1323" s="102"/>
      <c r="H1323" s="137"/>
      <c r="I1323" s="137"/>
      <c r="J1323" s="137"/>
      <c r="K1323" s="170"/>
      <c r="L1323" s="170"/>
      <c r="M1323" s="170"/>
      <c r="N1323" s="137"/>
      <c r="O1323" s="137"/>
    </row>
    <row r="1324" spans="1:15" x14ac:dyDescent="0.35">
      <c r="A1324" s="137"/>
      <c r="B1324" s="137"/>
      <c r="C1324" s="137"/>
      <c r="D1324" s="137"/>
      <c r="E1324" s="137"/>
      <c r="F1324" s="137"/>
      <c r="G1324" s="102"/>
      <c r="H1324" s="137"/>
      <c r="I1324" s="137"/>
      <c r="J1324" s="137"/>
      <c r="K1324" s="170"/>
      <c r="L1324" s="170"/>
      <c r="M1324" s="170"/>
      <c r="N1324" s="31"/>
      <c r="O1324" s="31"/>
    </row>
    <row r="1325" spans="1:15" x14ac:dyDescent="0.35">
      <c r="A1325" s="137"/>
      <c r="B1325" s="137"/>
      <c r="C1325" s="137"/>
      <c r="D1325" s="137"/>
      <c r="E1325" s="137"/>
      <c r="F1325" s="137"/>
      <c r="G1325" s="102"/>
      <c r="H1325" s="137"/>
      <c r="I1325" s="137"/>
      <c r="J1325" s="137"/>
      <c r="K1325" s="170"/>
      <c r="L1325" s="170"/>
      <c r="M1325" s="170"/>
      <c r="N1325" s="137"/>
      <c r="O1325" s="137"/>
    </row>
    <row r="1326" spans="1:15" x14ac:dyDescent="0.35">
      <c r="A1326" s="137"/>
      <c r="B1326" s="137"/>
      <c r="C1326" s="137"/>
      <c r="D1326" s="137"/>
      <c r="E1326" s="137"/>
      <c r="F1326" s="137"/>
      <c r="G1326" s="102"/>
      <c r="H1326" s="137"/>
      <c r="I1326" s="137"/>
      <c r="J1326" s="137"/>
      <c r="K1326" s="170"/>
      <c r="L1326" s="170"/>
      <c r="M1326" s="170"/>
      <c r="N1326" s="137"/>
      <c r="O1326" s="137"/>
    </row>
    <row r="1327" spans="1:15" x14ac:dyDescent="0.35">
      <c r="A1327" s="137"/>
      <c r="B1327" s="137"/>
      <c r="C1327" s="137"/>
      <c r="D1327" s="137"/>
      <c r="E1327" s="137"/>
      <c r="F1327" s="137"/>
      <c r="G1327" s="102"/>
      <c r="H1327" s="137"/>
      <c r="I1327" s="137"/>
      <c r="J1327" s="137"/>
      <c r="K1327" s="170"/>
      <c r="L1327" s="170"/>
      <c r="M1327" s="170"/>
    </row>
    <row r="1328" spans="1:15" x14ac:dyDescent="0.35">
      <c r="A1328" s="137"/>
      <c r="B1328" s="137"/>
      <c r="C1328" s="137"/>
      <c r="D1328" s="137"/>
      <c r="E1328" s="137"/>
      <c r="F1328" s="137"/>
      <c r="G1328" s="102"/>
      <c r="H1328" s="137"/>
      <c r="I1328" s="137"/>
      <c r="J1328" s="137"/>
      <c r="K1328" s="170"/>
      <c r="L1328" s="170"/>
      <c r="M1328" s="170"/>
      <c r="N1328" s="137"/>
      <c r="O1328" s="137"/>
    </row>
    <row r="1329" spans="1:15" x14ac:dyDescent="0.35">
      <c r="A1329" s="137"/>
      <c r="B1329" s="137"/>
      <c r="C1329" s="137"/>
      <c r="D1329" s="137"/>
      <c r="E1329" s="137"/>
      <c r="F1329" s="137"/>
      <c r="G1329" s="102"/>
      <c r="H1329" s="137"/>
      <c r="I1329" s="137"/>
      <c r="J1329" s="137"/>
      <c r="K1329" s="170"/>
      <c r="L1329" s="170"/>
      <c r="M1329" s="170"/>
      <c r="N1329" s="137"/>
      <c r="O1329" s="137"/>
    </row>
    <row r="1330" spans="1:15" x14ac:dyDescent="0.35">
      <c r="A1330" s="137"/>
      <c r="B1330" s="137"/>
      <c r="C1330" s="137"/>
      <c r="D1330" s="137"/>
      <c r="E1330" s="137"/>
      <c r="F1330" s="137"/>
      <c r="G1330" s="102"/>
      <c r="H1330" s="137"/>
      <c r="I1330" s="137"/>
      <c r="J1330" s="137"/>
      <c r="K1330" s="170"/>
      <c r="L1330" s="170"/>
      <c r="M1330" s="170"/>
      <c r="N1330" s="137"/>
      <c r="O1330" s="137"/>
    </row>
    <row r="1331" spans="1:15" x14ac:dyDescent="0.35">
      <c r="A1331" s="137"/>
      <c r="B1331" s="137"/>
      <c r="C1331" s="137"/>
      <c r="D1331" s="137"/>
      <c r="E1331" s="137"/>
      <c r="F1331" s="137"/>
      <c r="G1331" s="102"/>
      <c r="H1331" s="137"/>
      <c r="I1331" s="137"/>
      <c r="J1331" s="137"/>
      <c r="K1331" s="170"/>
      <c r="L1331" s="170"/>
      <c r="M1331" s="170"/>
      <c r="N1331" s="137"/>
      <c r="O1331" s="137"/>
    </row>
    <row r="1332" spans="1:15" x14ac:dyDescent="0.35">
      <c r="A1332" s="137"/>
      <c r="B1332" s="137"/>
      <c r="C1332" s="137"/>
      <c r="D1332" s="137"/>
      <c r="E1332" s="137"/>
      <c r="F1332" s="137"/>
      <c r="G1332" s="102"/>
      <c r="H1332" s="137"/>
      <c r="I1332" s="137"/>
      <c r="J1332" s="137"/>
      <c r="K1332" s="170"/>
      <c r="L1332" s="170"/>
      <c r="M1332" s="170"/>
      <c r="N1332" s="137"/>
      <c r="O1332" s="137"/>
    </row>
    <row r="1333" spans="1:15" x14ac:dyDescent="0.35">
      <c r="A1333" s="137"/>
      <c r="B1333" s="137"/>
      <c r="C1333" s="137"/>
      <c r="D1333" s="137"/>
      <c r="E1333" s="137"/>
      <c r="F1333" s="137"/>
      <c r="G1333" s="102"/>
      <c r="H1333" s="137"/>
      <c r="I1333" s="137"/>
      <c r="J1333" s="137"/>
      <c r="K1333" s="170"/>
      <c r="L1333" s="170"/>
      <c r="M1333" s="170"/>
      <c r="N1333" s="137"/>
      <c r="O1333" s="137"/>
    </row>
    <row r="1334" spans="1:15" x14ac:dyDescent="0.35">
      <c r="A1334" s="137"/>
      <c r="B1334" s="137"/>
      <c r="C1334" s="137"/>
      <c r="D1334" s="137"/>
      <c r="E1334" s="137"/>
      <c r="F1334" s="137"/>
      <c r="G1334" s="102"/>
      <c r="H1334" s="137"/>
      <c r="I1334" s="137"/>
      <c r="J1334" s="137"/>
      <c r="K1334" s="170"/>
      <c r="L1334" s="170"/>
      <c r="M1334" s="170"/>
      <c r="N1334" s="137"/>
      <c r="O1334" s="137"/>
    </row>
    <row r="1335" spans="1:15" x14ac:dyDescent="0.35">
      <c r="A1335" s="137"/>
      <c r="B1335" s="137"/>
      <c r="C1335" s="137"/>
      <c r="D1335" s="137"/>
      <c r="E1335" s="137"/>
      <c r="F1335" s="137"/>
      <c r="G1335" s="102"/>
      <c r="H1335" s="137"/>
      <c r="I1335" s="137"/>
      <c r="J1335" s="137"/>
      <c r="K1335" s="170"/>
      <c r="L1335" s="170"/>
      <c r="M1335" s="170"/>
      <c r="N1335" s="137"/>
      <c r="O1335" s="137"/>
    </row>
    <row r="1336" spans="1:15" x14ac:dyDescent="0.35">
      <c r="A1336" s="137"/>
      <c r="B1336" s="137"/>
      <c r="C1336" s="137"/>
      <c r="D1336" s="137"/>
      <c r="E1336" s="137"/>
      <c r="F1336" s="137"/>
      <c r="G1336" s="102"/>
      <c r="H1336" s="137"/>
      <c r="I1336" s="137"/>
      <c r="J1336" s="137"/>
      <c r="K1336" s="170"/>
      <c r="L1336" s="170"/>
      <c r="M1336" s="170"/>
      <c r="N1336" s="137"/>
      <c r="O1336" s="137"/>
    </row>
    <row r="1337" spans="1:15" x14ac:dyDescent="0.35">
      <c r="A1337" s="137"/>
      <c r="B1337" s="137"/>
      <c r="C1337" s="137"/>
      <c r="D1337" s="137"/>
      <c r="E1337" s="137"/>
      <c r="F1337" s="137"/>
      <c r="G1337" s="102"/>
      <c r="H1337" s="137"/>
      <c r="I1337" s="137"/>
      <c r="J1337" s="137"/>
      <c r="K1337" s="170"/>
      <c r="L1337" s="170"/>
      <c r="M1337" s="170"/>
    </row>
    <row r="1338" spans="1:15" x14ac:dyDescent="0.35">
      <c r="A1338" s="137"/>
      <c r="B1338" s="137"/>
      <c r="C1338" s="137"/>
      <c r="D1338" s="137"/>
      <c r="E1338" s="137"/>
      <c r="F1338" s="137"/>
      <c r="G1338" s="102"/>
      <c r="H1338" s="137"/>
      <c r="I1338" s="137"/>
      <c r="J1338" s="137"/>
      <c r="K1338" s="170"/>
      <c r="L1338" s="170"/>
      <c r="M1338" s="170"/>
      <c r="N1338" s="137"/>
      <c r="O1338" s="137"/>
    </row>
    <row r="1339" spans="1:15" x14ac:dyDescent="0.35">
      <c r="A1339" s="137"/>
      <c r="B1339" s="137"/>
      <c r="C1339" s="137"/>
      <c r="D1339" s="137"/>
      <c r="E1339" s="137"/>
      <c r="F1339" s="137"/>
      <c r="G1339" s="102"/>
      <c r="H1339" s="137"/>
      <c r="I1339" s="137"/>
      <c r="J1339" s="137"/>
      <c r="K1339" s="170"/>
      <c r="L1339" s="170"/>
      <c r="M1339" s="170"/>
      <c r="N1339" s="137"/>
      <c r="O1339" s="137"/>
    </row>
    <row r="1340" spans="1:15" x14ac:dyDescent="0.35">
      <c r="A1340" s="137"/>
      <c r="B1340" s="137"/>
      <c r="C1340" s="137"/>
      <c r="D1340" s="137"/>
      <c r="E1340" s="137"/>
      <c r="F1340" s="137"/>
      <c r="G1340" s="102"/>
      <c r="H1340" s="137"/>
      <c r="I1340" s="137"/>
      <c r="J1340" s="137"/>
      <c r="K1340" s="170"/>
      <c r="L1340" s="170"/>
      <c r="M1340" s="170"/>
      <c r="N1340" s="137"/>
      <c r="O1340" s="137"/>
    </row>
    <row r="1341" spans="1:15" x14ac:dyDescent="0.35">
      <c r="A1341" s="137"/>
      <c r="B1341" s="137"/>
      <c r="C1341" s="137"/>
      <c r="D1341" s="137"/>
      <c r="E1341" s="137"/>
      <c r="F1341" s="137"/>
      <c r="G1341" s="102"/>
      <c r="H1341" s="137"/>
      <c r="I1341" s="137"/>
      <c r="J1341" s="137"/>
      <c r="K1341" s="170"/>
      <c r="L1341" s="170"/>
      <c r="M1341" s="170"/>
      <c r="N1341" s="137"/>
      <c r="O1341" s="137"/>
    </row>
    <row r="1342" spans="1:15" x14ac:dyDescent="0.35">
      <c r="A1342" s="137"/>
      <c r="B1342" s="137"/>
      <c r="C1342" s="137"/>
      <c r="D1342" s="137"/>
      <c r="E1342" s="137"/>
      <c r="F1342" s="137"/>
      <c r="G1342" s="102"/>
      <c r="H1342" s="137"/>
      <c r="I1342" s="137"/>
      <c r="J1342" s="137"/>
      <c r="K1342" s="170"/>
      <c r="L1342" s="170"/>
      <c r="M1342" s="170"/>
      <c r="N1342" s="137"/>
      <c r="O1342" s="137"/>
    </row>
    <row r="1343" spans="1:15" x14ac:dyDescent="0.35">
      <c r="A1343" s="137"/>
      <c r="B1343" s="137"/>
      <c r="C1343" s="137"/>
      <c r="D1343" s="137"/>
      <c r="E1343" s="137"/>
      <c r="F1343" s="137"/>
      <c r="G1343" s="102"/>
      <c r="H1343" s="137"/>
      <c r="I1343" s="137"/>
      <c r="J1343" s="137"/>
      <c r="K1343" s="170"/>
      <c r="L1343" s="170"/>
      <c r="M1343" s="170"/>
      <c r="N1343" s="137"/>
      <c r="O1343" s="137"/>
    </row>
    <row r="1344" spans="1:15" x14ac:dyDescent="0.35">
      <c r="A1344" s="137"/>
      <c r="B1344" s="137"/>
      <c r="C1344" s="137"/>
      <c r="D1344" s="137"/>
      <c r="E1344" s="137"/>
      <c r="F1344" s="137"/>
      <c r="G1344" s="102"/>
      <c r="H1344" s="137"/>
      <c r="I1344" s="137"/>
      <c r="J1344" s="137"/>
      <c r="K1344" s="170"/>
      <c r="L1344" s="170"/>
      <c r="M1344" s="170"/>
      <c r="N1344" s="137"/>
      <c r="O1344" s="137"/>
    </row>
    <row r="1345" spans="1:15" x14ac:dyDescent="0.35">
      <c r="A1345" s="137"/>
      <c r="B1345" s="137"/>
      <c r="C1345" s="137"/>
      <c r="D1345" s="137"/>
      <c r="E1345" s="137"/>
      <c r="F1345" s="137"/>
      <c r="G1345" s="102"/>
      <c r="H1345" s="137"/>
      <c r="I1345" s="137"/>
      <c r="J1345" s="137"/>
      <c r="K1345" s="170"/>
      <c r="L1345" s="170"/>
      <c r="M1345" s="170"/>
      <c r="N1345" s="137"/>
      <c r="O1345" s="137"/>
    </row>
    <row r="1346" spans="1:15" x14ac:dyDescent="0.35">
      <c r="A1346" s="137"/>
      <c r="B1346" s="137"/>
      <c r="C1346" s="137"/>
      <c r="D1346" s="137"/>
      <c r="E1346" s="137"/>
      <c r="F1346" s="137"/>
      <c r="G1346" s="102"/>
      <c r="H1346" s="137"/>
      <c r="I1346" s="137"/>
      <c r="J1346" s="137"/>
      <c r="K1346" s="170"/>
      <c r="L1346" s="170"/>
      <c r="M1346" s="170"/>
      <c r="N1346" s="137"/>
      <c r="O1346" s="137"/>
    </row>
    <row r="1347" spans="1:15" x14ac:dyDescent="0.35">
      <c r="A1347" s="137"/>
      <c r="B1347" s="137"/>
      <c r="C1347" s="137"/>
      <c r="D1347" s="137"/>
      <c r="E1347" s="137"/>
      <c r="F1347" s="137"/>
      <c r="G1347" s="102"/>
      <c r="H1347" s="137"/>
      <c r="I1347" s="137"/>
      <c r="J1347" s="137"/>
      <c r="K1347" s="170"/>
      <c r="L1347" s="170"/>
      <c r="M1347" s="170"/>
      <c r="N1347" s="137"/>
      <c r="O1347" s="137"/>
    </row>
    <row r="1348" spans="1:15" x14ac:dyDescent="0.35">
      <c r="A1348" s="137"/>
      <c r="B1348" s="137"/>
      <c r="C1348" s="137"/>
      <c r="D1348" s="137"/>
      <c r="E1348" s="137"/>
      <c r="F1348" s="137"/>
      <c r="G1348" s="102"/>
      <c r="H1348" s="137"/>
      <c r="I1348" s="137"/>
      <c r="J1348" s="137"/>
      <c r="K1348" s="170"/>
      <c r="L1348" s="170"/>
      <c r="M1348" s="170"/>
      <c r="N1348" s="137"/>
      <c r="O1348" s="137"/>
    </row>
    <row r="1349" spans="1:15" x14ac:dyDescent="0.35">
      <c r="A1349" s="137"/>
      <c r="B1349" s="137"/>
      <c r="C1349" s="137"/>
      <c r="D1349" s="137"/>
      <c r="E1349" s="137"/>
      <c r="F1349" s="137"/>
      <c r="G1349" s="102"/>
      <c r="H1349" s="137"/>
      <c r="I1349" s="137"/>
      <c r="J1349" s="137"/>
      <c r="K1349" s="170"/>
      <c r="L1349" s="170"/>
      <c r="M1349" s="170"/>
      <c r="N1349" s="137"/>
      <c r="O1349" s="137"/>
    </row>
    <row r="1350" spans="1:15" x14ac:dyDescent="0.35">
      <c r="A1350" s="137"/>
      <c r="B1350" s="137"/>
      <c r="C1350" s="137"/>
      <c r="D1350" s="137"/>
      <c r="E1350" s="137"/>
      <c r="F1350" s="137"/>
      <c r="G1350" s="102"/>
      <c r="H1350" s="137"/>
      <c r="I1350" s="137"/>
      <c r="J1350" s="137"/>
      <c r="K1350" s="170"/>
      <c r="L1350" s="170"/>
      <c r="M1350" s="170"/>
      <c r="N1350" s="137"/>
      <c r="O1350" s="137"/>
    </row>
    <row r="1351" spans="1:15" x14ac:dyDescent="0.35">
      <c r="A1351" s="137"/>
      <c r="B1351" s="137"/>
      <c r="C1351" s="137"/>
      <c r="D1351" s="137"/>
      <c r="E1351" s="137"/>
      <c r="F1351" s="137"/>
      <c r="G1351" s="102"/>
      <c r="H1351" s="137"/>
      <c r="I1351" s="137"/>
      <c r="J1351" s="137"/>
      <c r="K1351" s="170"/>
      <c r="L1351" s="170"/>
      <c r="M1351" s="170"/>
      <c r="N1351" s="137"/>
      <c r="O1351" s="137"/>
    </row>
    <row r="1352" spans="1:15" x14ac:dyDescent="0.35">
      <c r="A1352" s="137"/>
      <c r="B1352" s="137"/>
      <c r="C1352" s="137"/>
      <c r="D1352" s="137"/>
      <c r="E1352" s="137"/>
      <c r="F1352" s="137"/>
      <c r="G1352" s="102"/>
      <c r="H1352" s="137"/>
      <c r="I1352" s="137"/>
      <c r="J1352" s="137"/>
      <c r="K1352" s="170"/>
      <c r="L1352" s="170"/>
      <c r="M1352" s="170"/>
      <c r="N1352" s="137"/>
      <c r="O1352" s="137"/>
    </row>
    <row r="1353" spans="1:15" x14ac:dyDescent="0.35">
      <c r="A1353" s="137"/>
      <c r="B1353" s="137"/>
      <c r="C1353" s="137"/>
      <c r="D1353" s="137"/>
      <c r="E1353" s="137"/>
      <c r="F1353" s="137"/>
      <c r="G1353" s="102"/>
      <c r="H1353" s="137"/>
      <c r="I1353" s="137"/>
      <c r="J1353" s="137"/>
      <c r="K1353" s="170"/>
      <c r="L1353" s="170"/>
      <c r="M1353" s="170"/>
      <c r="N1353" s="137"/>
      <c r="O1353" s="137"/>
    </row>
    <row r="1354" spans="1:15" x14ac:dyDescent="0.35">
      <c r="A1354" s="137"/>
      <c r="B1354" s="137"/>
      <c r="C1354" s="137"/>
      <c r="D1354" s="137"/>
      <c r="E1354" s="137"/>
      <c r="F1354" s="137"/>
      <c r="G1354" s="102"/>
      <c r="H1354" s="137"/>
      <c r="I1354" s="137"/>
      <c r="J1354" s="137"/>
      <c r="K1354" s="170"/>
      <c r="L1354" s="170"/>
      <c r="M1354" s="170"/>
      <c r="N1354" s="137"/>
      <c r="O1354" s="137"/>
    </row>
    <row r="1355" spans="1:15" x14ac:dyDescent="0.35">
      <c r="A1355" s="137"/>
      <c r="B1355" s="137"/>
      <c r="C1355" s="137"/>
      <c r="D1355" s="137"/>
      <c r="E1355" s="137"/>
      <c r="F1355" s="137"/>
      <c r="G1355" s="102"/>
      <c r="H1355" s="137"/>
      <c r="I1355" s="137"/>
      <c r="J1355" s="137"/>
      <c r="K1355" s="170"/>
      <c r="L1355" s="170"/>
      <c r="M1355" s="170"/>
      <c r="N1355" s="137"/>
      <c r="O1355" s="137"/>
    </row>
    <row r="1356" spans="1:15" x14ac:dyDescent="0.35">
      <c r="A1356" s="137"/>
      <c r="B1356" s="137"/>
      <c r="C1356" s="137"/>
      <c r="D1356" s="137"/>
      <c r="E1356" s="137"/>
      <c r="F1356" s="137"/>
      <c r="G1356" s="102"/>
      <c r="H1356" s="137"/>
      <c r="I1356" s="137"/>
      <c r="J1356" s="137"/>
      <c r="K1356" s="170"/>
      <c r="L1356" s="170"/>
      <c r="M1356" s="170"/>
      <c r="N1356" s="137"/>
      <c r="O1356" s="137"/>
    </row>
    <row r="1357" spans="1:15" x14ac:dyDescent="0.35">
      <c r="A1357" s="137"/>
      <c r="B1357" s="137"/>
      <c r="C1357" s="137"/>
      <c r="D1357" s="137"/>
      <c r="E1357" s="137"/>
      <c r="F1357" s="137"/>
      <c r="G1357" s="102"/>
      <c r="H1357" s="137"/>
      <c r="I1357" s="137"/>
      <c r="J1357" s="137"/>
      <c r="K1357" s="170"/>
      <c r="L1357" s="170"/>
      <c r="M1357" s="170"/>
      <c r="N1357" s="137"/>
      <c r="O1357" s="137"/>
    </row>
    <row r="1358" spans="1:15" x14ac:dyDescent="0.35">
      <c r="A1358" s="137"/>
      <c r="B1358" s="137"/>
      <c r="C1358" s="137"/>
      <c r="D1358" s="137"/>
      <c r="E1358" s="137"/>
      <c r="F1358" s="137"/>
      <c r="G1358" s="102"/>
      <c r="H1358" s="137"/>
      <c r="I1358" s="137"/>
      <c r="J1358" s="137"/>
      <c r="K1358" s="170"/>
      <c r="L1358" s="170"/>
      <c r="M1358" s="170"/>
      <c r="N1358" s="137"/>
      <c r="O1358" s="137"/>
    </row>
    <row r="1359" spans="1:15" x14ac:dyDescent="0.35">
      <c r="A1359" s="137"/>
      <c r="B1359" s="137"/>
      <c r="C1359" s="137"/>
      <c r="D1359" s="137"/>
      <c r="E1359" s="137"/>
      <c r="F1359" s="137"/>
      <c r="G1359" s="102"/>
      <c r="H1359" s="137"/>
      <c r="I1359" s="137"/>
      <c r="J1359" s="137"/>
      <c r="K1359" s="170"/>
      <c r="L1359" s="170"/>
      <c r="M1359" s="170"/>
      <c r="N1359" s="137"/>
      <c r="O1359" s="137"/>
    </row>
    <row r="1360" spans="1:15" x14ac:dyDescent="0.35">
      <c r="A1360" s="137"/>
      <c r="B1360" s="137"/>
      <c r="C1360" s="137"/>
      <c r="D1360" s="137"/>
      <c r="E1360" s="137"/>
      <c r="F1360" s="137"/>
      <c r="G1360" s="102"/>
      <c r="H1360" s="137"/>
      <c r="I1360" s="137"/>
      <c r="J1360" s="137"/>
      <c r="K1360" s="170"/>
      <c r="L1360" s="170"/>
      <c r="M1360" s="170"/>
      <c r="N1360" s="137"/>
      <c r="O1360" s="137"/>
    </row>
    <row r="1361" spans="1:15" x14ac:dyDescent="0.35">
      <c r="A1361" s="137"/>
      <c r="B1361" s="137"/>
      <c r="C1361" s="137"/>
      <c r="D1361" s="137"/>
      <c r="E1361" s="137"/>
      <c r="F1361" s="137"/>
      <c r="G1361" s="102"/>
      <c r="H1361" s="137"/>
      <c r="I1361" s="137"/>
      <c r="J1361" s="137"/>
      <c r="K1361" s="170"/>
      <c r="L1361" s="170"/>
      <c r="M1361" s="170"/>
      <c r="N1361" s="137"/>
      <c r="O1361" s="137"/>
    </row>
    <row r="1362" spans="1:15" x14ac:dyDescent="0.35">
      <c r="A1362" s="137"/>
      <c r="B1362" s="137"/>
      <c r="C1362" s="137"/>
      <c r="D1362" s="137"/>
      <c r="E1362" s="137"/>
      <c r="F1362" s="137"/>
      <c r="G1362" s="102"/>
      <c r="H1362" s="137"/>
      <c r="I1362" s="137"/>
      <c r="J1362" s="137"/>
      <c r="K1362" s="170"/>
      <c r="L1362" s="170"/>
      <c r="M1362" s="170"/>
      <c r="N1362" s="137"/>
      <c r="O1362" s="137"/>
    </row>
    <row r="1363" spans="1:15" x14ac:dyDescent="0.35">
      <c r="A1363" s="137"/>
      <c r="B1363" s="137"/>
      <c r="C1363" s="137"/>
      <c r="D1363" s="137"/>
      <c r="E1363" s="137"/>
      <c r="F1363" s="137"/>
      <c r="G1363" s="102"/>
      <c r="H1363" s="137"/>
      <c r="I1363" s="137"/>
      <c r="J1363" s="137"/>
      <c r="K1363" s="170"/>
      <c r="L1363" s="170"/>
      <c r="M1363" s="170"/>
    </row>
    <row r="1364" spans="1:15" x14ac:dyDescent="0.35">
      <c r="A1364" s="137"/>
      <c r="B1364" s="137"/>
      <c r="C1364" s="137"/>
      <c r="D1364" s="137"/>
      <c r="E1364" s="137"/>
      <c r="F1364" s="137"/>
      <c r="G1364" s="102"/>
      <c r="H1364" s="137"/>
      <c r="I1364" s="137"/>
      <c r="J1364" s="137"/>
      <c r="K1364" s="170"/>
      <c r="L1364" s="170"/>
      <c r="M1364" s="170"/>
      <c r="N1364" s="31"/>
      <c r="O1364" s="31"/>
    </row>
    <row r="1365" spans="1:15" x14ac:dyDescent="0.35">
      <c r="A1365" s="137"/>
      <c r="B1365" s="137"/>
      <c r="C1365" s="137"/>
      <c r="D1365" s="137"/>
      <c r="E1365" s="137"/>
      <c r="F1365" s="137"/>
      <c r="G1365" s="102"/>
      <c r="H1365" s="137"/>
      <c r="I1365" s="137"/>
      <c r="J1365" s="137"/>
      <c r="K1365" s="170"/>
      <c r="L1365" s="170"/>
      <c r="M1365" s="170"/>
      <c r="N1365" s="137"/>
      <c r="O1365" s="137"/>
    </row>
    <row r="1366" spans="1:15" x14ac:dyDescent="0.35">
      <c r="A1366" s="137"/>
      <c r="B1366" s="137"/>
      <c r="C1366" s="137"/>
      <c r="D1366" s="137"/>
      <c r="E1366" s="137"/>
      <c r="F1366" s="137"/>
      <c r="G1366" s="102"/>
      <c r="H1366" s="137"/>
      <c r="I1366" s="137"/>
      <c r="J1366" s="137"/>
      <c r="K1366" s="170"/>
      <c r="L1366" s="170"/>
      <c r="M1366" s="170"/>
      <c r="N1366" s="137"/>
      <c r="O1366" s="137"/>
    </row>
    <row r="1367" spans="1:15" x14ac:dyDescent="0.35">
      <c r="A1367" s="137"/>
      <c r="B1367" s="137"/>
      <c r="C1367" s="137"/>
      <c r="D1367" s="137"/>
      <c r="E1367" s="137"/>
      <c r="F1367" s="137"/>
      <c r="G1367" s="102"/>
      <c r="H1367" s="137"/>
      <c r="I1367" s="137"/>
      <c r="J1367" s="137"/>
      <c r="K1367" s="170"/>
      <c r="L1367" s="170"/>
      <c r="M1367" s="170"/>
      <c r="N1367" s="137"/>
      <c r="O1367" s="137"/>
    </row>
    <row r="1368" spans="1:15" x14ac:dyDescent="0.35">
      <c r="A1368" s="137"/>
      <c r="B1368" s="137"/>
      <c r="C1368" s="137"/>
      <c r="D1368" s="137"/>
      <c r="E1368" s="137"/>
      <c r="F1368" s="137"/>
      <c r="G1368" s="102"/>
      <c r="H1368" s="137"/>
      <c r="I1368" s="137"/>
      <c r="J1368" s="137"/>
      <c r="K1368" s="170"/>
      <c r="L1368" s="170"/>
      <c r="M1368" s="170"/>
      <c r="N1368" s="137"/>
      <c r="O1368" s="137"/>
    </row>
    <row r="1369" spans="1:15" x14ac:dyDescent="0.35">
      <c r="A1369" s="137"/>
      <c r="B1369" s="137"/>
      <c r="C1369" s="137"/>
      <c r="D1369" s="137"/>
      <c r="E1369" s="137"/>
      <c r="F1369" s="137"/>
      <c r="G1369" s="102"/>
      <c r="H1369" s="137"/>
      <c r="I1369" s="137"/>
      <c r="J1369" s="137"/>
      <c r="K1369" s="170"/>
      <c r="L1369" s="170"/>
      <c r="M1369" s="170"/>
      <c r="N1369" s="137"/>
      <c r="O1369" s="137"/>
    </row>
    <row r="1370" spans="1:15" x14ac:dyDescent="0.35">
      <c r="A1370" s="137"/>
      <c r="B1370" s="137"/>
      <c r="C1370" s="137"/>
      <c r="D1370" s="137"/>
      <c r="E1370" s="137"/>
      <c r="F1370" s="137"/>
      <c r="G1370" s="102"/>
      <c r="H1370" s="137"/>
      <c r="I1370" s="137"/>
      <c r="J1370" s="137"/>
      <c r="K1370" s="170"/>
      <c r="L1370" s="170"/>
      <c r="M1370" s="170"/>
    </row>
    <row r="1371" spans="1:15" x14ac:dyDescent="0.35">
      <c r="A1371" s="137"/>
      <c r="B1371" s="137"/>
      <c r="C1371" s="137"/>
      <c r="D1371" s="137"/>
      <c r="E1371" s="137"/>
      <c r="F1371" s="137"/>
      <c r="G1371" s="102"/>
      <c r="H1371" s="137"/>
      <c r="I1371" s="137"/>
      <c r="J1371" s="137"/>
      <c r="K1371" s="170"/>
      <c r="L1371" s="170"/>
      <c r="M1371" s="170"/>
    </row>
    <row r="1372" spans="1:15" x14ac:dyDescent="0.35">
      <c r="A1372" s="137"/>
      <c r="B1372" s="137"/>
      <c r="C1372" s="137"/>
      <c r="D1372" s="137"/>
      <c r="E1372" s="137"/>
      <c r="F1372" s="137"/>
      <c r="G1372" s="102"/>
      <c r="H1372" s="137"/>
      <c r="I1372" s="137"/>
      <c r="J1372" s="137"/>
      <c r="K1372" s="170"/>
      <c r="L1372" s="170"/>
      <c r="M1372" s="170"/>
      <c r="N1372" s="137"/>
      <c r="O1372" s="137"/>
    </row>
    <row r="1373" spans="1:15" x14ac:dyDescent="0.35">
      <c r="A1373" s="137"/>
      <c r="B1373" s="137"/>
      <c r="C1373" s="137"/>
      <c r="D1373" s="137"/>
      <c r="E1373" s="137"/>
      <c r="F1373" s="137"/>
      <c r="G1373" s="102"/>
      <c r="H1373" s="137"/>
      <c r="I1373" s="137"/>
      <c r="J1373" s="137"/>
      <c r="K1373" s="170"/>
      <c r="L1373" s="170"/>
      <c r="M1373" s="170"/>
      <c r="N1373" s="137"/>
      <c r="O1373" s="137"/>
    </row>
    <row r="1374" spans="1:15" x14ac:dyDescent="0.35">
      <c r="A1374" s="137"/>
      <c r="B1374" s="137"/>
      <c r="C1374" s="137"/>
      <c r="D1374" s="137"/>
      <c r="E1374" s="137"/>
      <c r="F1374" s="137"/>
      <c r="G1374" s="102"/>
      <c r="H1374" s="137"/>
      <c r="I1374" s="137"/>
      <c r="J1374" s="137"/>
      <c r="K1374" s="170"/>
      <c r="L1374" s="170"/>
      <c r="M1374" s="170"/>
      <c r="N1374" s="137"/>
      <c r="O1374" s="137"/>
    </row>
    <row r="1375" spans="1:15" x14ac:dyDescent="0.35">
      <c r="A1375" s="137"/>
      <c r="B1375" s="137"/>
      <c r="C1375" s="137"/>
      <c r="D1375" s="137"/>
      <c r="E1375" s="137"/>
      <c r="F1375" s="137"/>
      <c r="G1375" s="102"/>
      <c r="H1375" s="137"/>
      <c r="I1375" s="137"/>
      <c r="J1375" s="137"/>
      <c r="K1375" s="170"/>
      <c r="L1375" s="170"/>
      <c r="M1375" s="170"/>
      <c r="N1375" s="137"/>
      <c r="O1375" s="137"/>
    </row>
    <row r="1376" spans="1:15" x14ac:dyDescent="0.35">
      <c r="A1376" s="137"/>
      <c r="B1376" s="137"/>
      <c r="C1376" s="137"/>
      <c r="D1376" s="137"/>
      <c r="E1376" s="137"/>
      <c r="F1376" s="137"/>
      <c r="G1376" s="102"/>
      <c r="H1376" s="137"/>
      <c r="I1376" s="137"/>
      <c r="J1376" s="137"/>
      <c r="K1376" s="170"/>
      <c r="L1376" s="170"/>
      <c r="M1376" s="170"/>
      <c r="N1376" s="137"/>
      <c r="O1376" s="137"/>
    </row>
    <row r="1377" spans="1:15" x14ac:dyDescent="0.35">
      <c r="A1377" s="137"/>
      <c r="B1377" s="137"/>
      <c r="C1377" s="137"/>
      <c r="D1377" s="137"/>
      <c r="E1377" s="137"/>
      <c r="F1377" s="137"/>
      <c r="G1377" s="102"/>
      <c r="H1377" s="137"/>
      <c r="I1377" s="137"/>
      <c r="J1377" s="137"/>
      <c r="K1377" s="170"/>
      <c r="L1377" s="170"/>
      <c r="M1377" s="170"/>
      <c r="N1377" s="137"/>
      <c r="O1377" s="137"/>
    </row>
    <row r="1378" spans="1:15" x14ac:dyDescent="0.35">
      <c r="A1378" s="137"/>
      <c r="B1378" s="137"/>
      <c r="C1378" s="137"/>
      <c r="D1378" s="137"/>
      <c r="E1378" s="137"/>
      <c r="F1378" s="137"/>
      <c r="G1378" s="102"/>
      <c r="H1378" s="137"/>
      <c r="I1378" s="137"/>
      <c r="J1378" s="137"/>
      <c r="K1378" s="170"/>
      <c r="L1378" s="170"/>
      <c r="M1378" s="170"/>
      <c r="N1378" s="137"/>
      <c r="O1378" s="137"/>
    </row>
    <row r="1379" spans="1:15" x14ac:dyDescent="0.35">
      <c r="A1379" s="137"/>
      <c r="B1379" s="137"/>
      <c r="C1379" s="137"/>
      <c r="D1379" s="137"/>
      <c r="E1379" s="137"/>
      <c r="F1379" s="137"/>
      <c r="G1379" s="102"/>
      <c r="H1379" s="137"/>
      <c r="I1379" s="137"/>
      <c r="J1379" s="137"/>
      <c r="K1379" s="170"/>
      <c r="L1379" s="170"/>
      <c r="M1379" s="170"/>
      <c r="N1379" s="137"/>
      <c r="O1379" s="137"/>
    </row>
    <row r="1380" spans="1:15" x14ac:dyDescent="0.35">
      <c r="A1380" s="137"/>
      <c r="B1380" s="137"/>
      <c r="C1380" s="137"/>
      <c r="D1380" s="137"/>
      <c r="E1380" s="137"/>
      <c r="F1380" s="137"/>
      <c r="G1380" s="102"/>
      <c r="H1380" s="137"/>
      <c r="I1380" s="137"/>
      <c r="J1380" s="137"/>
      <c r="K1380" s="170"/>
      <c r="L1380" s="170"/>
      <c r="M1380" s="170"/>
      <c r="N1380" s="137"/>
      <c r="O1380" s="137"/>
    </row>
    <row r="1381" spans="1:15" x14ac:dyDescent="0.35">
      <c r="A1381" s="137"/>
      <c r="B1381" s="137"/>
      <c r="C1381" s="137"/>
      <c r="D1381" s="137"/>
      <c r="E1381" s="137"/>
      <c r="F1381" s="137"/>
      <c r="G1381" s="102"/>
      <c r="H1381" s="137"/>
      <c r="I1381" s="137"/>
      <c r="J1381" s="137"/>
      <c r="K1381" s="170"/>
      <c r="L1381" s="170"/>
      <c r="M1381" s="170"/>
      <c r="N1381" s="137"/>
      <c r="O1381" s="137"/>
    </row>
    <row r="1382" spans="1:15" x14ac:dyDescent="0.35">
      <c r="A1382" s="137"/>
      <c r="B1382" s="137"/>
      <c r="C1382" s="137"/>
      <c r="D1382" s="137"/>
      <c r="E1382" s="137"/>
      <c r="F1382" s="137"/>
      <c r="G1382" s="102"/>
      <c r="H1382" s="137"/>
      <c r="I1382" s="137"/>
      <c r="J1382" s="137"/>
      <c r="K1382" s="170"/>
      <c r="L1382" s="170"/>
      <c r="M1382" s="170"/>
      <c r="N1382" s="137"/>
      <c r="O1382" s="137"/>
    </row>
    <row r="1383" spans="1:15" x14ac:dyDescent="0.35">
      <c r="A1383" s="137"/>
      <c r="B1383" s="137"/>
      <c r="C1383" s="137"/>
      <c r="D1383" s="137"/>
      <c r="E1383" s="137"/>
      <c r="F1383" s="137"/>
      <c r="G1383" s="102"/>
      <c r="H1383" s="137"/>
      <c r="I1383" s="137"/>
      <c r="J1383" s="137"/>
      <c r="K1383" s="170"/>
      <c r="L1383" s="170"/>
      <c r="M1383" s="170"/>
      <c r="N1383" s="137"/>
      <c r="O1383" s="137"/>
    </row>
    <row r="1384" spans="1:15" x14ac:dyDescent="0.35">
      <c r="A1384" s="137"/>
      <c r="B1384" s="137"/>
      <c r="C1384" s="137"/>
      <c r="D1384" s="137"/>
      <c r="E1384" s="137"/>
      <c r="F1384" s="137"/>
      <c r="G1384" s="102"/>
      <c r="H1384" s="137"/>
      <c r="I1384" s="137"/>
      <c r="J1384" s="137"/>
      <c r="K1384" s="170"/>
      <c r="L1384" s="170"/>
      <c r="M1384" s="170"/>
      <c r="N1384" s="137"/>
      <c r="O1384" s="137"/>
    </row>
    <row r="1385" spans="1:15" x14ac:dyDescent="0.35">
      <c r="A1385" s="137"/>
      <c r="B1385" s="137"/>
      <c r="C1385" s="137"/>
      <c r="D1385" s="137"/>
      <c r="E1385" s="137"/>
      <c r="F1385" s="137"/>
      <c r="G1385" s="102"/>
      <c r="H1385" s="137"/>
      <c r="I1385" s="137"/>
      <c r="J1385" s="137"/>
      <c r="K1385" s="170"/>
      <c r="L1385" s="170"/>
      <c r="M1385" s="170"/>
      <c r="N1385" s="137"/>
      <c r="O1385" s="137"/>
    </row>
    <row r="1386" spans="1:15" x14ac:dyDescent="0.35">
      <c r="A1386" s="137"/>
      <c r="B1386" s="137"/>
      <c r="C1386" s="137"/>
      <c r="D1386" s="137"/>
      <c r="E1386" s="137"/>
      <c r="F1386" s="137"/>
      <c r="G1386" s="102"/>
      <c r="H1386" s="137"/>
      <c r="I1386" s="137"/>
      <c r="J1386" s="137"/>
      <c r="K1386" s="170"/>
      <c r="L1386" s="170"/>
      <c r="M1386" s="170"/>
      <c r="N1386" s="137"/>
      <c r="O1386" s="137"/>
    </row>
    <row r="1387" spans="1:15" x14ac:dyDescent="0.35">
      <c r="A1387" s="137"/>
      <c r="B1387" s="137"/>
      <c r="C1387" s="137"/>
      <c r="D1387" s="137"/>
      <c r="E1387" s="137"/>
      <c r="F1387" s="137"/>
      <c r="G1387" s="102"/>
      <c r="H1387" s="137"/>
      <c r="I1387" s="137"/>
      <c r="J1387" s="137"/>
      <c r="K1387" s="170"/>
      <c r="L1387" s="170"/>
      <c r="M1387" s="170"/>
      <c r="N1387" s="137"/>
      <c r="O1387" s="137"/>
    </row>
    <row r="1388" spans="1:15" x14ac:dyDescent="0.35">
      <c r="A1388" s="137"/>
      <c r="B1388" s="137"/>
      <c r="C1388" s="137"/>
      <c r="D1388" s="137"/>
      <c r="E1388" s="137"/>
      <c r="F1388" s="137"/>
      <c r="G1388" s="102"/>
      <c r="H1388" s="137"/>
      <c r="I1388" s="137"/>
      <c r="J1388" s="137"/>
      <c r="K1388" s="170"/>
      <c r="L1388" s="170"/>
      <c r="M1388" s="170"/>
      <c r="N1388" s="137"/>
      <c r="O1388" s="137"/>
    </row>
    <row r="1389" spans="1:15" x14ac:dyDescent="0.35">
      <c r="A1389" s="137"/>
      <c r="B1389" s="137"/>
      <c r="C1389" s="137"/>
      <c r="D1389" s="137"/>
      <c r="E1389" s="137"/>
      <c r="F1389" s="137"/>
      <c r="G1389" s="102"/>
      <c r="H1389" s="137"/>
      <c r="I1389" s="137"/>
      <c r="J1389" s="137"/>
      <c r="K1389" s="170"/>
      <c r="L1389" s="170"/>
      <c r="M1389" s="170"/>
      <c r="N1389" s="137"/>
      <c r="O1389" s="137"/>
    </row>
    <row r="1390" spans="1:15" x14ac:dyDescent="0.35">
      <c r="A1390" s="137"/>
      <c r="B1390" s="137"/>
      <c r="C1390" s="137"/>
      <c r="D1390" s="137"/>
      <c r="E1390" s="137"/>
      <c r="F1390" s="137"/>
      <c r="G1390" s="102"/>
      <c r="H1390" s="137"/>
      <c r="I1390" s="137"/>
      <c r="J1390" s="137"/>
      <c r="K1390" s="170"/>
      <c r="L1390" s="170"/>
      <c r="M1390" s="170"/>
      <c r="N1390" s="137"/>
      <c r="O1390" s="137"/>
    </row>
    <row r="1391" spans="1:15" x14ac:dyDescent="0.35">
      <c r="A1391" s="137"/>
      <c r="B1391" s="137"/>
      <c r="C1391" s="137"/>
      <c r="D1391" s="137"/>
      <c r="E1391" s="137"/>
      <c r="F1391" s="137"/>
      <c r="G1391" s="102"/>
      <c r="H1391" s="137"/>
      <c r="I1391" s="137"/>
      <c r="J1391" s="137"/>
      <c r="K1391" s="170"/>
      <c r="L1391" s="170"/>
      <c r="M1391" s="170"/>
      <c r="N1391" s="137"/>
      <c r="O1391" s="137"/>
    </row>
    <row r="1392" spans="1:15" x14ac:dyDescent="0.35">
      <c r="A1392" s="137"/>
      <c r="B1392" s="137"/>
      <c r="C1392" s="137"/>
      <c r="D1392" s="137"/>
      <c r="E1392" s="137"/>
      <c r="F1392" s="137"/>
      <c r="G1392" s="102"/>
      <c r="H1392" s="137"/>
      <c r="I1392" s="137"/>
      <c r="J1392" s="137"/>
      <c r="K1392" s="170"/>
      <c r="L1392" s="170"/>
      <c r="M1392" s="170"/>
      <c r="N1392" s="137"/>
      <c r="O1392" s="137"/>
    </row>
    <row r="1393" spans="1:15" x14ac:dyDescent="0.35">
      <c r="A1393" s="137"/>
      <c r="B1393" s="137"/>
      <c r="C1393" s="137"/>
      <c r="D1393" s="137"/>
      <c r="E1393" s="137"/>
      <c r="F1393" s="137"/>
      <c r="G1393" s="102"/>
      <c r="H1393" s="137"/>
      <c r="I1393" s="137"/>
      <c r="J1393" s="137"/>
      <c r="K1393" s="170"/>
      <c r="L1393" s="170"/>
      <c r="M1393" s="170"/>
      <c r="N1393" s="137"/>
      <c r="O1393" s="137"/>
    </row>
    <row r="1394" spans="1:15" x14ac:dyDescent="0.35">
      <c r="A1394" s="137"/>
      <c r="B1394" s="137"/>
      <c r="C1394" s="137"/>
      <c r="D1394" s="137"/>
      <c r="E1394" s="137"/>
      <c r="F1394" s="137"/>
      <c r="G1394" s="102"/>
      <c r="H1394" s="137"/>
      <c r="I1394" s="137"/>
      <c r="J1394" s="137"/>
      <c r="K1394" s="170"/>
      <c r="L1394" s="170"/>
      <c r="M1394" s="170"/>
      <c r="N1394" s="137"/>
      <c r="O1394" s="137"/>
    </row>
    <row r="1395" spans="1:15" x14ac:dyDescent="0.35">
      <c r="A1395" s="137"/>
      <c r="B1395" s="137"/>
      <c r="C1395" s="137"/>
      <c r="D1395" s="137"/>
      <c r="E1395" s="137"/>
      <c r="F1395" s="137"/>
      <c r="G1395" s="102"/>
      <c r="H1395" s="137"/>
      <c r="I1395" s="137"/>
      <c r="J1395" s="137"/>
      <c r="K1395" s="170"/>
      <c r="L1395" s="170"/>
      <c r="M1395" s="170"/>
      <c r="N1395" s="137"/>
      <c r="O1395" s="137"/>
    </row>
    <row r="1396" spans="1:15" x14ac:dyDescent="0.35">
      <c r="A1396" s="137"/>
      <c r="B1396" s="137"/>
      <c r="C1396" s="137"/>
      <c r="D1396" s="137"/>
      <c r="E1396" s="137"/>
      <c r="F1396" s="137"/>
      <c r="G1396" s="102"/>
      <c r="H1396" s="137"/>
      <c r="I1396" s="137"/>
      <c r="J1396" s="137"/>
      <c r="K1396" s="170"/>
      <c r="L1396" s="170"/>
      <c r="M1396" s="170"/>
      <c r="N1396" s="137"/>
      <c r="O1396" s="137"/>
    </row>
    <row r="1397" spans="1:15" x14ac:dyDescent="0.35">
      <c r="A1397" s="137"/>
      <c r="B1397" s="137"/>
      <c r="C1397" s="137"/>
      <c r="D1397" s="137"/>
      <c r="E1397" s="137"/>
      <c r="F1397" s="137"/>
      <c r="G1397" s="102"/>
      <c r="H1397" s="137"/>
      <c r="I1397" s="137"/>
      <c r="J1397" s="137"/>
      <c r="K1397" s="170"/>
      <c r="L1397" s="170"/>
      <c r="M1397" s="170"/>
      <c r="N1397" s="137"/>
      <c r="O1397" s="137"/>
    </row>
    <row r="1398" spans="1:15" x14ac:dyDescent="0.35">
      <c r="A1398" s="137"/>
      <c r="B1398" s="137"/>
      <c r="C1398" s="137"/>
      <c r="D1398" s="137"/>
      <c r="E1398" s="137"/>
      <c r="F1398" s="137"/>
      <c r="G1398" s="102"/>
      <c r="H1398" s="137"/>
      <c r="I1398" s="137"/>
      <c r="J1398" s="137"/>
      <c r="K1398" s="170"/>
      <c r="L1398" s="170"/>
      <c r="M1398" s="170"/>
      <c r="N1398" s="137"/>
      <c r="O1398" s="137"/>
    </row>
    <row r="1399" spans="1:15" x14ac:dyDescent="0.35">
      <c r="A1399" s="137"/>
      <c r="B1399" s="137"/>
      <c r="C1399" s="137"/>
      <c r="D1399" s="137"/>
      <c r="E1399" s="137"/>
      <c r="F1399" s="137"/>
      <c r="G1399" s="102"/>
      <c r="H1399" s="137"/>
      <c r="I1399" s="137"/>
      <c r="J1399" s="137"/>
      <c r="K1399" s="170"/>
      <c r="L1399" s="170"/>
      <c r="M1399" s="170"/>
      <c r="N1399" s="137"/>
      <c r="O1399" s="137"/>
    </row>
    <row r="1400" spans="1:15" x14ac:dyDescent="0.35">
      <c r="A1400" s="137"/>
      <c r="B1400" s="137"/>
      <c r="C1400" s="137"/>
      <c r="D1400" s="137"/>
      <c r="E1400" s="137"/>
      <c r="F1400" s="137"/>
      <c r="G1400" s="102"/>
      <c r="H1400" s="137"/>
      <c r="I1400" s="137"/>
      <c r="J1400" s="137"/>
      <c r="K1400" s="170"/>
      <c r="L1400" s="170"/>
      <c r="M1400" s="170"/>
      <c r="N1400" s="137"/>
      <c r="O1400" s="137"/>
    </row>
    <row r="1401" spans="1:15" x14ac:dyDescent="0.35">
      <c r="A1401" s="137"/>
      <c r="B1401" s="137"/>
      <c r="C1401" s="137"/>
      <c r="D1401" s="137"/>
      <c r="E1401" s="137"/>
      <c r="F1401" s="137"/>
      <c r="G1401" s="102"/>
      <c r="H1401" s="137"/>
      <c r="I1401" s="137"/>
      <c r="J1401" s="137"/>
      <c r="K1401" s="170"/>
      <c r="L1401" s="170"/>
      <c r="M1401" s="170"/>
      <c r="N1401" s="137"/>
      <c r="O1401" s="137"/>
    </row>
    <row r="1402" spans="1:15" x14ac:dyDescent="0.35">
      <c r="A1402" s="137"/>
      <c r="B1402" s="137"/>
      <c r="C1402" s="137"/>
      <c r="D1402" s="137"/>
      <c r="E1402" s="137"/>
      <c r="F1402" s="137"/>
      <c r="G1402" s="102"/>
      <c r="H1402" s="137"/>
      <c r="I1402" s="137"/>
      <c r="J1402" s="137"/>
      <c r="K1402" s="170"/>
      <c r="L1402" s="170"/>
      <c r="M1402" s="170"/>
      <c r="N1402" s="137"/>
      <c r="O1402" s="137"/>
    </row>
    <row r="1403" spans="1:15" x14ac:dyDescent="0.35">
      <c r="A1403" s="137"/>
      <c r="B1403" s="137"/>
      <c r="C1403" s="137"/>
      <c r="D1403" s="137"/>
      <c r="E1403" s="137"/>
      <c r="F1403" s="137"/>
      <c r="G1403" s="102"/>
      <c r="H1403" s="137"/>
      <c r="I1403" s="137"/>
      <c r="J1403" s="137"/>
      <c r="K1403" s="170"/>
      <c r="L1403" s="170"/>
      <c r="M1403" s="170"/>
      <c r="N1403" s="137"/>
      <c r="O1403" s="137"/>
    </row>
    <row r="1404" spans="1:15" x14ac:dyDescent="0.35">
      <c r="A1404" s="137"/>
      <c r="B1404" s="137"/>
      <c r="C1404" s="137"/>
      <c r="D1404" s="137"/>
      <c r="E1404" s="137"/>
      <c r="F1404" s="137"/>
      <c r="G1404" s="102"/>
      <c r="H1404" s="137"/>
      <c r="I1404" s="137"/>
      <c r="J1404" s="137"/>
      <c r="K1404" s="170"/>
      <c r="L1404" s="170"/>
      <c r="M1404" s="170"/>
    </row>
    <row r="1405" spans="1:15" x14ac:dyDescent="0.35">
      <c r="A1405" s="137"/>
      <c r="B1405" s="137"/>
      <c r="C1405" s="137"/>
      <c r="D1405" s="137"/>
      <c r="E1405" s="137"/>
      <c r="F1405" s="137"/>
      <c r="G1405" s="102"/>
      <c r="H1405" s="137"/>
      <c r="I1405" s="137"/>
      <c r="J1405" s="137"/>
      <c r="K1405" s="170"/>
      <c r="L1405" s="170"/>
      <c r="M1405" s="170"/>
    </row>
    <row r="1406" spans="1:15" x14ac:dyDescent="0.35">
      <c r="A1406" s="137"/>
      <c r="B1406" s="137"/>
      <c r="C1406" s="137"/>
      <c r="D1406" s="137"/>
      <c r="E1406" s="137"/>
      <c r="F1406" s="137"/>
      <c r="G1406" s="102"/>
      <c r="H1406" s="137"/>
      <c r="I1406" s="137"/>
      <c r="J1406" s="137"/>
      <c r="K1406" s="170"/>
      <c r="L1406" s="170"/>
      <c r="M1406" s="170"/>
      <c r="N1406" s="137"/>
      <c r="O1406" s="137"/>
    </row>
    <row r="1407" spans="1:15" x14ac:dyDescent="0.35">
      <c r="A1407" s="137"/>
      <c r="B1407" s="137"/>
      <c r="C1407" s="137"/>
      <c r="D1407" s="137"/>
      <c r="E1407" s="137"/>
      <c r="F1407" s="137"/>
      <c r="G1407" s="102"/>
      <c r="H1407" s="137"/>
      <c r="I1407" s="137"/>
      <c r="J1407" s="137"/>
      <c r="K1407" s="170"/>
      <c r="L1407" s="170"/>
      <c r="M1407" s="170"/>
      <c r="N1407" s="137"/>
      <c r="O1407" s="137"/>
    </row>
    <row r="1408" spans="1:15" x14ac:dyDescent="0.35">
      <c r="A1408" s="137"/>
      <c r="B1408" s="137"/>
      <c r="C1408" s="137"/>
      <c r="D1408" s="137"/>
      <c r="E1408" s="137"/>
      <c r="F1408" s="137"/>
      <c r="G1408" s="102"/>
      <c r="H1408" s="137"/>
      <c r="I1408" s="137"/>
      <c r="J1408" s="137"/>
      <c r="K1408" s="170"/>
      <c r="L1408" s="170"/>
      <c r="M1408" s="170"/>
      <c r="N1408" s="137"/>
      <c r="O1408" s="137"/>
    </row>
    <row r="1409" spans="1:15" x14ac:dyDescent="0.35">
      <c r="A1409" s="137"/>
      <c r="B1409" s="137"/>
      <c r="C1409" s="137"/>
      <c r="D1409" s="137"/>
      <c r="E1409" s="137"/>
      <c r="F1409" s="137"/>
      <c r="G1409" s="102"/>
      <c r="H1409" s="137"/>
      <c r="I1409" s="137"/>
      <c r="J1409" s="137"/>
      <c r="K1409" s="170"/>
      <c r="L1409" s="170"/>
      <c r="M1409" s="170"/>
      <c r="N1409" s="137"/>
      <c r="O1409" s="137"/>
    </row>
    <row r="1410" spans="1:15" x14ac:dyDescent="0.35">
      <c r="A1410" s="137"/>
      <c r="B1410" s="137"/>
      <c r="C1410" s="137"/>
      <c r="D1410" s="137"/>
      <c r="E1410" s="137"/>
      <c r="F1410" s="137"/>
      <c r="G1410" s="102"/>
      <c r="H1410" s="137"/>
      <c r="I1410" s="137"/>
      <c r="J1410" s="137"/>
      <c r="K1410" s="170"/>
      <c r="L1410" s="170"/>
      <c r="M1410" s="170"/>
      <c r="N1410" s="137"/>
      <c r="O1410" s="137"/>
    </row>
    <row r="1411" spans="1:15" x14ac:dyDescent="0.35">
      <c r="A1411" s="137"/>
      <c r="B1411" s="137"/>
      <c r="C1411" s="137"/>
      <c r="D1411" s="137"/>
      <c r="E1411" s="137"/>
      <c r="F1411" s="137"/>
      <c r="G1411" s="102"/>
      <c r="H1411" s="137"/>
      <c r="I1411" s="137"/>
      <c r="J1411" s="137"/>
      <c r="K1411" s="170"/>
      <c r="L1411" s="170"/>
      <c r="M1411" s="170"/>
      <c r="N1411" s="137"/>
      <c r="O1411" s="137"/>
    </row>
    <row r="1412" spans="1:15" x14ac:dyDescent="0.35">
      <c r="A1412" s="137"/>
      <c r="B1412" s="137"/>
      <c r="C1412" s="137"/>
      <c r="D1412" s="137"/>
      <c r="E1412" s="137"/>
      <c r="F1412" s="137"/>
      <c r="G1412" s="102"/>
      <c r="H1412" s="137"/>
      <c r="I1412" s="137"/>
      <c r="J1412" s="137"/>
      <c r="K1412" s="170"/>
      <c r="L1412" s="170"/>
      <c r="M1412" s="170"/>
      <c r="N1412" s="137"/>
      <c r="O1412" s="137"/>
    </row>
    <row r="1413" spans="1:15" x14ac:dyDescent="0.35">
      <c r="A1413" s="137"/>
      <c r="B1413" s="137"/>
      <c r="C1413" s="137"/>
      <c r="D1413" s="137"/>
      <c r="E1413" s="137"/>
      <c r="F1413" s="137"/>
      <c r="G1413" s="102"/>
      <c r="H1413" s="137"/>
      <c r="I1413" s="137"/>
      <c r="J1413" s="137"/>
      <c r="K1413" s="170"/>
      <c r="L1413" s="170"/>
      <c r="M1413" s="170"/>
      <c r="N1413" s="137"/>
      <c r="O1413" s="137"/>
    </row>
    <row r="1414" spans="1:15" x14ac:dyDescent="0.35">
      <c r="A1414" s="137"/>
      <c r="B1414" s="137"/>
      <c r="C1414" s="137"/>
      <c r="D1414" s="137"/>
      <c r="E1414" s="137"/>
      <c r="F1414" s="137"/>
      <c r="G1414" s="102"/>
      <c r="H1414" s="137"/>
      <c r="I1414" s="137"/>
      <c r="J1414" s="137"/>
      <c r="K1414" s="170"/>
      <c r="L1414" s="170"/>
      <c r="M1414" s="170"/>
      <c r="N1414" s="31"/>
      <c r="O1414" s="31"/>
    </row>
    <row r="1415" spans="1:15" x14ac:dyDescent="0.35">
      <c r="A1415" s="137"/>
      <c r="B1415" s="137"/>
      <c r="C1415" s="137"/>
      <c r="D1415" s="137"/>
      <c r="E1415" s="137"/>
      <c r="F1415" s="137"/>
      <c r="G1415" s="102"/>
      <c r="H1415" s="137"/>
      <c r="I1415" s="137"/>
      <c r="J1415" s="137"/>
      <c r="K1415" s="170"/>
      <c r="L1415" s="170"/>
      <c r="M1415" s="170"/>
    </row>
    <row r="1416" spans="1:15" x14ac:dyDescent="0.35">
      <c r="A1416" s="137"/>
      <c r="B1416" s="137"/>
      <c r="C1416" s="137"/>
      <c r="D1416" s="137"/>
      <c r="E1416" s="137"/>
      <c r="F1416" s="137"/>
      <c r="G1416" s="102"/>
      <c r="H1416" s="137"/>
      <c r="I1416" s="137"/>
      <c r="J1416" s="137"/>
      <c r="K1416" s="170"/>
      <c r="L1416" s="170"/>
      <c r="M1416" s="170"/>
    </row>
    <row r="1417" spans="1:15" x14ac:dyDescent="0.35">
      <c r="A1417" s="137"/>
      <c r="B1417" s="137"/>
      <c r="C1417" s="137"/>
      <c r="D1417" s="137"/>
      <c r="E1417" s="137"/>
      <c r="F1417" s="137"/>
      <c r="G1417" s="102"/>
      <c r="H1417" s="137"/>
      <c r="I1417" s="137"/>
      <c r="J1417" s="137"/>
      <c r="K1417" s="170"/>
      <c r="L1417" s="170"/>
      <c r="M1417" s="170"/>
    </row>
    <row r="1418" spans="1:15" x14ac:dyDescent="0.35">
      <c r="A1418" s="137"/>
      <c r="B1418" s="137"/>
      <c r="C1418" s="137"/>
      <c r="D1418" s="137"/>
      <c r="E1418" s="137"/>
      <c r="F1418" s="137"/>
      <c r="G1418" s="102"/>
      <c r="H1418" s="137"/>
      <c r="I1418" s="137"/>
      <c r="J1418" s="137"/>
      <c r="K1418" s="170"/>
      <c r="L1418" s="170"/>
      <c r="M1418" s="170"/>
    </row>
    <row r="1419" spans="1:15" x14ac:dyDescent="0.35">
      <c r="A1419" s="137"/>
      <c r="B1419" s="137"/>
      <c r="C1419" s="137"/>
      <c r="D1419" s="137"/>
      <c r="E1419" s="137"/>
      <c r="F1419" s="137"/>
      <c r="G1419" s="102"/>
      <c r="H1419" s="137"/>
      <c r="I1419" s="137"/>
      <c r="J1419" s="137"/>
      <c r="K1419" s="170"/>
      <c r="L1419" s="170"/>
      <c r="M1419" s="170"/>
    </row>
    <row r="1420" spans="1:15" x14ac:dyDescent="0.35">
      <c r="A1420" s="137"/>
      <c r="B1420" s="137"/>
      <c r="C1420" s="137"/>
      <c r="D1420" s="137"/>
      <c r="E1420" s="137"/>
      <c r="F1420" s="137"/>
      <c r="G1420" s="102"/>
      <c r="H1420" s="137"/>
      <c r="I1420" s="137"/>
      <c r="J1420" s="137"/>
      <c r="K1420" s="170"/>
      <c r="L1420" s="170"/>
      <c r="M1420" s="170"/>
      <c r="N1420" s="137"/>
      <c r="O1420" s="137"/>
    </row>
    <row r="1421" spans="1:15" x14ac:dyDescent="0.35">
      <c r="A1421" s="137"/>
      <c r="B1421" s="137"/>
      <c r="C1421" s="137"/>
      <c r="D1421" s="137"/>
      <c r="E1421" s="137"/>
      <c r="F1421" s="137"/>
      <c r="G1421" s="102"/>
      <c r="H1421" s="137"/>
      <c r="I1421" s="137"/>
      <c r="J1421" s="137"/>
      <c r="K1421" s="170"/>
      <c r="L1421" s="170"/>
      <c r="M1421" s="170"/>
    </row>
    <row r="1422" spans="1:15" x14ac:dyDescent="0.35">
      <c r="A1422" s="137"/>
      <c r="B1422" s="137"/>
      <c r="C1422" s="137"/>
      <c r="D1422" s="137"/>
      <c r="E1422" s="137"/>
      <c r="F1422" s="137"/>
      <c r="G1422" s="102"/>
      <c r="H1422" s="137"/>
      <c r="I1422" s="137"/>
      <c r="J1422" s="137"/>
      <c r="K1422" s="170"/>
      <c r="L1422" s="170"/>
      <c r="M1422" s="170"/>
      <c r="N1422" s="31"/>
      <c r="O1422" s="31"/>
    </row>
    <row r="1423" spans="1:15" x14ac:dyDescent="0.35">
      <c r="A1423" s="137"/>
      <c r="B1423" s="137"/>
      <c r="C1423" s="137"/>
      <c r="D1423" s="137"/>
      <c r="E1423" s="137"/>
      <c r="F1423" s="137"/>
      <c r="G1423" s="102"/>
      <c r="H1423" s="137"/>
      <c r="I1423" s="137"/>
      <c r="J1423" s="137"/>
      <c r="K1423" s="170"/>
      <c r="L1423" s="170"/>
      <c r="M1423" s="170"/>
      <c r="N1423" s="137"/>
      <c r="O1423" s="137"/>
    </row>
    <row r="1424" spans="1:15" x14ac:dyDescent="0.35">
      <c r="A1424" s="137"/>
      <c r="B1424" s="137"/>
      <c r="C1424" s="137"/>
      <c r="D1424" s="137"/>
      <c r="E1424" s="137"/>
      <c r="F1424" s="137"/>
      <c r="G1424" s="102"/>
      <c r="H1424" s="137"/>
      <c r="I1424" s="137"/>
      <c r="J1424" s="137"/>
      <c r="K1424" s="170"/>
      <c r="L1424" s="170"/>
      <c r="M1424" s="170"/>
      <c r="N1424" s="137"/>
      <c r="O1424" s="137"/>
    </row>
    <row r="1425" spans="1:15" x14ac:dyDescent="0.35">
      <c r="A1425" s="137"/>
      <c r="B1425" s="137"/>
      <c r="C1425" s="137"/>
      <c r="D1425" s="137"/>
      <c r="E1425" s="137"/>
      <c r="F1425" s="137"/>
      <c r="G1425" s="102"/>
      <c r="H1425" s="137"/>
      <c r="I1425" s="137"/>
      <c r="J1425" s="137"/>
      <c r="K1425" s="170"/>
      <c r="L1425" s="170"/>
      <c r="M1425" s="170"/>
      <c r="N1425" s="137"/>
      <c r="O1425" s="137"/>
    </row>
    <row r="1426" spans="1:15" x14ac:dyDescent="0.35">
      <c r="A1426" s="137"/>
      <c r="B1426" s="137"/>
      <c r="C1426" s="137"/>
      <c r="D1426" s="137"/>
      <c r="E1426" s="137"/>
      <c r="F1426" s="137"/>
      <c r="G1426" s="102"/>
      <c r="H1426" s="137"/>
      <c r="I1426" s="137"/>
      <c r="J1426" s="137"/>
      <c r="K1426" s="170"/>
      <c r="L1426" s="170"/>
      <c r="M1426" s="170"/>
      <c r="N1426" s="137"/>
      <c r="O1426" s="137"/>
    </row>
    <row r="1427" spans="1:15" x14ac:dyDescent="0.35">
      <c r="A1427" s="137"/>
      <c r="B1427" s="137"/>
      <c r="C1427" s="137"/>
      <c r="D1427" s="137"/>
      <c r="E1427" s="137"/>
      <c r="F1427" s="137"/>
      <c r="G1427" s="102"/>
      <c r="H1427" s="137"/>
      <c r="I1427" s="137"/>
      <c r="J1427" s="137"/>
      <c r="K1427" s="170"/>
      <c r="L1427" s="170"/>
      <c r="M1427" s="170"/>
      <c r="N1427" s="137"/>
      <c r="O1427" s="137"/>
    </row>
    <row r="1428" spans="1:15" x14ac:dyDescent="0.35">
      <c r="A1428" s="137"/>
      <c r="B1428" s="137"/>
      <c r="C1428" s="137"/>
      <c r="D1428" s="137"/>
      <c r="E1428" s="137"/>
      <c r="F1428" s="137"/>
      <c r="G1428" s="102"/>
      <c r="H1428" s="137"/>
      <c r="I1428" s="137"/>
      <c r="J1428" s="137"/>
      <c r="K1428" s="170"/>
      <c r="L1428" s="170"/>
      <c r="M1428" s="170"/>
      <c r="N1428" s="137"/>
      <c r="O1428" s="137"/>
    </row>
    <row r="1429" spans="1:15" x14ac:dyDescent="0.35">
      <c r="A1429" s="137"/>
      <c r="B1429" s="137"/>
      <c r="C1429" s="137"/>
      <c r="D1429" s="137"/>
      <c r="E1429" s="137"/>
      <c r="F1429" s="137"/>
      <c r="G1429" s="102"/>
      <c r="H1429" s="137"/>
      <c r="I1429" s="137"/>
      <c r="J1429" s="137"/>
      <c r="K1429" s="170"/>
      <c r="L1429" s="170"/>
      <c r="M1429" s="170"/>
      <c r="N1429" s="137"/>
      <c r="O1429" s="137"/>
    </row>
    <row r="1430" spans="1:15" x14ac:dyDescent="0.35">
      <c r="A1430" s="137"/>
      <c r="B1430" s="137"/>
      <c r="C1430" s="137"/>
      <c r="D1430" s="137"/>
      <c r="E1430" s="137"/>
      <c r="F1430" s="137"/>
      <c r="G1430" s="102"/>
      <c r="H1430" s="137"/>
      <c r="I1430" s="137"/>
      <c r="J1430" s="137"/>
      <c r="K1430" s="170"/>
      <c r="L1430" s="170"/>
      <c r="M1430" s="170"/>
      <c r="N1430" s="137"/>
      <c r="O1430" s="137"/>
    </row>
    <row r="1431" spans="1:15" x14ac:dyDescent="0.35">
      <c r="A1431" s="137"/>
      <c r="B1431" s="137"/>
      <c r="C1431" s="137"/>
      <c r="D1431" s="137"/>
      <c r="E1431" s="137"/>
      <c r="F1431" s="137"/>
      <c r="G1431" s="102"/>
      <c r="H1431" s="137"/>
      <c r="I1431" s="137"/>
      <c r="J1431" s="137"/>
      <c r="K1431" s="170"/>
      <c r="L1431" s="170"/>
      <c r="M1431" s="170"/>
      <c r="N1431" s="137"/>
      <c r="O1431" s="137"/>
    </row>
    <row r="1432" spans="1:15" x14ac:dyDescent="0.35">
      <c r="A1432" s="137"/>
      <c r="B1432" s="137"/>
      <c r="C1432" s="137"/>
      <c r="D1432" s="137"/>
      <c r="E1432" s="137"/>
      <c r="F1432" s="137"/>
      <c r="G1432" s="102"/>
      <c r="H1432" s="137"/>
      <c r="I1432" s="137"/>
      <c r="J1432" s="137"/>
      <c r="K1432" s="170"/>
      <c r="L1432" s="170"/>
      <c r="M1432" s="170"/>
    </row>
    <row r="1433" spans="1:15" x14ac:dyDescent="0.35">
      <c r="A1433" s="137"/>
      <c r="B1433" s="137"/>
      <c r="C1433" s="137"/>
      <c r="D1433" s="137"/>
      <c r="E1433" s="137"/>
      <c r="F1433" s="137"/>
      <c r="G1433" s="102"/>
      <c r="H1433" s="137"/>
      <c r="I1433" s="137"/>
      <c r="J1433" s="137"/>
      <c r="K1433" s="170"/>
      <c r="L1433" s="170"/>
      <c r="M1433" s="170"/>
      <c r="N1433" s="137"/>
      <c r="O1433" s="137"/>
    </row>
    <row r="1434" spans="1:15" x14ac:dyDescent="0.35">
      <c r="A1434" s="137"/>
      <c r="B1434" s="137"/>
      <c r="C1434" s="137"/>
      <c r="D1434" s="137"/>
      <c r="E1434" s="137"/>
      <c r="F1434" s="137"/>
      <c r="G1434" s="102"/>
      <c r="H1434" s="137"/>
      <c r="I1434" s="137"/>
      <c r="J1434" s="137"/>
      <c r="K1434" s="170"/>
      <c r="L1434" s="170"/>
      <c r="M1434" s="170"/>
      <c r="N1434" s="137"/>
      <c r="O1434" s="137"/>
    </row>
    <row r="1435" spans="1:15" x14ac:dyDescent="0.35">
      <c r="A1435" s="137"/>
      <c r="B1435" s="137"/>
      <c r="C1435" s="137"/>
      <c r="D1435" s="137"/>
      <c r="E1435" s="137"/>
      <c r="F1435" s="137"/>
      <c r="G1435" s="102"/>
      <c r="H1435" s="137"/>
      <c r="I1435" s="137"/>
      <c r="J1435" s="137"/>
      <c r="K1435" s="170"/>
      <c r="L1435" s="170"/>
      <c r="M1435" s="170"/>
      <c r="N1435" s="137"/>
      <c r="O1435" s="137"/>
    </row>
    <row r="1436" spans="1:15" x14ac:dyDescent="0.35">
      <c r="A1436" s="137"/>
      <c r="B1436" s="137"/>
      <c r="C1436" s="137"/>
      <c r="D1436" s="137"/>
      <c r="E1436" s="137"/>
      <c r="F1436" s="137"/>
      <c r="G1436" s="102"/>
      <c r="H1436" s="137"/>
      <c r="I1436" s="137"/>
      <c r="J1436" s="137"/>
      <c r="K1436" s="170"/>
      <c r="L1436" s="170"/>
      <c r="M1436" s="170"/>
      <c r="N1436" s="137"/>
      <c r="O1436" s="137"/>
    </row>
    <row r="1437" spans="1:15" x14ac:dyDescent="0.35">
      <c r="A1437" s="137"/>
      <c r="B1437" s="137"/>
      <c r="C1437" s="137"/>
      <c r="D1437" s="137"/>
      <c r="E1437" s="137"/>
      <c r="F1437" s="137"/>
      <c r="G1437" s="102"/>
      <c r="H1437" s="137"/>
      <c r="I1437" s="137"/>
      <c r="J1437" s="137"/>
      <c r="K1437" s="170"/>
      <c r="L1437" s="170"/>
      <c r="M1437" s="170"/>
      <c r="N1437" s="137"/>
      <c r="O1437" s="137"/>
    </row>
    <row r="1438" spans="1:15" x14ac:dyDescent="0.35">
      <c r="A1438" s="137"/>
      <c r="B1438" s="137"/>
      <c r="C1438" s="137"/>
      <c r="D1438" s="137"/>
      <c r="E1438" s="137"/>
      <c r="F1438" s="137"/>
      <c r="G1438" s="102"/>
      <c r="H1438" s="137"/>
      <c r="I1438" s="137"/>
      <c r="J1438" s="137"/>
      <c r="K1438" s="170"/>
      <c r="L1438" s="170"/>
      <c r="M1438" s="170"/>
      <c r="N1438" s="137"/>
      <c r="O1438" s="137"/>
    </row>
    <row r="1439" spans="1:15" x14ac:dyDescent="0.35">
      <c r="A1439" s="137"/>
      <c r="B1439" s="137"/>
      <c r="C1439" s="137"/>
      <c r="D1439" s="137"/>
      <c r="E1439" s="137"/>
      <c r="F1439" s="137"/>
      <c r="G1439" s="102"/>
      <c r="H1439" s="137"/>
      <c r="I1439" s="137"/>
      <c r="J1439" s="137"/>
      <c r="K1439" s="170"/>
      <c r="L1439" s="170"/>
      <c r="M1439" s="170"/>
      <c r="N1439" s="137"/>
      <c r="O1439" s="137"/>
    </row>
    <row r="1440" spans="1:15" x14ac:dyDescent="0.35">
      <c r="A1440" s="137"/>
      <c r="B1440" s="137"/>
      <c r="C1440" s="137"/>
      <c r="D1440" s="137"/>
      <c r="E1440" s="137"/>
      <c r="F1440" s="137"/>
      <c r="G1440" s="102"/>
      <c r="H1440" s="137"/>
      <c r="I1440" s="137"/>
      <c r="J1440" s="137"/>
      <c r="K1440" s="170"/>
      <c r="L1440" s="170"/>
      <c r="M1440" s="170"/>
      <c r="N1440" s="137"/>
      <c r="O1440" s="137"/>
    </row>
    <row r="1441" spans="1:15" x14ac:dyDescent="0.35">
      <c r="A1441" s="137"/>
      <c r="B1441" s="137"/>
      <c r="C1441" s="137"/>
      <c r="D1441" s="137"/>
      <c r="E1441" s="137"/>
      <c r="F1441" s="137"/>
      <c r="G1441" s="102"/>
      <c r="H1441" s="137"/>
      <c r="I1441" s="137"/>
      <c r="J1441" s="137"/>
      <c r="K1441" s="170"/>
      <c r="L1441" s="170"/>
      <c r="M1441" s="170"/>
      <c r="N1441" s="137"/>
      <c r="O1441" s="137"/>
    </row>
    <row r="1442" spans="1:15" x14ac:dyDescent="0.35">
      <c r="A1442" s="137"/>
      <c r="B1442" s="137"/>
      <c r="C1442" s="137"/>
      <c r="D1442" s="137"/>
      <c r="E1442" s="137"/>
      <c r="F1442" s="137"/>
      <c r="G1442" s="102"/>
      <c r="H1442" s="137"/>
      <c r="I1442" s="137"/>
      <c r="J1442" s="137"/>
      <c r="K1442" s="170"/>
      <c r="L1442" s="170"/>
      <c r="M1442" s="170"/>
      <c r="N1442" s="137"/>
      <c r="O1442" s="137"/>
    </row>
    <row r="1443" spans="1:15" x14ac:dyDescent="0.35">
      <c r="A1443" s="137"/>
      <c r="B1443" s="137"/>
      <c r="C1443" s="137"/>
      <c r="D1443" s="137"/>
      <c r="E1443" s="137"/>
      <c r="F1443" s="137"/>
      <c r="G1443" s="102"/>
      <c r="H1443" s="137"/>
      <c r="I1443" s="137"/>
      <c r="J1443" s="137"/>
      <c r="K1443" s="170"/>
      <c r="L1443" s="170"/>
      <c r="M1443" s="170"/>
      <c r="N1443" s="137"/>
      <c r="O1443" s="137"/>
    </row>
    <row r="1444" spans="1:15" x14ac:dyDescent="0.35">
      <c r="A1444" s="137"/>
      <c r="B1444" s="137"/>
      <c r="C1444" s="137"/>
      <c r="D1444" s="137"/>
      <c r="E1444" s="137"/>
      <c r="F1444" s="137"/>
      <c r="G1444" s="102"/>
      <c r="H1444" s="137"/>
      <c r="I1444" s="137"/>
      <c r="J1444" s="137"/>
      <c r="K1444" s="170"/>
      <c r="L1444" s="170"/>
      <c r="M1444" s="170"/>
      <c r="N1444" s="137"/>
      <c r="O1444" s="137"/>
    </row>
    <row r="1445" spans="1:15" x14ac:dyDescent="0.35">
      <c r="A1445" s="137"/>
      <c r="B1445" s="137"/>
      <c r="C1445" s="137"/>
      <c r="D1445" s="137"/>
      <c r="E1445" s="137"/>
      <c r="F1445" s="137"/>
      <c r="G1445" s="102"/>
      <c r="H1445" s="137"/>
      <c r="I1445" s="137"/>
      <c r="J1445" s="137"/>
      <c r="K1445" s="170"/>
      <c r="L1445" s="170"/>
      <c r="M1445" s="170"/>
      <c r="N1445" s="137"/>
      <c r="O1445" s="137"/>
    </row>
    <row r="1446" spans="1:15" x14ac:dyDescent="0.35">
      <c r="A1446" s="137"/>
      <c r="B1446" s="137"/>
      <c r="C1446" s="137"/>
      <c r="D1446" s="137"/>
      <c r="E1446" s="137"/>
      <c r="F1446" s="137"/>
      <c r="G1446" s="102"/>
      <c r="H1446" s="137"/>
      <c r="I1446" s="137"/>
      <c r="J1446" s="137"/>
      <c r="K1446" s="170"/>
      <c r="L1446" s="170"/>
      <c r="M1446" s="170"/>
      <c r="N1446" s="137"/>
      <c r="O1446" s="137"/>
    </row>
    <row r="1447" spans="1:15" x14ac:dyDescent="0.35">
      <c r="A1447" s="137"/>
      <c r="B1447" s="137"/>
      <c r="C1447" s="137"/>
      <c r="D1447" s="137"/>
      <c r="E1447" s="137"/>
      <c r="F1447" s="137"/>
      <c r="G1447" s="102"/>
      <c r="H1447" s="137"/>
      <c r="I1447" s="137"/>
      <c r="J1447" s="137"/>
      <c r="K1447" s="170"/>
      <c r="L1447" s="170"/>
      <c r="M1447" s="170"/>
      <c r="N1447" s="137"/>
      <c r="O1447" s="137"/>
    </row>
    <row r="1448" spans="1:15" x14ac:dyDescent="0.35">
      <c r="A1448" s="137"/>
      <c r="B1448" s="137"/>
      <c r="C1448" s="137"/>
      <c r="D1448" s="137"/>
      <c r="E1448" s="137"/>
      <c r="F1448" s="137"/>
      <c r="G1448" s="102"/>
      <c r="H1448" s="137"/>
      <c r="I1448" s="137"/>
      <c r="J1448" s="137"/>
      <c r="K1448" s="170"/>
      <c r="L1448" s="170"/>
      <c r="M1448" s="170"/>
      <c r="N1448" s="137"/>
      <c r="O1448" s="137"/>
    </row>
    <row r="1449" spans="1:15" x14ac:dyDescent="0.35">
      <c r="A1449" s="137"/>
      <c r="B1449" s="137"/>
      <c r="C1449" s="137"/>
      <c r="D1449" s="137"/>
      <c r="E1449" s="137"/>
      <c r="F1449" s="137"/>
      <c r="G1449" s="102"/>
      <c r="H1449" s="137"/>
      <c r="I1449" s="137"/>
      <c r="J1449" s="137"/>
      <c r="K1449" s="170"/>
      <c r="L1449" s="170"/>
      <c r="M1449" s="170"/>
      <c r="N1449" s="137"/>
      <c r="O1449" s="137"/>
    </row>
    <row r="1450" spans="1:15" x14ac:dyDescent="0.35">
      <c r="A1450" s="137"/>
      <c r="B1450" s="137"/>
      <c r="C1450" s="137"/>
      <c r="D1450" s="137"/>
      <c r="E1450" s="137"/>
      <c r="F1450" s="137"/>
      <c r="G1450" s="102"/>
      <c r="H1450" s="137"/>
      <c r="I1450" s="137"/>
      <c r="J1450" s="137"/>
      <c r="K1450" s="170"/>
      <c r="L1450" s="170"/>
      <c r="M1450" s="170"/>
      <c r="N1450" s="137"/>
      <c r="O1450" s="137"/>
    </row>
    <row r="1451" spans="1:15" x14ac:dyDescent="0.35">
      <c r="A1451" s="137"/>
      <c r="B1451" s="137"/>
      <c r="C1451" s="137"/>
      <c r="D1451" s="137"/>
      <c r="E1451" s="137"/>
      <c r="F1451" s="137"/>
      <c r="G1451" s="102"/>
      <c r="H1451" s="137"/>
      <c r="I1451" s="137"/>
      <c r="J1451" s="137"/>
      <c r="K1451" s="170"/>
      <c r="L1451" s="170"/>
      <c r="M1451" s="170"/>
      <c r="N1451" s="137"/>
      <c r="O1451" s="137"/>
    </row>
    <row r="1452" spans="1:15" x14ac:dyDescent="0.35">
      <c r="A1452" s="137"/>
      <c r="B1452" s="137"/>
      <c r="C1452" s="137"/>
      <c r="D1452" s="137"/>
      <c r="E1452" s="137"/>
      <c r="F1452" s="137"/>
      <c r="G1452" s="102"/>
      <c r="H1452" s="137"/>
      <c r="I1452" s="137"/>
      <c r="J1452" s="137"/>
      <c r="K1452" s="170"/>
      <c r="L1452" s="170"/>
      <c r="M1452" s="170"/>
      <c r="N1452" s="137"/>
      <c r="O1452" s="137"/>
    </row>
    <row r="1453" spans="1:15" x14ac:dyDescent="0.35">
      <c r="A1453" s="137"/>
      <c r="B1453" s="137"/>
      <c r="C1453" s="137"/>
      <c r="D1453" s="137"/>
      <c r="E1453" s="137"/>
      <c r="F1453" s="137"/>
      <c r="G1453" s="102"/>
      <c r="H1453" s="137"/>
      <c r="I1453" s="137"/>
      <c r="J1453" s="137"/>
      <c r="K1453" s="170"/>
      <c r="L1453" s="170"/>
      <c r="M1453" s="170"/>
      <c r="N1453" s="137"/>
      <c r="O1453" s="137"/>
    </row>
    <row r="1454" spans="1:15" x14ac:dyDescent="0.35">
      <c r="A1454" s="137"/>
      <c r="B1454" s="137"/>
      <c r="C1454" s="137"/>
      <c r="D1454" s="137"/>
      <c r="E1454" s="137"/>
      <c r="F1454" s="137"/>
      <c r="G1454" s="102"/>
      <c r="H1454" s="137"/>
      <c r="I1454" s="137"/>
      <c r="J1454" s="137"/>
      <c r="K1454" s="170"/>
      <c r="L1454" s="170"/>
      <c r="M1454" s="170"/>
      <c r="N1454" s="137"/>
      <c r="O1454" s="137"/>
    </row>
    <row r="1455" spans="1:15" x14ac:dyDescent="0.35">
      <c r="A1455" s="137"/>
      <c r="B1455" s="137"/>
      <c r="C1455" s="137"/>
      <c r="D1455" s="137"/>
      <c r="E1455" s="137"/>
      <c r="F1455" s="137"/>
      <c r="G1455" s="102"/>
      <c r="H1455" s="137"/>
      <c r="I1455" s="137"/>
      <c r="J1455" s="137"/>
      <c r="K1455" s="170"/>
      <c r="L1455" s="170"/>
      <c r="M1455" s="170"/>
      <c r="N1455" s="137"/>
      <c r="O1455" s="137"/>
    </row>
    <row r="1456" spans="1:15" x14ac:dyDescent="0.35">
      <c r="A1456" s="137"/>
      <c r="B1456" s="137"/>
      <c r="C1456" s="137"/>
      <c r="D1456" s="137"/>
      <c r="E1456" s="137"/>
      <c r="F1456" s="137"/>
      <c r="G1456" s="102"/>
      <c r="H1456" s="137"/>
      <c r="I1456" s="137"/>
      <c r="J1456" s="137"/>
      <c r="K1456" s="170"/>
      <c r="L1456" s="170"/>
      <c r="M1456" s="170"/>
      <c r="N1456" s="137"/>
      <c r="O1456" s="137"/>
    </row>
    <row r="1457" spans="1:15" x14ac:dyDescent="0.35">
      <c r="A1457" s="137"/>
      <c r="B1457" s="137"/>
      <c r="C1457" s="137"/>
      <c r="D1457" s="137"/>
      <c r="E1457" s="137"/>
      <c r="F1457" s="137"/>
      <c r="G1457" s="102"/>
      <c r="H1457" s="137"/>
      <c r="I1457" s="137"/>
      <c r="J1457" s="137"/>
      <c r="K1457" s="170"/>
      <c r="L1457" s="170"/>
      <c r="M1457" s="170"/>
      <c r="N1457" s="137"/>
      <c r="O1457" s="137"/>
    </row>
    <row r="1458" spans="1:15" x14ac:dyDescent="0.35">
      <c r="A1458" s="137"/>
      <c r="B1458" s="137"/>
      <c r="C1458" s="137"/>
      <c r="D1458" s="137"/>
      <c r="E1458" s="137"/>
      <c r="F1458" s="137"/>
      <c r="G1458" s="102"/>
      <c r="H1458" s="137"/>
      <c r="I1458" s="137"/>
      <c r="J1458" s="137"/>
      <c r="K1458" s="170"/>
      <c r="L1458" s="170"/>
      <c r="M1458" s="170"/>
      <c r="N1458" s="137"/>
      <c r="O1458" s="137"/>
    </row>
    <row r="1459" spans="1:15" x14ac:dyDescent="0.35">
      <c r="A1459" s="137"/>
      <c r="B1459" s="137"/>
      <c r="C1459" s="137"/>
      <c r="D1459" s="137"/>
      <c r="E1459" s="137"/>
      <c r="F1459" s="137"/>
      <c r="G1459" s="102"/>
      <c r="H1459" s="137"/>
      <c r="I1459" s="137"/>
      <c r="J1459" s="137"/>
      <c r="K1459" s="170"/>
      <c r="L1459" s="170"/>
      <c r="M1459" s="170"/>
      <c r="N1459" s="137"/>
      <c r="O1459" s="137"/>
    </row>
    <row r="1460" spans="1:15" x14ac:dyDescent="0.35">
      <c r="A1460" s="137"/>
      <c r="B1460" s="137"/>
      <c r="C1460" s="137"/>
      <c r="D1460" s="137"/>
      <c r="E1460" s="137"/>
      <c r="F1460" s="137"/>
      <c r="G1460" s="102"/>
      <c r="H1460" s="137"/>
      <c r="I1460" s="137"/>
      <c r="J1460" s="137"/>
      <c r="K1460" s="170"/>
      <c r="L1460" s="170"/>
      <c r="M1460" s="170"/>
      <c r="N1460" s="137"/>
      <c r="O1460" s="137"/>
    </row>
    <row r="1461" spans="1:15" x14ac:dyDescent="0.35">
      <c r="A1461" s="137"/>
      <c r="B1461" s="137"/>
      <c r="C1461" s="137"/>
      <c r="D1461" s="137"/>
      <c r="E1461" s="137"/>
      <c r="F1461" s="137"/>
      <c r="G1461" s="102"/>
      <c r="H1461" s="137"/>
      <c r="I1461" s="137"/>
      <c r="J1461" s="137"/>
      <c r="K1461" s="170"/>
      <c r="L1461" s="170"/>
      <c r="M1461" s="170"/>
      <c r="N1461" s="137"/>
      <c r="O1461" s="137"/>
    </row>
    <row r="1462" spans="1:15" x14ac:dyDescent="0.35">
      <c r="A1462" s="137"/>
      <c r="B1462" s="137"/>
      <c r="C1462" s="137"/>
      <c r="D1462" s="137"/>
      <c r="E1462" s="137"/>
      <c r="F1462" s="137"/>
      <c r="G1462" s="102"/>
      <c r="H1462" s="137"/>
      <c r="I1462" s="137"/>
      <c r="J1462" s="137"/>
      <c r="K1462" s="170"/>
      <c r="L1462" s="170"/>
      <c r="M1462" s="170"/>
      <c r="N1462" s="137"/>
      <c r="O1462" s="137"/>
    </row>
    <row r="1463" spans="1:15" x14ac:dyDescent="0.35">
      <c r="A1463" s="137"/>
      <c r="B1463" s="137"/>
      <c r="C1463" s="137"/>
      <c r="D1463" s="137"/>
      <c r="E1463" s="137"/>
      <c r="F1463" s="137"/>
      <c r="G1463" s="102"/>
      <c r="H1463" s="137"/>
      <c r="I1463" s="137"/>
      <c r="J1463" s="137"/>
      <c r="K1463" s="170"/>
      <c r="L1463" s="170"/>
      <c r="M1463" s="170"/>
      <c r="N1463" s="137"/>
      <c r="O1463" s="137"/>
    </row>
    <row r="1464" spans="1:15" x14ac:dyDescent="0.35">
      <c r="A1464" s="137"/>
      <c r="B1464" s="137"/>
      <c r="C1464" s="137"/>
      <c r="D1464" s="137"/>
      <c r="E1464" s="137"/>
      <c r="F1464" s="137"/>
      <c r="G1464" s="102"/>
      <c r="H1464" s="137"/>
      <c r="I1464" s="137"/>
      <c r="J1464" s="137"/>
      <c r="K1464" s="170"/>
      <c r="L1464" s="170"/>
      <c r="M1464" s="170"/>
      <c r="N1464" s="137"/>
      <c r="O1464" s="137"/>
    </row>
    <row r="1465" spans="1:15" x14ac:dyDescent="0.35">
      <c r="A1465" s="137"/>
      <c r="B1465" s="137"/>
      <c r="C1465" s="137"/>
      <c r="D1465" s="137"/>
      <c r="E1465" s="137"/>
      <c r="F1465" s="137"/>
      <c r="G1465" s="102"/>
      <c r="H1465" s="137"/>
      <c r="I1465" s="137"/>
      <c r="J1465" s="137"/>
      <c r="K1465" s="170"/>
      <c r="L1465" s="170"/>
      <c r="M1465" s="170"/>
      <c r="N1465" s="137"/>
      <c r="O1465" s="137"/>
    </row>
    <row r="1466" spans="1:15" x14ac:dyDescent="0.35">
      <c r="A1466" s="137"/>
      <c r="B1466" s="137"/>
      <c r="C1466" s="137"/>
      <c r="D1466" s="137"/>
      <c r="E1466" s="137"/>
      <c r="F1466" s="137"/>
      <c r="G1466" s="102"/>
      <c r="H1466" s="137"/>
      <c r="I1466" s="137"/>
      <c r="J1466" s="137"/>
      <c r="K1466" s="170"/>
      <c r="L1466" s="170"/>
      <c r="M1466" s="170"/>
      <c r="N1466" s="137"/>
      <c r="O1466" s="137"/>
    </row>
    <row r="1467" spans="1:15" x14ac:dyDescent="0.35">
      <c r="A1467" s="137"/>
      <c r="B1467" s="137"/>
      <c r="C1467" s="137"/>
      <c r="D1467" s="137"/>
      <c r="E1467" s="137"/>
      <c r="F1467" s="137"/>
      <c r="G1467" s="102"/>
      <c r="H1467" s="137"/>
      <c r="I1467" s="137"/>
      <c r="J1467" s="137"/>
      <c r="K1467" s="170"/>
      <c r="L1467" s="170"/>
      <c r="M1467" s="170"/>
      <c r="N1467" s="137"/>
      <c r="O1467" s="137"/>
    </row>
    <row r="1468" spans="1:15" x14ac:dyDescent="0.35">
      <c r="A1468" s="137"/>
      <c r="B1468" s="137"/>
      <c r="C1468" s="137"/>
      <c r="D1468" s="137"/>
      <c r="E1468" s="137"/>
      <c r="F1468" s="137"/>
      <c r="G1468" s="102"/>
      <c r="H1468" s="137"/>
      <c r="I1468" s="137"/>
      <c r="J1468" s="137"/>
      <c r="K1468" s="170"/>
      <c r="L1468" s="170"/>
      <c r="M1468" s="170"/>
      <c r="N1468" s="137"/>
      <c r="O1468" s="137"/>
    </row>
    <row r="1469" spans="1:15" x14ac:dyDescent="0.35">
      <c r="A1469" s="137"/>
      <c r="B1469" s="137"/>
      <c r="C1469" s="137"/>
      <c r="D1469" s="137"/>
      <c r="E1469" s="137"/>
      <c r="F1469" s="137"/>
      <c r="G1469" s="102"/>
      <c r="H1469" s="137"/>
      <c r="I1469" s="137"/>
      <c r="J1469" s="137"/>
      <c r="K1469" s="170"/>
      <c r="L1469" s="170"/>
      <c r="M1469" s="170"/>
      <c r="N1469" s="137"/>
      <c r="O1469" s="137"/>
    </row>
    <row r="1470" spans="1:15" x14ac:dyDescent="0.35">
      <c r="A1470" s="137"/>
      <c r="B1470" s="137"/>
      <c r="C1470" s="137"/>
      <c r="D1470" s="137"/>
      <c r="E1470" s="137"/>
      <c r="F1470" s="137"/>
      <c r="G1470" s="102"/>
      <c r="H1470" s="137"/>
      <c r="I1470" s="137"/>
      <c r="J1470" s="137"/>
      <c r="K1470" s="170"/>
      <c r="L1470" s="170"/>
      <c r="M1470" s="170"/>
      <c r="N1470" s="137"/>
      <c r="O1470" s="137"/>
    </row>
    <row r="1471" spans="1:15" x14ac:dyDescent="0.35">
      <c r="A1471" s="137"/>
      <c r="B1471" s="137"/>
      <c r="C1471" s="137"/>
      <c r="D1471" s="137"/>
      <c r="E1471" s="137"/>
      <c r="F1471" s="137"/>
      <c r="G1471" s="102"/>
      <c r="H1471" s="137"/>
      <c r="I1471" s="137"/>
      <c r="J1471" s="137"/>
      <c r="K1471" s="170"/>
      <c r="L1471" s="170"/>
      <c r="M1471" s="170"/>
      <c r="N1471" s="137"/>
      <c r="O1471" s="137"/>
    </row>
    <row r="1472" spans="1:15" x14ac:dyDescent="0.35">
      <c r="A1472" s="137"/>
      <c r="B1472" s="137"/>
      <c r="C1472" s="137"/>
      <c r="D1472" s="137"/>
      <c r="E1472" s="137"/>
      <c r="F1472" s="137"/>
      <c r="G1472" s="102"/>
      <c r="H1472" s="137"/>
      <c r="I1472" s="137"/>
      <c r="J1472" s="137"/>
      <c r="K1472" s="170"/>
      <c r="L1472" s="170"/>
      <c r="M1472" s="170"/>
      <c r="N1472" s="137"/>
      <c r="O1472" s="137"/>
    </row>
    <row r="1473" spans="1:15" x14ac:dyDescent="0.35">
      <c r="A1473" s="137"/>
      <c r="B1473" s="137"/>
      <c r="C1473" s="137"/>
      <c r="D1473" s="137"/>
      <c r="E1473" s="137"/>
      <c r="F1473" s="137"/>
      <c r="G1473" s="102"/>
      <c r="H1473" s="137"/>
      <c r="I1473" s="137"/>
      <c r="J1473" s="137"/>
      <c r="K1473" s="170"/>
      <c r="L1473" s="170"/>
      <c r="M1473" s="170"/>
      <c r="N1473" s="137"/>
      <c r="O1473" s="137"/>
    </row>
    <row r="1474" spans="1:15" x14ac:dyDescent="0.35">
      <c r="A1474" s="137"/>
      <c r="B1474" s="137"/>
      <c r="C1474" s="137"/>
      <c r="D1474" s="137"/>
      <c r="E1474" s="137"/>
      <c r="F1474" s="137"/>
      <c r="G1474" s="102"/>
      <c r="H1474" s="137"/>
      <c r="I1474" s="137"/>
      <c r="J1474" s="137"/>
      <c r="K1474" s="170"/>
      <c r="L1474" s="170"/>
      <c r="M1474" s="170"/>
      <c r="N1474" s="137"/>
      <c r="O1474" s="137"/>
    </row>
    <row r="1475" spans="1:15" x14ac:dyDescent="0.35">
      <c r="A1475" s="137"/>
      <c r="B1475" s="137"/>
      <c r="C1475" s="137"/>
      <c r="D1475" s="137"/>
      <c r="E1475" s="137"/>
      <c r="F1475" s="137"/>
      <c r="G1475" s="102"/>
      <c r="H1475" s="137"/>
      <c r="I1475" s="137"/>
      <c r="J1475" s="137"/>
      <c r="K1475" s="170"/>
      <c r="L1475" s="170"/>
      <c r="M1475" s="170"/>
      <c r="N1475" s="137"/>
      <c r="O1475" s="137"/>
    </row>
    <row r="1476" spans="1:15" x14ac:dyDescent="0.35">
      <c r="A1476" s="137"/>
      <c r="B1476" s="137"/>
      <c r="C1476" s="137"/>
      <c r="D1476" s="137"/>
      <c r="E1476" s="137"/>
      <c r="F1476" s="137"/>
      <c r="G1476" s="102"/>
      <c r="H1476" s="137"/>
      <c r="I1476" s="137"/>
      <c r="J1476" s="137"/>
      <c r="K1476" s="170"/>
      <c r="L1476" s="170"/>
      <c r="M1476" s="170"/>
      <c r="N1476" s="137"/>
      <c r="O1476" s="137"/>
    </row>
    <row r="1477" spans="1:15" x14ac:dyDescent="0.35">
      <c r="A1477" s="137"/>
      <c r="B1477" s="137"/>
      <c r="C1477" s="137"/>
      <c r="D1477" s="137"/>
      <c r="E1477" s="137"/>
      <c r="F1477" s="137"/>
      <c r="G1477" s="102"/>
      <c r="H1477" s="137"/>
      <c r="I1477" s="137"/>
      <c r="J1477" s="137"/>
      <c r="K1477" s="170"/>
      <c r="L1477" s="170"/>
      <c r="M1477" s="170"/>
      <c r="N1477" s="137"/>
      <c r="O1477" s="137"/>
    </row>
    <row r="1478" spans="1:15" x14ac:dyDescent="0.35">
      <c r="A1478" s="137"/>
      <c r="B1478" s="137"/>
      <c r="C1478" s="137"/>
      <c r="D1478" s="137"/>
      <c r="E1478" s="137"/>
      <c r="F1478" s="137"/>
      <c r="G1478" s="102"/>
      <c r="H1478" s="137"/>
      <c r="I1478" s="137"/>
      <c r="J1478" s="137"/>
      <c r="K1478" s="170"/>
      <c r="L1478" s="170"/>
      <c r="M1478" s="170"/>
      <c r="N1478" s="137"/>
      <c r="O1478" s="137"/>
    </row>
    <row r="1479" spans="1:15" x14ac:dyDescent="0.35">
      <c r="A1479" s="137"/>
      <c r="B1479" s="137"/>
      <c r="C1479" s="137"/>
      <c r="D1479" s="137"/>
      <c r="E1479" s="137"/>
      <c r="F1479" s="137"/>
      <c r="G1479" s="102"/>
      <c r="H1479" s="137"/>
      <c r="I1479" s="137"/>
      <c r="J1479" s="137"/>
      <c r="K1479" s="170"/>
      <c r="L1479" s="170"/>
      <c r="M1479" s="170"/>
      <c r="N1479" s="137"/>
      <c r="O1479" s="137"/>
    </row>
    <row r="1480" spans="1:15" x14ac:dyDescent="0.35">
      <c r="A1480" s="137"/>
      <c r="B1480" s="137"/>
      <c r="C1480" s="137"/>
      <c r="D1480" s="137"/>
      <c r="E1480" s="137"/>
      <c r="F1480" s="137"/>
      <c r="G1480" s="102"/>
      <c r="H1480" s="137"/>
      <c r="I1480" s="137"/>
      <c r="J1480" s="137"/>
      <c r="K1480" s="170"/>
      <c r="L1480" s="170"/>
      <c r="M1480" s="170"/>
      <c r="N1480" s="137"/>
      <c r="O1480" s="137"/>
    </row>
    <row r="1481" spans="1:15" x14ac:dyDescent="0.35">
      <c r="A1481" s="137"/>
      <c r="B1481" s="137"/>
      <c r="C1481" s="137"/>
      <c r="D1481" s="137"/>
      <c r="E1481" s="137"/>
      <c r="F1481" s="137"/>
      <c r="G1481" s="102"/>
      <c r="H1481" s="137"/>
      <c r="I1481" s="137"/>
      <c r="J1481" s="137"/>
      <c r="K1481" s="170"/>
      <c r="L1481" s="170"/>
      <c r="M1481" s="170"/>
      <c r="N1481" s="137"/>
      <c r="O1481" s="137"/>
    </row>
    <row r="1482" spans="1:15" x14ac:dyDescent="0.35">
      <c r="A1482" s="137"/>
      <c r="B1482" s="137"/>
      <c r="C1482" s="137"/>
      <c r="D1482" s="137"/>
      <c r="E1482" s="137"/>
      <c r="F1482" s="137"/>
      <c r="G1482" s="102"/>
      <c r="H1482" s="137"/>
      <c r="I1482" s="137"/>
      <c r="J1482" s="137"/>
      <c r="K1482" s="170"/>
      <c r="L1482" s="170"/>
      <c r="M1482" s="170"/>
      <c r="N1482" s="137"/>
      <c r="O1482" s="137"/>
    </row>
    <row r="1483" spans="1:15" x14ac:dyDescent="0.35">
      <c r="A1483" s="137"/>
      <c r="B1483" s="137"/>
      <c r="C1483" s="137"/>
      <c r="D1483" s="137"/>
      <c r="E1483" s="137"/>
      <c r="F1483" s="137"/>
      <c r="G1483" s="102"/>
      <c r="H1483" s="137"/>
      <c r="I1483" s="137"/>
      <c r="J1483" s="137"/>
      <c r="K1483" s="170"/>
      <c r="L1483" s="170"/>
      <c r="M1483" s="170"/>
      <c r="N1483" s="137"/>
      <c r="O1483" s="137"/>
    </row>
    <row r="1484" spans="1:15" x14ac:dyDescent="0.35">
      <c r="A1484" s="137"/>
      <c r="B1484" s="137"/>
      <c r="C1484" s="137"/>
      <c r="D1484" s="137"/>
      <c r="E1484" s="137"/>
      <c r="F1484" s="137"/>
      <c r="G1484" s="102"/>
      <c r="H1484" s="137"/>
      <c r="I1484" s="137"/>
      <c r="J1484" s="137"/>
      <c r="K1484" s="170"/>
      <c r="L1484" s="170"/>
      <c r="M1484" s="170"/>
      <c r="N1484" s="137"/>
      <c r="O1484" s="137"/>
    </row>
    <row r="1485" spans="1:15" x14ac:dyDescent="0.35">
      <c r="A1485" s="137"/>
      <c r="B1485" s="137"/>
      <c r="C1485" s="137"/>
      <c r="D1485" s="137"/>
      <c r="E1485" s="137"/>
      <c r="F1485" s="137"/>
      <c r="G1485" s="102"/>
      <c r="H1485" s="137"/>
      <c r="I1485" s="137"/>
      <c r="J1485" s="137"/>
      <c r="K1485" s="170"/>
      <c r="L1485" s="170"/>
      <c r="M1485" s="170"/>
      <c r="N1485" s="137"/>
      <c r="O1485" s="137"/>
    </row>
    <row r="1486" spans="1:15" x14ac:dyDescent="0.35">
      <c r="A1486" s="137"/>
      <c r="B1486" s="137"/>
      <c r="C1486" s="137"/>
      <c r="D1486" s="137"/>
      <c r="E1486" s="137"/>
      <c r="F1486" s="137"/>
      <c r="G1486" s="102"/>
      <c r="H1486" s="137"/>
      <c r="I1486" s="137"/>
      <c r="J1486" s="137"/>
      <c r="K1486" s="170"/>
      <c r="L1486" s="170"/>
      <c r="M1486" s="170"/>
      <c r="N1486" s="137"/>
      <c r="O1486" s="137"/>
    </row>
    <row r="1487" spans="1:15" x14ac:dyDescent="0.35">
      <c r="A1487" s="137"/>
      <c r="B1487" s="137"/>
      <c r="C1487" s="137"/>
      <c r="D1487" s="137"/>
      <c r="E1487" s="137"/>
      <c r="F1487" s="137"/>
      <c r="G1487" s="102"/>
      <c r="H1487" s="137"/>
      <c r="I1487" s="137"/>
      <c r="J1487" s="137"/>
      <c r="K1487" s="170"/>
      <c r="L1487" s="170"/>
      <c r="M1487" s="170"/>
      <c r="N1487" s="137"/>
      <c r="O1487" s="137"/>
    </row>
    <row r="1488" spans="1:15" x14ac:dyDescent="0.35">
      <c r="A1488" s="137"/>
      <c r="B1488" s="137"/>
      <c r="C1488" s="137"/>
      <c r="D1488" s="137"/>
      <c r="E1488" s="137"/>
      <c r="F1488" s="137"/>
      <c r="G1488" s="102"/>
      <c r="H1488" s="137"/>
      <c r="I1488" s="137"/>
      <c r="J1488" s="137"/>
      <c r="K1488" s="170"/>
      <c r="L1488" s="170"/>
      <c r="M1488" s="170"/>
      <c r="N1488" s="31"/>
      <c r="O1488" s="31"/>
    </row>
    <row r="1489" spans="1:15" x14ac:dyDescent="0.35">
      <c r="A1489" s="137"/>
      <c r="B1489" s="137"/>
      <c r="C1489" s="137"/>
      <c r="D1489" s="137"/>
      <c r="E1489" s="137"/>
      <c r="F1489" s="137"/>
      <c r="G1489" s="102"/>
      <c r="H1489" s="137"/>
      <c r="I1489" s="137"/>
      <c r="J1489" s="137"/>
      <c r="K1489" s="170"/>
      <c r="L1489" s="170"/>
      <c r="M1489" s="170"/>
    </row>
    <row r="1490" spans="1:15" x14ac:dyDescent="0.35">
      <c r="A1490" s="137"/>
      <c r="B1490" s="137"/>
      <c r="C1490" s="137"/>
      <c r="D1490" s="137"/>
      <c r="E1490" s="137"/>
      <c r="F1490" s="137"/>
      <c r="G1490" s="102"/>
      <c r="H1490" s="137"/>
      <c r="I1490" s="137"/>
      <c r="J1490" s="137"/>
      <c r="K1490" s="170"/>
      <c r="L1490" s="170"/>
      <c r="M1490" s="170"/>
    </row>
    <row r="1491" spans="1:15" x14ac:dyDescent="0.35">
      <c r="A1491" s="137"/>
      <c r="B1491" s="137"/>
      <c r="C1491" s="137"/>
      <c r="D1491" s="137"/>
      <c r="E1491" s="137"/>
      <c r="F1491" s="137"/>
      <c r="G1491" s="102"/>
      <c r="H1491" s="137"/>
      <c r="I1491" s="137"/>
      <c r="J1491" s="137"/>
      <c r="K1491" s="170"/>
      <c r="L1491" s="170"/>
      <c r="M1491" s="170"/>
    </row>
    <row r="1492" spans="1:15" x14ac:dyDescent="0.35">
      <c r="A1492" s="137"/>
      <c r="B1492" s="137"/>
      <c r="C1492" s="137"/>
      <c r="D1492" s="137"/>
      <c r="E1492" s="137"/>
      <c r="F1492" s="137"/>
      <c r="G1492" s="102"/>
      <c r="H1492" s="137"/>
      <c r="I1492" s="137"/>
      <c r="J1492" s="137"/>
      <c r="K1492" s="170"/>
      <c r="L1492" s="170"/>
      <c r="M1492" s="170"/>
      <c r="N1492" s="137"/>
      <c r="O1492" s="137"/>
    </row>
    <row r="1493" spans="1:15" x14ac:dyDescent="0.35">
      <c r="A1493" s="137"/>
      <c r="B1493" s="137"/>
      <c r="C1493" s="137"/>
      <c r="D1493" s="137"/>
      <c r="E1493" s="137"/>
      <c r="F1493" s="137"/>
      <c r="G1493" s="102"/>
      <c r="H1493" s="137"/>
      <c r="I1493" s="137"/>
      <c r="J1493" s="137"/>
      <c r="K1493" s="170"/>
      <c r="L1493" s="170"/>
      <c r="M1493" s="170"/>
    </row>
    <row r="1494" spans="1:15" x14ac:dyDescent="0.35">
      <c r="A1494" s="137"/>
      <c r="B1494" s="137"/>
      <c r="C1494" s="137"/>
      <c r="D1494" s="137"/>
      <c r="E1494" s="137"/>
      <c r="F1494" s="137"/>
      <c r="G1494" s="102"/>
      <c r="H1494" s="137"/>
      <c r="I1494" s="137"/>
      <c r="J1494" s="137"/>
      <c r="K1494" s="170"/>
      <c r="L1494" s="170"/>
      <c r="M1494" s="170"/>
    </row>
    <row r="1495" spans="1:15" x14ac:dyDescent="0.35">
      <c r="A1495" s="137"/>
      <c r="B1495" s="137"/>
      <c r="C1495" s="137"/>
      <c r="D1495" s="137"/>
      <c r="E1495" s="137"/>
      <c r="F1495" s="137"/>
      <c r="G1495" s="102"/>
      <c r="H1495" s="137"/>
      <c r="I1495" s="137"/>
      <c r="J1495" s="137"/>
      <c r="K1495" s="170"/>
      <c r="L1495" s="170"/>
      <c r="M1495" s="170"/>
    </row>
    <row r="1496" spans="1:15" x14ac:dyDescent="0.35">
      <c r="A1496" s="137"/>
      <c r="B1496" s="137"/>
      <c r="C1496" s="137"/>
      <c r="D1496" s="137"/>
      <c r="E1496" s="137"/>
      <c r="F1496" s="137"/>
      <c r="G1496" s="102"/>
      <c r="H1496" s="137"/>
      <c r="I1496" s="137"/>
      <c r="J1496" s="137"/>
      <c r="K1496" s="170"/>
      <c r="L1496" s="170"/>
      <c r="M1496" s="170"/>
      <c r="N1496" s="31"/>
      <c r="O1496" s="31"/>
    </row>
    <row r="1497" spans="1:15" x14ac:dyDescent="0.35">
      <c r="A1497" s="137"/>
      <c r="B1497" s="137"/>
      <c r="C1497" s="137"/>
      <c r="D1497" s="137"/>
      <c r="E1497" s="137"/>
      <c r="F1497" s="137"/>
      <c r="G1497" s="102"/>
      <c r="H1497" s="137"/>
      <c r="I1497" s="137"/>
      <c r="J1497" s="137"/>
      <c r="K1497" s="170"/>
      <c r="L1497" s="170"/>
      <c r="M1497" s="170"/>
      <c r="N1497" s="137"/>
      <c r="O1497" s="137"/>
    </row>
    <row r="1498" spans="1:15" x14ac:dyDescent="0.35">
      <c r="A1498" s="137"/>
      <c r="B1498" s="137"/>
      <c r="C1498" s="137"/>
      <c r="D1498" s="137"/>
      <c r="E1498" s="137"/>
      <c r="F1498" s="137"/>
      <c r="G1498" s="102"/>
      <c r="H1498" s="137"/>
      <c r="I1498" s="137"/>
      <c r="J1498" s="137"/>
      <c r="K1498" s="170"/>
      <c r="L1498" s="170"/>
      <c r="M1498" s="170"/>
      <c r="N1498" s="137"/>
      <c r="O1498" s="137"/>
    </row>
    <row r="1499" spans="1:15" x14ac:dyDescent="0.35">
      <c r="A1499" s="137"/>
      <c r="B1499" s="137"/>
      <c r="C1499" s="137"/>
      <c r="D1499" s="137"/>
      <c r="E1499" s="137"/>
      <c r="F1499" s="137"/>
      <c r="G1499" s="102"/>
      <c r="H1499" s="137"/>
      <c r="I1499" s="137"/>
      <c r="J1499" s="137"/>
      <c r="K1499" s="170"/>
      <c r="L1499" s="170"/>
      <c r="M1499" s="170"/>
      <c r="N1499" s="137"/>
      <c r="O1499" s="137"/>
    </row>
    <row r="1500" spans="1:15" x14ac:dyDescent="0.35">
      <c r="A1500" s="137"/>
      <c r="B1500" s="137"/>
      <c r="C1500" s="137"/>
      <c r="D1500" s="137"/>
      <c r="E1500" s="137"/>
      <c r="F1500" s="137"/>
      <c r="G1500" s="102"/>
      <c r="H1500" s="137"/>
      <c r="I1500" s="137"/>
      <c r="J1500" s="137"/>
      <c r="K1500" s="170"/>
      <c r="L1500" s="170"/>
      <c r="M1500" s="170"/>
      <c r="N1500" s="137"/>
      <c r="O1500" s="137"/>
    </row>
    <row r="1501" spans="1:15" x14ac:dyDescent="0.35">
      <c r="A1501" s="137"/>
      <c r="B1501" s="137"/>
      <c r="C1501" s="137"/>
      <c r="D1501" s="137"/>
      <c r="E1501" s="137"/>
      <c r="F1501" s="137"/>
      <c r="G1501" s="102"/>
      <c r="H1501" s="137"/>
      <c r="I1501" s="137"/>
      <c r="J1501" s="137"/>
      <c r="K1501" s="170"/>
      <c r="L1501" s="170"/>
      <c r="M1501" s="170"/>
      <c r="N1501" s="137"/>
      <c r="O1501" s="137"/>
    </row>
    <row r="1502" spans="1:15" x14ac:dyDescent="0.35">
      <c r="A1502" s="137"/>
      <c r="B1502" s="137"/>
      <c r="C1502" s="137"/>
      <c r="D1502" s="137"/>
      <c r="E1502" s="137"/>
      <c r="F1502" s="137"/>
      <c r="G1502" s="102"/>
      <c r="H1502" s="137"/>
      <c r="I1502" s="137"/>
      <c r="J1502" s="137"/>
      <c r="K1502" s="170"/>
      <c r="L1502" s="170"/>
      <c r="M1502" s="170"/>
      <c r="N1502" s="137"/>
      <c r="O1502" s="137"/>
    </row>
    <row r="1503" spans="1:15" x14ac:dyDescent="0.35">
      <c r="A1503" s="137"/>
      <c r="B1503" s="137"/>
      <c r="C1503" s="137"/>
      <c r="D1503" s="137"/>
      <c r="E1503" s="137"/>
      <c r="F1503" s="137"/>
      <c r="G1503" s="102"/>
      <c r="H1503" s="137"/>
      <c r="I1503" s="137"/>
      <c r="J1503" s="137"/>
      <c r="K1503" s="170"/>
      <c r="L1503" s="170"/>
      <c r="M1503" s="170"/>
      <c r="N1503" s="137"/>
      <c r="O1503" s="137"/>
    </row>
    <row r="1504" spans="1:15" x14ac:dyDescent="0.35">
      <c r="A1504" s="137"/>
      <c r="B1504" s="137"/>
      <c r="C1504" s="137"/>
      <c r="D1504" s="137"/>
      <c r="E1504" s="137"/>
      <c r="F1504" s="137"/>
      <c r="G1504" s="102"/>
      <c r="H1504" s="137"/>
      <c r="I1504" s="137"/>
      <c r="J1504" s="137"/>
      <c r="K1504" s="170"/>
      <c r="L1504" s="170"/>
      <c r="M1504" s="170"/>
      <c r="N1504" s="137"/>
      <c r="O1504" s="137"/>
    </row>
    <row r="1505" spans="1:15" x14ac:dyDescent="0.35">
      <c r="A1505" s="137"/>
      <c r="B1505" s="137"/>
      <c r="C1505" s="137"/>
      <c r="D1505" s="137"/>
      <c r="E1505" s="137"/>
      <c r="F1505" s="137"/>
      <c r="G1505" s="102"/>
      <c r="H1505" s="137"/>
      <c r="I1505" s="137"/>
      <c r="J1505" s="137"/>
      <c r="K1505" s="170"/>
      <c r="L1505" s="170"/>
      <c r="M1505" s="170"/>
      <c r="N1505" s="137"/>
      <c r="O1505" s="137"/>
    </row>
    <row r="1506" spans="1:15" x14ac:dyDescent="0.35">
      <c r="A1506" s="137"/>
      <c r="B1506" s="137"/>
      <c r="C1506" s="137"/>
      <c r="D1506" s="137"/>
      <c r="E1506" s="137"/>
      <c r="F1506" s="137"/>
      <c r="G1506" s="102"/>
      <c r="H1506" s="137"/>
      <c r="I1506" s="137"/>
      <c r="J1506" s="137"/>
      <c r="K1506" s="170"/>
      <c r="L1506" s="170"/>
      <c r="M1506" s="170"/>
      <c r="N1506" s="137"/>
      <c r="O1506" s="137"/>
    </row>
    <row r="1507" spans="1:15" x14ac:dyDescent="0.35">
      <c r="A1507" s="137"/>
      <c r="B1507" s="137"/>
      <c r="C1507" s="137"/>
      <c r="D1507" s="137"/>
      <c r="E1507" s="137"/>
      <c r="F1507" s="137"/>
      <c r="G1507" s="102"/>
      <c r="H1507" s="137"/>
      <c r="I1507" s="137"/>
      <c r="J1507" s="137"/>
      <c r="K1507" s="170"/>
      <c r="L1507" s="170"/>
      <c r="M1507" s="170"/>
      <c r="N1507" s="137"/>
      <c r="O1507" s="137"/>
    </row>
    <row r="1508" spans="1:15" x14ac:dyDescent="0.35">
      <c r="A1508" s="137"/>
      <c r="B1508" s="137"/>
      <c r="C1508" s="137"/>
      <c r="D1508" s="137"/>
      <c r="E1508" s="137"/>
      <c r="F1508" s="137"/>
      <c r="G1508" s="102"/>
      <c r="H1508" s="137"/>
      <c r="I1508" s="137"/>
      <c r="J1508" s="137"/>
      <c r="K1508" s="170"/>
      <c r="L1508" s="170"/>
      <c r="M1508" s="170"/>
      <c r="N1508" s="137"/>
      <c r="O1508" s="137"/>
    </row>
    <row r="1509" spans="1:15" x14ac:dyDescent="0.35">
      <c r="A1509" s="137"/>
      <c r="B1509" s="137"/>
      <c r="C1509" s="137"/>
      <c r="D1509" s="137"/>
      <c r="E1509" s="137"/>
      <c r="F1509" s="137"/>
      <c r="G1509" s="102"/>
      <c r="H1509" s="137"/>
      <c r="I1509" s="137"/>
      <c r="J1509" s="137"/>
      <c r="K1509" s="170"/>
      <c r="L1509" s="170"/>
      <c r="M1509" s="170"/>
      <c r="N1509" s="137"/>
      <c r="O1509" s="137"/>
    </row>
    <row r="1510" spans="1:15" x14ac:dyDescent="0.35">
      <c r="A1510" s="137"/>
      <c r="B1510" s="137"/>
      <c r="C1510" s="137"/>
      <c r="D1510" s="137"/>
      <c r="E1510" s="137"/>
      <c r="F1510" s="137"/>
      <c r="G1510" s="102"/>
      <c r="H1510" s="137"/>
      <c r="I1510" s="137"/>
      <c r="J1510" s="137"/>
      <c r="K1510" s="170"/>
      <c r="L1510" s="170"/>
      <c r="M1510" s="170"/>
      <c r="N1510" s="137"/>
      <c r="O1510" s="137"/>
    </row>
    <row r="1511" spans="1:15" x14ac:dyDescent="0.35">
      <c r="A1511" s="137"/>
      <c r="B1511" s="137"/>
      <c r="C1511" s="137"/>
      <c r="D1511" s="137"/>
      <c r="E1511" s="137"/>
      <c r="F1511" s="137"/>
      <c r="G1511" s="102"/>
      <c r="H1511" s="137"/>
      <c r="I1511" s="137"/>
      <c r="J1511" s="137"/>
      <c r="K1511" s="170"/>
      <c r="L1511" s="170"/>
      <c r="M1511" s="170"/>
      <c r="N1511" s="137"/>
      <c r="O1511" s="137"/>
    </row>
    <row r="1512" spans="1:15" x14ac:dyDescent="0.35">
      <c r="A1512" s="137"/>
      <c r="B1512" s="137"/>
      <c r="C1512" s="137"/>
      <c r="D1512" s="137"/>
      <c r="E1512" s="137"/>
      <c r="F1512" s="137"/>
      <c r="G1512" s="102"/>
      <c r="H1512" s="137"/>
      <c r="I1512" s="137"/>
      <c r="J1512" s="137"/>
      <c r="K1512" s="170"/>
      <c r="L1512" s="170"/>
      <c r="M1512" s="170"/>
      <c r="N1512" s="137"/>
      <c r="O1512" s="137"/>
    </row>
    <row r="1513" spans="1:15" x14ac:dyDescent="0.35">
      <c r="A1513" s="137"/>
      <c r="B1513" s="137"/>
      <c r="C1513" s="137"/>
      <c r="D1513" s="137"/>
      <c r="E1513" s="137"/>
      <c r="F1513" s="137"/>
      <c r="G1513" s="102"/>
      <c r="H1513" s="137"/>
      <c r="I1513" s="137"/>
      <c r="J1513" s="137"/>
      <c r="K1513" s="170"/>
      <c r="L1513" s="170"/>
      <c r="M1513" s="170"/>
      <c r="N1513" s="137"/>
      <c r="O1513" s="137"/>
    </row>
    <row r="1514" spans="1:15" x14ac:dyDescent="0.35">
      <c r="A1514" s="137"/>
      <c r="B1514" s="137"/>
      <c r="C1514" s="137"/>
      <c r="D1514" s="137"/>
      <c r="E1514" s="137"/>
      <c r="F1514" s="137"/>
      <c r="G1514" s="102"/>
      <c r="H1514" s="137"/>
      <c r="I1514" s="137"/>
      <c r="J1514" s="137"/>
      <c r="K1514" s="170"/>
      <c r="L1514" s="170"/>
      <c r="M1514" s="170"/>
      <c r="N1514" s="137"/>
      <c r="O1514" s="137"/>
    </row>
    <row r="1515" spans="1:15" x14ac:dyDescent="0.35">
      <c r="A1515" s="137"/>
      <c r="B1515" s="137"/>
      <c r="C1515" s="137"/>
      <c r="D1515" s="137"/>
      <c r="E1515" s="137"/>
      <c r="F1515" s="137"/>
      <c r="G1515" s="102"/>
      <c r="H1515" s="137"/>
      <c r="I1515" s="137"/>
      <c r="J1515" s="137"/>
      <c r="K1515" s="170"/>
      <c r="L1515" s="170"/>
      <c r="M1515" s="170"/>
      <c r="N1515" s="137"/>
      <c r="O1515" s="137"/>
    </row>
    <row r="1516" spans="1:15" x14ac:dyDescent="0.35">
      <c r="A1516" s="137"/>
      <c r="B1516" s="137"/>
      <c r="C1516" s="137"/>
      <c r="D1516" s="137"/>
      <c r="E1516" s="137"/>
      <c r="F1516" s="137"/>
      <c r="G1516" s="102"/>
      <c r="H1516" s="137"/>
      <c r="I1516" s="137"/>
      <c r="J1516" s="137"/>
      <c r="K1516" s="170"/>
      <c r="L1516" s="170"/>
      <c r="M1516" s="170"/>
      <c r="N1516" s="137"/>
      <c r="O1516" s="137"/>
    </row>
    <row r="1517" spans="1:15" x14ac:dyDescent="0.35">
      <c r="A1517" s="137"/>
      <c r="B1517" s="137"/>
      <c r="C1517" s="137"/>
      <c r="D1517" s="137"/>
      <c r="E1517" s="137"/>
      <c r="F1517" s="137"/>
      <c r="G1517" s="102"/>
      <c r="H1517" s="137"/>
      <c r="I1517" s="137"/>
      <c r="J1517" s="137"/>
      <c r="K1517" s="170"/>
      <c r="L1517" s="170"/>
      <c r="M1517" s="170"/>
      <c r="N1517" s="137"/>
      <c r="O1517" s="137"/>
    </row>
    <row r="1518" spans="1:15" x14ac:dyDescent="0.35">
      <c r="A1518" s="137"/>
      <c r="B1518" s="137"/>
      <c r="C1518" s="137"/>
      <c r="D1518" s="137"/>
      <c r="E1518" s="137"/>
      <c r="F1518" s="137"/>
      <c r="G1518" s="102"/>
      <c r="H1518" s="137"/>
      <c r="I1518" s="137"/>
      <c r="J1518" s="137"/>
      <c r="K1518" s="170"/>
      <c r="L1518" s="170"/>
      <c r="M1518" s="170"/>
      <c r="N1518" s="137"/>
      <c r="O1518" s="137"/>
    </row>
    <row r="1519" spans="1:15" x14ac:dyDescent="0.35">
      <c r="A1519" s="137"/>
      <c r="B1519" s="137"/>
      <c r="C1519" s="137"/>
      <c r="D1519" s="137"/>
      <c r="E1519" s="137"/>
      <c r="F1519" s="137"/>
      <c r="G1519" s="102"/>
      <c r="H1519" s="137"/>
      <c r="I1519" s="137"/>
      <c r="J1519" s="137"/>
      <c r="K1519" s="170"/>
      <c r="L1519" s="170"/>
      <c r="M1519" s="170"/>
      <c r="N1519" s="137"/>
      <c r="O1519" s="137"/>
    </row>
    <row r="1520" spans="1:15" x14ac:dyDescent="0.35">
      <c r="A1520" s="137"/>
      <c r="B1520" s="137"/>
      <c r="C1520" s="137"/>
      <c r="D1520" s="137"/>
      <c r="E1520" s="137"/>
      <c r="F1520" s="137"/>
      <c r="G1520" s="102"/>
      <c r="H1520" s="137"/>
      <c r="I1520" s="137"/>
      <c r="J1520" s="137"/>
      <c r="K1520" s="170"/>
      <c r="L1520" s="170"/>
      <c r="M1520" s="170"/>
      <c r="N1520" s="137"/>
      <c r="O1520" s="137"/>
    </row>
    <row r="1521" spans="1:15" x14ac:dyDescent="0.35">
      <c r="A1521" s="137"/>
      <c r="B1521" s="137"/>
      <c r="C1521" s="137"/>
      <c r="D1521" s="137"/>
      <c r="E1521" s="137"/>
      <c r="F1521" s="137"/>
      <c r="G1521" s="102"/>
      <c r="H1521" s="137"/>
      <c r="I1521" s="137"/>
      <c r="J1521" s="137"/>
      <c r="K1521" s="170"/>
      <c r="L1521" s="170"/>
      <c r="M1521" s="170"/>
      <c r="N1521" s="137"/>
      <c r="O1521" s="137"/>
    </row>
    <row r="1522" spans="1:15" x14ac:dyDescent="0.35">
      <c r="A1522" s="137"/>
      <c r="B1522" s="137"/>
      <c r="C1522" s="137"/>
      <c r="D1522" s="137"/>
      <c r="E1522" s="137"/>
      <c r="F1522" s="137"/>
      <c r="G1522" s="102"/>
      <c r="H1522" s="137"/>
      <c r="I1522" s="137"/>
      <c r="J1522" s="137"/>
      <c r="K1522" s="170"/>
      <c r="L1522" s="170"/>
      <c r="M1522" s="170"/>
      <c r="N1522" s="137"/>
      <c r="O1522" s="137"/>
    </row>
    <row r="1523" spans="1:15" x14ac:dyDescent="0.35">
      <c r="A1523" s="137"/>
      <c r="B1523" s="137"/>
      <c r="C1523" s="137"/>
      <c r="D1523" s="137"/>
      <c r="E1523" s="137"/>
      <c r="F1523" s="137"/>
      <c r="G1523" s="102"/>
      <c r="H1523" s="137"/>
      <c r="I1523" s="137"/>
      <c r="J1523" s="137"/>
      <c r="K1523" s="170"/>
      <c r="L1523" s="170"/>
      <c r="M1523" s="170"/>
      <c r="N1523" s="137"/>
      <c r="O1523" s="137"/>
    </row>
    <row r="1524" spans="1:15" x14ac:dyDescent="0.35">
      <c r="A1524" s="137"/>
      <c r="B1524" s="137"/>
      <c r="C1524" s="137"/>
      <c r="D1524" s="137"/>
      <c r="E1524" s="137"/>
      <c r="F1524" s="137"/>
      <c r="G1524" s="102"/>
      <c r="H1524" s="137"/>
      <c r="I1524" s="137"/>
      <c r="J1524" s="137"/>
      <c r="K1524" s="170"/>
      <c r="L1524" s="170"/>
      <c r="M1524" s="170"/>
      <c r="N1524" s="137"/>
      <c r="O1524" s="137"/>
    </row>
    <row r="1525" spans="1:15" x14ac:dyDescent="0.35">
      <c r="A1525" s="137"/>
      <c r="B1525" s="137"/>
      <c r="C1525" s="137"/>
      <c r="D1525" s="137"/>
      <c r="E1525" s="137"/>
      <c r="F1525" s="137"/>
      <c r="G1525" s="102"/>
      <c r="H1525" s="137"/>
      <c r="I1525" s="137"/>
      <c r="J1525" s="137"/>
      <c r="K1525" s="170"/>
      <c r="L1525" s="170"/>
      <c r="M1525" s="170"/>
      <c r="N1525" s="137"/>
      <c r="O1525" s="137"/>
    </row>
    <row r="1526" spans="1:15" x14ac:dyDescent="0.35">
      <c r="A1526" s="137"/>
      <c r="B1526" s="137"/>
      <c r="C1526" s="137"/>
      <c r="D1526" s="137"/>
      <c r="E1526" s="137"/>
      <c r="F1526" s="137"/>
      <c r="G1526" s="102"/>
      <c r="H1526" s="137"/>
      <c r="I1526" s="137"/>
      <c r="J1526" s="137"/>
      <c r="K1526" s="170"/>
      <c r="L1526" s="170"/>
      <c r="M1526" s="170"/>
      <c r="N1526" s="137"/>
      <c r="O1526" s="137"/>
    </row>
    <row r="1527" spans="1:15" x14ac:dyDescent="0.35">
      <c r="A1527" s="137"/>
      <c r="B1527" s="137"/>
      <c r="C1527" s="137"/>
      <c r="D1527" s="137"/>
      <c r="E1527" s="137"/>
      <c r="F1527" s="137"/>
      <c r="G1527" s="102"/>
      <c r="H1527" s="137"/>
      <c r="I1527" s="137"/>
      <c r="J1527" s="137"/>
      <c r="K1527" s="170"/>
      <c r="L1527" s="170"/>
      <c r="M1527" s="170"/>
      <c r="N1527" s="137"/>
      <c r="O1527" s="137"/>
    </row>
    <row r="1528" spans="1:15" x14ac:dyDescent="0.35">
      <c r="A1528" s="137"/>
      <c r="B1528" s="137"/>
      <c r="C1528" s="137"/>
      <c r="D1528" s="137"/>
      <c r="E1528" s="137"/>
      <c r="F1528" s="137"/>
      <c r="G1528" s="102"/>
      <c r="H1528" s="137"/>
      <c r="I1528" s="137"/>
      <c r="J1528" s="137"/>
      <c r="K1528" s="170"/>
      <c r="L1528" s="170"/>
      <c r="M1528" s="170"/>
      <c r="N1528" s="137"/>
      <c r="O1528" s="137"/>
    </row>
    <row r="1529" spans="1:15" x14ac:dyDescent="0.35">
      <c r="A1529" s="137"/>
      <c r="B1529" s="137"/>
      <c r="C1529" s="137"/>
      <c r="D1529" s="137"/>
      <c r="E1529" s="137"/>
      <c r="F1529" s="137"/>
      <c r="G1529" s="102"/>
      <c r="H1529" s="137"/>
      <c r="I1529" s="137"/>
      <c r="J1529" s="137"/>
      <c r="K1529" s="170"/>
      <c r="L1529" s="170"/>
      <c r="M1529" s="170"/>
      <c r="N1529" s="137"/>
      <c r="O1529" s="137"/>
    </row>
    <row r="1530" spans="1:15" x14ac:dyDescent="0.35">
      <c r="A1530" s="137"/>
      <c r="B1530" s="137"/>
      <c r="C1530" s="137"/>
      <c r="D1530" s="137"/>
      <c r="E1530" s="137"/>
      <c r="F1530" s="137"/>
      <c r="G1530" s="102"/>
      <c r="H1530" s="137"/>
      <c r="I1530" s="137"/>
      <c r="J1530" s="137"/>
      <c r="K1530" s="170"/>
      <c r="L1530" s="170"/>
      <c r="M1530" s="170"/>
      <c r="N1530" s="137"/>
      <c r="O1530" s="137"/>
    </row>
    <row r="1531" spans="1:15" x14ac:dyDescent="0.35">
      <c r="A1531" s="137"/>
      <c r="B1531" s="137"/>
      <c r="C1531" s="137"/>
      <c r="D1531" s="137"/>
      <c r="E1531" s="137"/>
      <c r="F1531" s="137"/>
      <c r="G1531" s="102"/>
      <c r="H1531" s="137"/>
      <c r="I1531" s="137"/>
      <c r="J1531" s="137"/>
      <c r="K1531" s="170"/>
      <c r="L1531" s="170"/>
      <c r="M1531" s="170"/>
      <c r="N1531" s="137"/>
      <c r="O1531" s="137"/>
    </row>
    <row r="1532" spans="1:15" x14ac:dyDescent="0.35">
      <c r="A1532" s="137"/>
      <c r="B1532" s="137"/>
      <c r="C1532" s="137"/>
      <c r="D1532" s="137"/>
      <c r="E1532" s="137"/>
      <c r="F1532" s="137"/>
      <c r="G1532" s="102"/>
      <c r="H1532" s="137"/>
      <c r="I1532" s="137"/>
      <c r="J1532" s="137"/>
      <c r="K1532" s="170"/>
      <c r="L1532" s="170"/>
      <c r="M1532" s="170"/>
      <c r="N1532" s="137"/>
      <c r="O1532" s="137"/>
    </row>
    <row r="1533" spans="1:15" x14ac:dyDescent="0.35">
      <c r="A1533" s="137"/>
      <c r="B1533" s="137"/>
      <c r="C1533" s="137"/>
      <c r="D1533" s="137"/>
      <c r="E1533" s="137"/>
      <c r="F1533" s="137"/>
      <c r="G1533" s="102"/>
      <c r="H1533" s="137"/>
      <c r="I1533" s="137"/>
      <c r="J1533" s="137"/>
      <c r="K1533" s="170"/>
      <c r="L1533" s="170"/>
      <c r="M1533" s="170"/>
      <c r="N1533" s="137"/>
      <c r="O1533" s="137"/>
    </row>
    <row r="1534" spans="1:15" x14ac:dyDescent="0.35">
      <c r="A1534" s="137"/>
      <c r="B1534" s="137"/>
      <c r="C1534" s="137"/>
      <c r="D1534" s="137"/>
      <c r="E1534" s="137"/>
      <c r="F1534" s="137"/>
      <c r="G1534" s="102"/>
      <c r="H1534" s="137"/>
      <c r="I1534" s="137"/>
      <c r="J1534" s="137"/>
      <c r="K1534" s="170"/>
      <c r="L1534" s="170"/>
      <c r="M1534" s="170"/>
      <c r="N1534" s="137"/>
      <c r="O1534" s="137"/>
    </row>
    <row r="1535" spans="1:15" x14ac:dyDescent="0.35">
      <c r="A1535" s="137"/>
      <c r="B1535" s="137"/>
      <c r="C1535" s="137"/>
      <c r="D1535" s="137"/>
      <c r="E1535" s="137"/>
      <c r="F1535" s="137"/>
      <c r="G1535" s="102"/>
      <c r="H1535" s="137"/>
      <c r="I1535" s="137"/>
      <c r="J1535" s="137"/>
      <c r="K1535" s="170"/>
      <c r="L1535" s="170"/>
      <c r="M1535" s="170"/>
      <c r="N1535" s="137"/>
      <c r="O1535" s="137"/>
    </row>
    <row r="1536" spans="1:15" x14ac:dyDescent="0.35">
      <c r="A1536" s="137"/>
      <c r="B1536" s="137"/>
      <c r="C1536" s="137"/>
      <c r="D1536" s="137"/>
      <c r="E1536" s="137"/>
      <c r="F1536" s="137"/>
      <c r="G1536" s="102"/>
      <c r="H1536" s="137"/>
      <c r="I1536" s="137"/>
      <c r="J1536" s="137"/>
      <c r="K1536" s="170"/>
      <c r="L1536" s="170"/>
      <c r="M1536" s="170"/>
      <c r="N1536" s="137"/>
      <c r="O1536" s="137"/>
    </row>
    <row r="1537" spans="1:15" x14ac:dyDescent="0.35">
      <c r="A1537" s="137"/>
      <c r="B1537" s="137"/>
      <c r="C1537" s="137"/>
      <c r="D1537" s="137"/>
      <c r="E1537" s="137"/>
      <c r="F1537" s="137"/>
      <c r="G1537" s="102"/>
      <c r="H1537" s="137"/>
      <c r="I1537" s="137"/>
      <c r="J1537" s="137"/>
      <c r="K1537" s="170"/>
      <c r="L1537" s="170"/>
      <c r="M1537" s="170"/>
      <c r="N1537" s="137"/>
      <c r="O1537" s="137"/>
    </row>
    <row r="1538" spans="1:15" x14ac:dyDescent="0.35">
      <c r="A1538" s="137"/>
      <c r="B1538" s="137"/>
      <c r="C1538" s="137"/>
      <c r="D1538" s="137"/>
      <c r="E1538" s="137"/>
      <c r="F1538" s="137"/>
      <c r="G1538" s="102"/>
      <c r="H1538" s="137"/>
      <c r="I1538" s="137"/>
      <c r="J1538" s="137"/>
      <c r="K1538" s="170"/>
      <c r="L1538" s="170"/>
      <c r="M1538" s="170"/>
      <c r="N1538" s="137"/>
      <c r="O1538" s="137"/>
    </row>
    <row r="1539" spans="1:15" x14ac:dyDescent="0.35">
      <c r="A1539" s="137"/>
      <c r="B1539" s="137"/>
      <c r="C1539" s="137"/>
      <c r="D1539" s="137"/>
      <c r="E1539" s="137"/>
      <c r="F1539" s="137"/>
      <c r="G1539" s="102"/>
      <c r="H1539" s="137"/>
      <c r="I1539" s="137"/>
      <c r="J1539" s="137"/>
      <c r="K1539" s="170"/>
      <c r="L1539" s="170"/>
      <c r="M1539" s="170"/>
      <c r="N1539" s="137"/>
      <c r="O1539" s="137"/>
    </row>
    <row r="1540" spans="1:15" x14ac:dyDescent="0.35">
      <c r="A1540" s="137"/>
      <c r="B1540" s="137"/>
      <c r="C1540" s="137"/>
      <c r="D1540" s="137"/>
      <c r="E1540" s="137"/>
      <c r="F1540" s="137"/>
      <c r="G1540" s="102"/>
      <c r="H1540" s="137"/>
      <c r="I1540" s="137"/>
      <c r="J1540" s="137"/>
      <c r="K1540" s="170"/>
      <c r="L1540" s="170"/>
      <c r="M1540" s="170"/>
      <c r="N1540" s="137"/>
      <c r="O1540" s="137"/>
    </row>
    <row r="1541" spans="1:15" x14ac:dyDescent="0.35">
      <c r="A1541" s="137"/>
      <c r="B1541" s="137"/>
      <c r="C1541" s="137"/>
      <c r="D1541" s="137"/>
      <c r="E1541" s="137"/>
      <c r="F1541" s="137"/>
      <c r="G1541" s="102"/>
      <c r="H1541" s="137"/>
      <c r="I1541" s="137"/>
      <c r="J1541" s="137"/>
      <c r="K1541" s="170"/>
      <c r="L1541" s="170"/>
      <c r="M1541" s="170"/>
      <c r="N1541" s="137"/>
      <c r="O1541" s="137"/>
    </row>
    <row r="1542" spans="1:15" x14ac:dyDescent="0.35">
      <c r="A1542" s="137"/>
      <c r="B1542" s="137"/>
      <c r="C1542" s="137"/>
      <c r="D1542" s="137"/>
      <c r="E1542" s="137"/>
      <c r="F1542" s="137"/>
      <c r="G1542" s="102"/>
      <c r="H1542" s="137"/>
      <c r="I1542" s="137"/>
      <c r="J1542" s="137"/>
      <c r="K1542" s="170"/>
      <c r="L1542" s="170"/>
      <c r="M1542" s="170"/>
      <c r="N1542" s="137"/>
      <c r="O1542" s="137"/>
    </row>
    <row r="1543" spans="1:15" x14ac:dyDescent="0.35">
      <c r="A1543" s="137"/>
      <c r="B1543" s="137"/>
      <c r="C1543" s="137"/>
      <c r="D1543" s="137"/>
      <c r="E1543" s="137"/>
      <c r="F1543" s="137"/>
      <c r="G1543" s="102"/>
      <c r="H1543" s="137"/>
      <c r="I1543" s="137"/>
      <c r="J1543" s="137"/>
      <c r="K1543" s="170"/>
      <c r="L1543" s="170"/>
      <c r="M1543" s="170"/>
      <c r="N1543" s="137"/>
      <c r="O1543" s="137"/>
    </row>
    <row r="1544" spans="1:15" x14ac:dyDescent="0.35">
      <c r="A1544" s="137"/>
      <c r="B1544" s="137"/>
      <c r="C1544" s="137"/>
      <c r="D1544" s="137"/>
      <c r="E1544" s="137"/>
      <c r="F1544" s="137"/>
      <c r="G1544" s="102"/>
      <c r="H1544" s="137"/>
      <c r="I1544" s="137"/>
      <c r="J1544" s="137"/>
      <c r="K1544" s="170"/>
      <c r="L1544" s="170"/>
      <c r="M1544" s="170"/>
      <c r="N1544" s="137"/>
      <c r="O1544" s="137"/>
    </row>
    <row r="1545" spans="1:15" x14ac:dyDescent="0.35">
      <c r="A1545" s="137"/>
      <c r="B1545" s="137"/>
      <c r="C1545" s="137"/>
      <c r="D1545" s="137"/>
      <c r="E1545" s="137"/>
      <c r="F1545" s="137"/>
      <c r="G1545" s="102"/>
      <c r="H1545" s="137"/>
      <c r="I1545" s="137"/>
      <c r="J1545" s="137"/>
      <c r="K1545" s="170"/>
      <c r="L1545" s="170"/>
      <c r="M1545" s="170"/>
      <c r="N1545" s="137"/>
      <c r="O1545" s="137"/>
    </row>
    <row r="1546" spans="1:15" x14ac:dyDescent="0.35">
      <c r="A1546" s="137"/>
      <c r="B1546" s="137"/>
      <c r="C1546" s="137"/>
      <c r="D1546" s="137"/>
      <c r="E1546" s="137"/>
      <c r="F1546" s="137"/>
      <c r="G1546" s="102"/>
      <c r="H1546" s="137"/>
      <c r="I1546" s="137"/>
      <c r="J1546" s="137"/>
      <c r="K1546" s="170"/>
      <c r="L1546" s="170"/>
      <c r="M1546" s="170"/>
      <c r="N1546" s="137"/>
      <c r="O1546" s="137"/>
    </row>
    <row r="1547" spans="1:15" x14ac:dyDescent="0.35">
      <c r="A1547" s="137"/>
      <c r="B1547" s="137"/>
      <c r="C1547" s="137"/>
      <c r="D1547" s="137"/>
      <c r="E1547" s="137"/>
      <c r="F1547" s="137"/>
      <c r="G1547" s="102"/>
      <c r="H1547" s="137"/>
      <c r="I1547" s="137"/>
      <c r="J1547" s="137"/>
      <c r="K1547" s="170"/>
      <c r="L1547" s="170"/>
      <c r="M1547" s="170"/>
      <c r="N1547" s="137"/>
      <c r="O1547" s="137"/>
    </row>
    <row r="1548" spans="1:15" x14ac:dyDescent="0.35">
      <c r="A1548" s="137"/>
      <c r="B1548" s="137"/>
      <c r="C1548" s="137"/>
      <c r="D1548" s="137"/>
      <c r="E1548" s="137"/>
      <c r="F1548" s="137"/>
      <c r="G1548" s="102"/>
      <c r="H1548" s="137"/>
      <c r="I1548" s="137"/>
      <c r="J1548" s="137"/>
      <c r="K1548" s="170"/>
      <c r="L1548" s="170"/>
      <c r="M1548" s="170"/>
      <c r="N1548" s="137"/>
      <c r="O1548" s="137"/>
    </row>
    <row r="1549" spans="1:15" x14ac:dyDescent="0.35">
      <c r="A1549" s="137"/>
      <c r="B1549" s="137"/>
      <c r="C1549" s="137"/>
      <c r="D1549" s="137"/>
      <c r="E1549" s="137"/>
      <c r="F1549" s="137"/>
      <c r="G1549" s="102"/>
      <c r="H1549" s="137"/>
      <c r="I1549" s="137"/>
      <c r="J1549" s="137"/>
      <c r="K1549" s="170"/>
      <c r="L1549" s="170"/>
      <c r="M1549" s="170"/>
      <c r="N1549" s="137"/>
      <c r="O1549" s="137"/>
    </row>
    <row r="1550" spans="1:15" x14ac:dyDescent="0.35">
      <c r="A1550" s="137"/>
      <c r="B1550" s="137"/>
      <c r="C1550" s="137"/>
      <c r="D1550" s="137"/>
      <c r="E1550" s="137"/>
      <c r="F1550" s="137"/>
      <c r="G1550" s="102"/>
      <c r="H1550" s="137"/>
      <c r="I1550" s="137"/>
      <c r="J1550" s="137"/>
      <c r="K1550" s="170"/>
      <c r="L1550" s="170"/>
      <c r="M1550" s="170"/>
      <c r="N1550" s="137"/>
      <c r="O1550" s="137"/>
    </row>
    <row r="1551" spans="1:15" x14ac:dyDescent="0.35">
      <c r="A1551" s="137"/>
      <c r="B1551" s="137"/>
      <c r="C1551" s="137"/>
      <c r="D1551" s="137"/>
      <c r="E1551" s="137"/>
      <c r="F1551" s="137"/>
      <c r="G1551" s="102"/>
      <c r="H1551" s="137"/>
      <c r="I1551" s="137"/>
      <c r="J1551" s="137"/>
      <c r="K1551" s="170"/>
      <c r="L1551" s="170"/>
      <c r="M1551" s="170"/>
      <c r="N1551" s="137"/>
      <c r="O1551" s="137"/>
    </row>
    <row r="1552" spans="1:15" x14ac:dyDescent="0.35">
      <c r="A1552" s="137"/>
      <c r="B1552" s="137"/>
      <c r="C1552" s="137"/>
      <c r="D1552" s="137"/>
      <c r="E1552" s="137"/>
      <c r="F1552" s="137"/>
      <c r="G1552" s="102"/>
      <c r="H1552" s="137"/>
      <c r="I1552" s="137"/>
      <c r="J1552" s="137"/>
      <c r="K1552" s="170"/>
      <c r="L1552" s="170"/>
      <c r="M1552" s="170"/>
      <c r="N1552" s="137"/>
      <c r="O1552" s="137"/>
    </row>
    <row r="1553" spans="1:15" x14ac:dyDescent="0.35">
      <c r="A1553" s="137"/>
      <c r="B1553" s="137"/>
      <c r="C1553" s="137"/>
      <c r="D1553" s="137"/>
      <c r="E1553" s="137"/>
      <c r="F1553" s="137"/>
      <c r="G1553" s="102"/>
      <c r="H1553" s="137"/>
      <c r="I1553" s="137"/>
      <c r="J1553" s="137"/>
      <c r="K1553" s="170"/>
      <c r="L1553" s="170"/>
      <c r="M1553" s="170"/>
      <c r="N1553" s="137"/>
      <c r="O1553" s="137"/>
    </row>
    <row r="1554" spans="1:15" x14ac:dyDescent="0.35">
      <c r="A1554" s="137"/>
      <c r="B1554" s="137"/>
      <c r="C1554" s="137"/>
      <c r="D1554" s="137"/>
      <c r="E1554" s="137"/>
      <c r="F1554" s="137"/>
      <c r="G1554" s="102"/>
      <c r="H1554" s="137"/>
      <c r="I1554" s="137"/>
      <c r="J1554" s="137"/>
      <c r="K1554" s="170"/>
      <c r="L1554" s="170"/>
      <c r="M1554" s="170"/>
      <c r="N1554" s="137"/>
      <c r="O1554" s="137"/>
    </row>
    <row r="1555" spans="1:15" x14ac:dyDescent="0.35">
      <c r="A1555" s="137"/>
      <c r="B1555" s="137"/>
      <c r="C1555" s="137"/>
      <c r="D1555" s="137"/>
      <c r="E1555" s="137"/>
      <c r="F1555" s="137"/>
      <c r="G1555" s="102"/>
      <c r="H1555" s="137"/>
      <c r="I1555" s="137"/>
      <c r="J1555" s="137"/>
      <c r="K1555" s="170"/>
      <c r="L1555" s="170"/>
      <c r="M1555" s="170"/>
      <c r="N1555" s="137"/>
      <c r="O1555" s="137"/>
    </row>
    <row r="1556" spans="1:15" x14ac:dyDescent="0.35">
      <c r="A1556" s="137"/>
      <c r="B1556" s="137"/>
      <c r="C1556" s="137"/>
      <c r="D1556" s="137"/>
      <c r="E1556" s="137"/>
      <c r="F1556" s="137"/>
      <c r="G1556" s="102"/>
      <c r="H1556" s="137"/>
      <c r="I1556" s="137"/>
      <c r="J1556" s="137"/>
      <c r="K1556" s="170"/>
      <c r="L1556" s="170"/>
      <c r="M1556" s="170"/>
      <c r="N1556" s="137"/>
      <c r="O1556" s="137"/>
    </row>
    <row r="1557" spans="1:15" x14ac:dyDescent="0.35">
      <c r="A1557" s="137"/>
      <c r="B1557" s="137"/>
      <c r="C1557" s="137"/>
      <c r="D1557" s="137"/>
      <c r="E1557" s="137"/>
      <c r="F1557" s="137"/>
      <c r="G1557" s="102"/>
      <c r="H1557" s="137"/>
      <c r="I1557" s="137"/>
      <c r="J1557" s="137"/>
      <c r="K1557" s="170"/>
      <c r="L1557" s="170"/>
      <c r="M1557" s="170"/>
      <c r="N1557" s="137"/>
      <c r="O1557" s="137"/>
    </row>
    <row r="1558" spans="1:15" x14ac:dyDescent="0.35">
      <c r="A1558" s="137"/>
      <c r="B1558" s="137"/>
      <c r="C1558" s="137"/>
      <c r="D1558" s="137"/>
      <c r="E1558" s="137"/>
      <c r="F1558" s="137"/>
      <c r="G1558" s="102"/>
      <c r="H1558" s="137"/>
      <c r="I1558" s="137"/>
      <c r="J1558" s="137"/>
      <c r="K1558" s="170"/>
      <c r="L1558" s="170"/>
      <c r="M1558" s="170"/>
      <c r="N1558" s="137"/>
      <c r="O1558" s="137"/>
    </row>
    <row r="1559" spans="1:15" x14ac:dyDescent="0.35">
      <c r="A1559" s="137"/>
      <c r="B1559" s="137"/>
      <c r="C1559" s="137"/>
      <c r="D1559" s="137"/>
      <c r="E1559" s="137"/>
      <c r="F1559" s="137"/>
      <c r="G1559" s="102"/>
      <c r="H1559" s="137"/>
      <c r="I1559" s="137"/>
      <c r="J1559" s="137"/>
      <c r="K1559" s="170"/>
      <c r="L1559" s="170"/>
      <c r="M1559" s="170"/>
      <c r="N1559" s="137"/>
      <c r="O1559" s="137"/>
    </row>
    <row r="1560" spans="1:15" x14ac:dyDescent="0.35">
      <c r="A1560" s="137"/>
      <c r="B1560" s="137"/>
      <c r="C1560" s="137"/>
      <c r="D1560" s="137"/>
      <c r="E1560" s="137"/>
      <c r="F1560" s="137"/>
      <c r="G1560" s="102"/>
      <c r="H1560" s="137"/>
      <c r="I1560" s="137"/>
      <c r="J1560" s="137"/>
      <c r="K1560" s="170"/>
      <c r="L1560" s="170"/>
      <c r="M1560" s="170"/>
      <c r="N1560" s="137"/>
      <c r="O1560" s="137"/>
    </row>
    <row r="1561" spans="1:15" x14ac:dyDescent="0.35">
      <c r="A1561" s="137"/>
      <c r="B1561" s="137"/>
      <c r="C1561" s="137"/>
      <c r="D1561" s="137"/>
      <c r="E1561" s="137"/>
      <c r="F1561" s="137"/>
      <c r="G1561" s="102"/>
      <c r="H1561" s="137"/>
      <c r="I1561" s="137"/>
      <c r="J1561" s="137"/>
      <c r="K1561" s="170"/>
      <c r="L1561" s="170"/>
      <c r="M1561" s="170"/>
      <c r="N1561" s="137"/>
      <c r="O1561" s="137"/>
    </row>
    <row r="1562" spans="1:15" x14ac:dyDescent="0.35">
      <c r="A1562" s="137"/>
      <c r="B1562" s="137"/>
      <c r="C1562" s="137"/>
      <c r="D1562" s="137"/>
      <c r="E1562" s="137"/>
      <c r="F1562" s="137"/>
      <c r="G1562" s="102"/>
      <c r="H1562" s="137"/>
      <c r="I1562" s="137"/>
      <c r="J1562" s="137"/>
      <c r="K1562" s="170"/>
      <c r="L1562" s="170"/>
      <c r="M1562" s="170"/>
      <c r="N1562" s="137"/>
      <c r="O1562" s="137"/>
    </row>
    <row r="1563" spans="1:15" x14ac:dyDescent="0.35">
      <c r="A1563" s="137"/>
      <c r="B1563" s="137"/>
      <c r="C1563" s="137"/>
      <c r="D1563" s="137"/>
      <c r="E1563" s="137"/>
      <c r="F1563" s="137"/>
      <c r="G1563" s="102"/>
      <c r="H1563" s="137"/>
      <c r="I1563" s="137"/>
      <c r="J1563" s="137"/>
      <c r="K1563" s="170"/>
      <c r="L1563" s="170"/>
      <c r="M1563" s="170"/>
      <c r="N1563" s="137"/>
      <c r="O1563" s="137"/>
    </row>
    <row r="1564" spans="1:15" x14ac:dyDescent="0.35">
      <c r="A1564" s="137"/>
      <c r="B1564" s="137"/>
      <c r="C1564" s="137"/>
      <c r="D1564" s="137"/>
      <c r="E1564" s="137"/>
      <c r="F1564" s="137"/>
      <c r="G1564" s="102"/>
      <c r="H1564" s="137"/>
      <c r="I1564" s="137"/>
      <c r="J1564" s="137"/>
      <c r="K1564" s="170"/>
      <c r="L1564" s="170"/>
      <c r="M1564" s="170"/>
      <c r="N1564" s="137"/>
      <c r="O1564" s="137"/>
    </row>
    <row r="1565" spans="1:15" x14ac:dyDescent="0.35">
      <c r="A1565" s="137"/>
      <c r="B1565" s="137"/>
      <c r="C1565" s="137"/>
      <c r="D1565" s="137"/>
      <c r="E1565" s="137"/>
      <c r="F1565" s="137"/>
      <c r="G1565" s="102"/>
      <c r="H1565" s="137"/>
      <c r="I1565" s="137"/>
      <c r="J1565" s="137"/>
      <c r="K1565" s="170"/>
      <c r="L1565" s="170"/>
      <c r="M1565" s="170"/>
      <c r="N1565" s="137"/>
      <c r="O1565" s="137"/>
    </row>
    <row r="1566" spans="1:15" x14ac:dyDescent="0.35">
      <c r="A1566" s="137"/>
      <c r="B1566" s="137"/>
      <c r="C1566" s="137"/>
      <c r="D1566" s="137"/>
      <c r="E1566" s="137"/>
      <c r="F1566" s="137"/>
      <c r="G1566" s="102"/>
      <c r="H1566" s="137"/>
      <c r="I1566" s="137"/>
      <c r="J1566" s="137"/>
      <c r="K1566" s="170"/>
      <c r="L1566" s="170"/>
      <c r="M1566" s="170"/>
      <c r="N1566" s="137"/>
      <c r="O1566" s="137"/>
    </row>
    <row r="1567" spans="1:15" x14ac:dyDescent="0.35">
      <c r="A1567" s="137"/>
      <c r="B1567" s="137"/>
      <c r="C1567" s="137"/>
      <c r="D1567" s="137"/>
      <c r="E1567" s="137"/>
      <c r="F1567" s="137"/>
      <c r="G1567" s="102"/>
      <c r="H1567" s="137"/>
      <c r="I1567" s="137"/>
      <c r="J1567" s="137"/>
      <c r="K1567" s="170"/>
      <c r="L1567" s="170"/>
      <c r="M1567" s="170"/>
      <c r="N1567" s="137"/>
      <c r="O1567" s="137"/>
    </row>
    <row r="1568" spans="1:15" x14ac:dyDescent="0.35">
      <c r="A1568" s="137"/>
      <c r="B1568" s="137"/>
      <c r="C1568" s="137"/>
      <c r="D1568" s="137"/>
      <c r="E1568" s="137"/>
      <c r="F1568" s="137"/>
      <c r="G1568" s="102"/>
      <c r="H1568" s="137"/>
      <c r="I1568" s="137"/>
      <c r="J1568" s="137"/>
      <c r="K1568" s="170"/>
      <c r="L1568" s="170"/>
      <c r="M1568" s="170"/>
      <c r="N1568" s="137"/>
      <c r="O1568" s="137"/>
    </row>
    <row r="1569" spans="1:15" x14ac:dyDescent="0.35">
      <c r="A1569" s="137"/>
      <c r="B1569" s="137"/>
      <c r="C1569" s="137"/>
      <c r="D1569" s="137"/>
      <c r="E1569" s="137"/>
      <c r="F1569" s="137"/>
      <c r="G1569" s="102"/>
      <c r="H1569" s="137"/>
      <c r="I1569" s="137"/>
      <c r="J1569" s="137"/>
      <c r="K1569" s="170"/>
      <c r="L1569" s="170"/>
      <c r="M1569" s="170"/>
      <c r="N1569" s="137"/>
      <c r="O1569" s="137"/>
    </row>
    <row r="1570" spans="1:15" x14ac:dyDescent="0.35">
      <c r="A1570" s="137"/>
      <c r="B1570" s="137"/>
      <c r="C1570" s="137"/>
      <c r="D1570" s="137"/>
      <c r="E1570" s="137"/>
      <c r="F1570" s="137"/>
      <c r="G1570" s="102"/>
      <c r="H1570" s="137"/>
      <c r="I1570" s="137"/>
      <c r="J1570" s="137"/>
      <c r="K1570" s="170"/>
      <c r="L1570" s="170"/>
      <c r="M1570" s="170"/>
      <c r="N1570" s="137"/>
      <c r="O1570" s="137"/>
    </row>
    <row r="1571" spans="1:15" x14ac:dyDescent="0.35">
      <c r="A1571" s="137"/>
      <c r="B1571" s="137"/>
      <c r="C1571" s="137"/>
      <c r="D1571" s="137"/>
      <c r="E1571" s="137"/>
      <c r="F1571" s="137"/>
      <c r="G1571" s="102"/>
      <c r="H1571" s="137"/>
      <c r="I1571" s="137"/>
      <c r="J1571" s="137"/>
      <c r="K1571" s="170"/>
      <c r="L1571" s="170"/>
      <c r="M1571" s="170"/>
      <c r="N1571" s="137"/>
      <c r="O1571" s="137"/>
    </row>
    <row r="1572" spans="1:15" x14ac:dyDescent="0.35">
      <c r="A1572" s="137"/>
      <c r="B1572" s="137"/>
      <c r="C1572" s="137"/>
      <c r="D1572" s="137"/>
      <c r="E1572" s="137"/>
      <c r="F1572" s="137"/>
      <c r="G1572" s="102"/>
      <c r="H1572" s="137"/>
      <c r="I1572" s="137"/>
      <c r="J1572" s="137"/>
      <c r="K1572" s="170"/>
      <c r="L1572" s="170"/>
      <c r="M1572" s="170"/>
      <c r="N1572" s="137"/>
      <c r="O1572" s="137"/>
    </row>
    <row r="1573" spans="1:15" x14ac:dyDescent="0.35">
      <c r="A1573" s="137"/>
      <c r="B1573" s="137"/>
      <c r="C1573" s="137"/>
      <c r="D1573" s="137"/>
      <c r="E1573" s="137"/>
      <c r="F1573" s="137"/>
      <c r="G1573" s="102"/>
      <c r="H1573" s="137"/>
      <c r="I1573" s="137"/>
      <c r="J1573" s="137"/>
      <c r="K1573" s="170"/>
      <c r="L1573" s="170"/>
      <c r="M1573" s="170"/>
      <c r="N1573" s="137"/>
      <c r="O1573" s="137"/>
    </row>
    <row r="1574" spans="1:15" x14ac:dyDescent="0.35">
      <c r="A1574" s="137"/>
      <c r="B1574" s="137"/>
      <c r="C1574" s="137"/>
      <c r="D1574" s="137"/>
      <c r="E1574" s="137"/>
      <c r="F1574" s="137"/>
      <c r="G1574" s="102"/>
      <c r="H1574" s="137"/>
      <c r="I1574" s="137"/>
      <c r="J1574" s="137"/>
      <c r="K1574" s="170"/>
      <c r="L1574" s="170"/>
      <c r="M1574" s="170"/>
      <c r="N1574" s="31"/>
      <c r="O1574" s="31"/>
    </row>
    <row r="1575" spans="1:15" x14ac:dyDescent="0.35">
      <c r="A1575" s="137"/>
      <c r="B1575" s="137"/>
      <c r="C1575" s="137"/>
      <c r="D1575" s="137"/>
      <c r="E1575" s="137"/>
      <c r="F1575" s="137"/>
      <c r="G1575" s="102"/>
      <c r="H1575" s="137"/>
      <c r="I1575" s="137"/>
      <c r="J1575" s="137"/>
      <c r="K1575" s="170"/>
      <c r="L1575" s="170"/>
      <c r="M1575" s="170"/>
      <c r="N1575" s="31"/>
      <c r="O1575" s="31"/>
    </row>
    <row r="1576" spans="1:15" x14ac:dyDescent="0.35">
      <c r="A1576" s="137"/>
      <c r="B1576" s="137"/>
      <c r="C1576" s="137"/>
      <c r="D1576" s="137"/>
      <c r="E1576" s="137"/>
      <c r="F1576" s="137"/>
      <c r="G1576" s="102"/>
      <c r="H1576" s="137"/>
      <c r="I1576" s="137"/>
      <c r="J1576" s="137"/>
      <c r="K1576" s="170"/>
      <c r="L1576" s="170"/>
      <c r="M1576" s="170"/>
    </row>
    <row r="1577" spans="1:15" x14ac:dyDescent="0.35">
      <c r="A1577" s="137"/>
      <c r="B1577" s="137"/>
      <c r="C1577" s="137"/>
      <c r="D1577" s="137"/>
      <c r="E1577" s="137"/>
      <c r="F1577" s="137"/>
      <c r="G1577" s="102"/>
      <c r="H1577" s="137"/>
      <c r="I1577" s="137"/>
      <c r="J1577" s="137"/>
      <c r="K1577" s="170"/>
      <c r="L1577" s="170"/>
      <c r="M1577" s="170"/>
    </row>
    <row r="1578" spans="1:15" x14ac:dyDescent="0.35">
      <c r="A1578" s="137"/>
      <c r="B1578" s="137"/>
      <c r="C1578" s="137"/>
      <c r="D1578" s="137"/>
      <c r="E1578" s="137"/>
      <c r="F1578" s="137"/>
      <c r="G1578" s="102"/>
      <c r="H1578" s="137"/>
      <c r="I1578" s="137"/>
      <c r="J1578" s="137"/>
      <c r="K1578" s="170"/>
      <c r="L1578" s="170"/>
      <c r="M1578" s="170"/>
    </row>
    <row r="1579" spans="1:15" x14ac:dyDescent="0.35">
      <c r="A1579" s="137"/>
      <c r="B1579" s="137"/>
      <c r="C1579" s="137"/>
      <c r="D1579" s="137"/>
      <c r="E1579" s="137"/>
      <c r="F1579" s="137"/>
      <c r="G1579" s="102"/>
      <c r="H1579" s="137"/>
      <c r="I1579" s="137"/>
      <c r="J1579" s="137"/>
      <c r="K1579" s="170"/>
      <c r="L1579" s="170"/>
      <c r="M1579" s="170"/>
      <c r="N1579" s="137"/>
      <c r="O1579" s="137"/>
    </row>
    <row r="1580" spans="1:15" x14ac:dyDescent="0.35">
      <c r="A1580" s="137"/>
      <c r="B1580" s="137"/>
      <c r="C1580" s="137"/>
      <c r="D1580" s="137"/>
      <c r="E1580" s="137"/>
      <c r="F1580" s="137"/>
      <c r="G1580" s="102"/>
      <c r="H1580" s="137"/>
      <c r="I1580" s="137"/>
      <c r="J1580" s="137"/>
      <c r="K1580" s="170"/>
      <c r="L1580" s="170"/>
      <c r="M1580" s="170"/>
    </row>
    <row r="1581" spans="1:15" x14ac:dyDescent="0.35">
      <c r="A1581" s="137"/>
      <c r="B1581" s="137"/>
      <c r="C1581" s="137"/>
      <c r="D1581" s="137"/>
      <c r="E1581" s="137"/>
      <c r="F1581" s="137"/>
      <c r="G1581" s="102"/>
      <c r="H1581" s="137"/>
      <c r="I1581" s="137"/>
      <c r="J1581" s="137"/>
      <c r="K1581" s="170"/>
      <c r="L1581" s="170"/>
      <c r="M1581" s="170"/>
    </row>
    <row r="1582" spans="1:15" x14ac:dyDescent="0.35">
      <c r="A1582" s="137"/>
      <c r="B1582" s="137"/>
      <c r="C1582" s="137"/>
      <c r="D1582" s="137"/>
      <c r="E1582" s="137"/>
      <c r="F1582" s="137"/>
      <c r="G1582" s="102"/>
      <c r="H1582" s="137"/>
      <c r="I1582" s="137"/>
      <c r="J1582" s="137"/>
      <c r="K1582" s="170"/>
      <c r="L1582" s="170"/>
      <c r="M1582" s="170"/>
    </row>
    <row r="1583" spans="1:15" x14ac:dyDescent="0.35">
      <c r="A1583" s="137"/>
      <c r="B1583" s="137"/>
      <c r="C1583" s="137"/>
      <c r="D1583" s="137"/>
      <c r="E1583" s="137"/>
      <c r="F1583" s="137"/>
      <c r="G1583" s="102"/>
      <c r="H1583" s="137"/>
      <c r="I1583" s="137"/>
      <c r="J1583" s="137"/>
      <c r="K1583" s="170"/>
      <c r="L1583" s="170"/>
      <c r="M1583" s="170"/>
      <c r="N1583" s="137"/>
      <c r="O1583" s="137"/>
    </row>
    <row r="1584" spans="1:15" x14ac:dyDescent="0.35">
      <c r="A1584" s="137"/>
      <c r="B1584" s="137"/>
      <c r="C1584" s="137"/>
      <c r="D1584" s="137"/>
      <c r="E1584" s="137"/>
      <c r="F1584" s="137"/>
      <c r="G1584" s="102"/>
      <c r="H1584" s="137"/>
      <c r="I1584" s="137"/>
      <c r="J1584" s="137"/>
      <c r="K1584" s="170"/>
      <c r="L1584" s="170"/>
      <c r="M1584" s="170"/>
      <c r="N1584" s="137"/>
      <c r="O1584" s="137"/>
    </row>
    <row r="1585" spans="1:15" x14ac:dyDescent="0.35">
      <c r="A1585" s="137"/>
      <c r="B1585" s="137"/>
      <c r="C1585" s="137"/>
      <c r="D1585" s="137"/>
      <c r="E1585" s="137"/>
      <c r="F1585" s="137"/>
      <c r="G1585" s="102"/>
      <c r="H1585" s="137"/>
      <c r="I1585" s="137"/>
      <c r="J1585" s="137"/>
      <c r="K1585" s="170"/>
      <c r="L1585" s="170"/>
      <c r="M1585" s="170"/>
      <c r="N1585" s="137"/>
      <c r="O1585" s="137"/>
    </row>
    <row r="1586" spans="1:15" x14ac:dyDescent="0.35">
      <c r="A1586" s="137"/>
      <c r="B1586" s="137"/>
      <c r="C1586" s="137"/>
      <c r="D1586" s="137"/>
      <c r="E1586" s="137"/>
      <c r="F1586" s="137"/>
      <c r="G1586" s="102"/>
      <c r="H1586" s="137"/>
      <c r="I1586" s="137"/>
      <c r="J1586" s="137"/>
      <c r="K1586" s="170"/>
      <c r="L1586" s="170"/>
      <c r="M1586" s="170"/>
      <c r="N1586" s="137"/>
      <c r="O1586" s="137"/>
    </row>
    <row r="1587" spans="1:15" x14ac:dyDescent="0.35">
      <c r="A1587" s="137"/>
      <c r="B1587" s="137"/>
      <c r="C1587" s="137"/>
      <c r="D1587" s="137"/>
      <c r="E1587" s="137"/>
      <c r="F1587" s="137"/>
      <c r="G1587" s="102"/>
      <c r="H1587" s="137"/>
      <c r="I1587" s="137"/>
      <c r="J1587" s="137"/>
      <c r="K1587" s="170"/>
      <c r="L1587" s="170"/>
      <c r="M1587" s="170"/>
      <c r="N1587" s="137"/>
      <c r="O1587" s="137"/>
    </row>
    <row r="1588" spans="1:15" x14ac:dyDescent="0.35">
      <c r="A1588" s="137"/>
      <c r="B1588" s="137"/>
      <c r="C1588" s="137"/>
      <c r="D1588" s="137"/>
      <c r="E1588" s="137"/>
      <c r="F1588" s="137"/>
      <c r="G1588" s="102"/>
      <c r="H1588" s="137"/>
      <c r="I1588" s="137"/>
      <c r="J1588" s="137"/>
      <c r="K1588" s="170"/>
      <c r="L1588" s="170"/>
      <c r="M1588" s="170"/>
      <c r="N1588" s="137"/>
      <c r="O1588" s="137"/>
    </row>
    <row r="1589" spans="1:15" x14ac:dyDescent="0.35">
      <c r="A1589" s="137"/>
      <c r="B1589" s="137"/>
      <c r="C1589" s="137"/>
      <c r="D1589" s="137"/>
      <c r="E1589" s="137"/>
      <c r="F1589" s="137"/>
      <c r="G1589" s="102"/>
      <c r="H1589" s="137"/>
      <c r="I1589" s="137"/>
      <c r="J1589" s="137"/>
      <c r="K1589" s="170"/>
      <c r="L1589" s="170"/>
      <c r="M1589" s="170"/>
      <c r="N1589" s="137"/>
      <c r="O1589" s="137"/>
    </row>
    <row r="1590" spans="1:15" x14ac:dyDescent="0.35">
      <c r="A1590" s="137"/>
      <c r="B1590" s="137"/>
      <c r="C1590" s="137"/>
      <c r="D1590" s="137"/>
      <c r="E1590" s="137"/>
      <c r="F1590" s="137"/>
      <c r="G1590" s="102"/>
      <c r="H1590" s="137"/>
      <c r="I1590" s="137"/>
      <c r="J1590" s="137"/>
      <c r="K1590" s="170"/>
      <c r="L1590" s="170"/>
      <c r="M1590" s="170"/>
      <c r="N1590" s="137"/>
      <c r="O1590" s="137"/>
    </row>
    <row r="1591" spans="1:15" x14ac:dyDescent="0.35">
      <c r="A1591" s="137"/>
      <c r="B1591" s="137"/>
      <c r="C1591" s="137"/>
      <c r="D1591" s="137"/>
      <c r="E1591" s="137"/>
      <c r="F1591" s="137"/>
      <c r="G1591" s="102"/>
      <c r="H1591" s="137"/>
      <c r="I1591" s="137"/>
      <c r="J1591" s="137"/>
      <c r="K1591" s="170"/>
      <c r="L1591" s="170"/>
      <c r="M1591" s="170"/>
      <c r="N1591" s="137"/>
      <c r="O1591" s="137"/>
    </row>
    <row r="1592" spans="1:15" x14ac:dyDescent="0.35">
      <c r="A1592" s="137"/>
      <c r="B1592" s="137"/>
      <c r="C1592" s="137"/>
      <c r="D1592" s="137"/>
      <c r="E1592" s="137"/>
      <c r="F1592" s="137"/>
      <c r="G1592" s="102"/>
      <c r="H1592" s="137"/>
      <c r="I1592" s="137"/>
      <c r="J1592" s="137"/>
      <c r="K1592" s="170"/>
      <c r="L1592" s="170"/>
      <c r="M1592" s="170"/>
      <c r="N1592" s="137"/>
      <c r="O1592" s="137"/>
    </row>
    <row r="1593" spans="1:15" x14ac:dyDescent="0.35">
      <c r="A1593" s="137"/>
      <c r="B1593" s="137"/>
      <c r="C1593" s="137"/>
      <c r="D1593" s="137"/>
      <c r="E1593" s="137"/>
      <c r="F1593" s="137"/>
      <c r="G1593" s="102"/>
      <c r="H1593" s="137"/>
      <c r="I1593" s="137"/>
      <c r="J1593" s="137"/>
      <c r="K1593" s="170"/>
      <c r="L1593" s="170"/>
      <c r="M1593" s="170"/>
    </row>
    <row r="1594" spans="1:15" x14ac:dyDescent="0.35">
      <c r="A1594" s="137"/>
      <c r="B1594" s="137"/>
      <c r="C1594" s="137"/>
      <c r="D1594" s="137"/>
      <c r="E1594" s="137"/>
      <c r="F1594" s="137"/>
      <c r="G1594" s="102"/>
      <c r="H1594" s="137"/>
      <c r="I1594" s="137"/>
      <c r="J1594" s="137"/>
      <c r="K1594" s="170"/>
      <c r="L1594" s="170"/>
      <c r="M1594" s="170"/>
    </row>
    <row r="1595" spans="1:15" x14ac:dyDescent="0.35">
      <c r="A1595" s="137"/>
      <c r="B1595" s="137"/>
      <c r="C1595" s="137"/>
      <c r="D1595" s="137"/>
      <c r="E1595" s="137"/>
      <c r="F1595" s="137"/>
      <c r="G1595" s="102"/>
      <c r="H1595" s="137"/>
      <c r="I1595" s="137"/>
      <c r="J1595" s="137"/>
      <c r="K1595" s="170"/>
      <c r="L1595" s="170"/>
      <c r="M1595" s="170"/>
      <c r="N1595" s="137"/>
      <c r="O1595" s="137"/>
    </row>
    <row r="1596" spans="1:15" x14ac:dyDescent="0.35">
      <c r="A1596" s="137"/>
      <c r="B1596" s="137"/>
      <c r="C1596" s="137"/>
      <c r="D1596" s="137"/>
      <c r="E1596" s="137"/>
      <c r="F1596" s="137"/>
      <c r="G1596" s="102"/>
      <c r="H1596" s="137"/>
      <c r="I1596" s="137"/>
      <c r="J1596" s="137"/>
      <c r="K1596" s="170"/>
      <c r="L1596" s="170"/>
      <c r="M1596" s="170"/>
      <c r="N1596" s="137"/>
      <c r="O1596" s="137"/>
    </row>
    <row r="1597" spans="1:15" x14ac:dyDescent="0.35">
      <c r="A1597" s="137"/>
      <c r="B1597" s="137"/>
      <c r="C1597" s="137"/>
      <c r="D1597" s="137"/>
      <c r="E1597" s="137"/>
      <c r="F1597" s="137"/>
      <c r="G1597" s="102"/>
      <c r="H1597" s="137"/>
      <c r="I1597" s="137"/>
      <c r="J1597" s="137"/>
      <c r="K1597" s="170"/>
      <c r="L1597" s="170"/>
      <c r="M1597" s="170"/>
      <c r="N1597" s="137"/>
      <c r="O1597" s="137"/>
    </row>
    <row r="1598" spans="1:15" x14ac:dyDescent="0.35">
      <c r="A1598" s="137"/>
      <c r="B1598" s="137"/>
      <c r="C1598" s="137"/>
      <c r="D1598" s="137"/>
      <c r="E1598" s="137"/>
      <c r="F1598" s="137"/>
      <c r="G1598" s="102"/>
      <c r="H1598" s="137"/>
      <c r="I1598" s="137"/>
      <c r="J1598" s="137"/>
      <c r="K1598" s="170"/>
      <c r="L1598" s="170"/>
      <c r="M1598" s="170"/>
      <c r="N1598" s="137"/>
      <c r="O1598" s="137"/>
    </row>
    <row r="1599" spans="1:15" x14ac:dyDescent="0.35">
      <c r="A1599" s="137"/>
      <c r="B1599" s="137"/>
      <c r="C1599" s="137"/>
      <c r="D1599" s="137"/>
      <c r="E1599" s="137"/>
      <c r="F1599" s="137"/>
      <c r="G1599" s="102"/>
      <c r="H1599" s="137"/>
      <c r="I1599" s="137"/>
      <c r="J1599" s="137"/>
      <c r="K1599" s="170"/>
      <c r="L1599" s="170"/>
      <c r="M1599" s="170"/>
      <c r="N1599" s="137"/>
      <c r="O1599" s="137"/>
    </row>
    <row r="1600" spans="1:15" x14ac:dyDescent="0.35">
      <c r="A1600" s="137"/>
      <c r="B1600" s="137"/>
      <c r="C1600" s="137"/>
      <c r="D1600" s="137"/>
      <c r="E1600" s="137"/>
      <c r="F1600" s="137"/>
      <c r="G1600" s="102"/>
      <c r="H1600" s="137"/>
      <c r="I1600" s="137"/>
      <c r="J1600" s="137"/>
      <c r="K1600" s="170"/>
      <c r="L1600" s="170"/>
      <c r="M1600" s="170"/>
      <c r="N1600" s="137"/>
      <c r="O1600" s="137"/>
    </row>
    <row r="1601" spans="1:15" x14ac:dyDescent="0.35">
      <c r="A1601" s="137"/>
      <c r="B1601" s="137"/>
      <c r="C1601" s="137"/>
      <c r="D1601" s="137"/>
      <c r="E1601" s="137"/>
      <c r="F1601" s="137"/>
      <c r="G1601" s="102"/>
      <c r="H1601" s="137"/>
      <c r="I1601" s="137"/>
      <c r="J1601" s="137"/>
      <c r="K1601" s="170"/>
      <c r="L1601" s="170"/>
      <c r="M1601" s="170"/>
      <c r="N1601" s="137"/>
      <c r="O1601" s="137"/>
    </row>
    <row r="1602" spans="1:15" x14ac:dyDescent="0.35">
      <c r="A1602" s="137"/>
      <c r="B1602" s="137"/>
      <c r="C1602" s="137"/>
      <c r="D1602" s="137"/>
      <c r="E1602" s="137"/>
      <c r="F1602" s="137"/>
      <c r="G1602" s="102"/>
      <c r="H1602" s="137"/>
      <c r="I1602" s="137"/>
      <c r="J1602" s="137"/>
      <c r="K1602" s="170"/>
      <c r="L1602" s="170"/>
      <c r="M1602" s="170"/>
      <c r="N1602" s="137"/>
      <c r="O1602" s="137"/>
    </row>
    <row r="1603" spans="1:15" x14ac:dyDescent="0.35">
      <c r="A1603" s="137"/>
      <c r="B1603" s="137"/>
      <c r="C1603" s="137"/>
      <c r="D1603" s="137"/>
      <c r="E1603" s="137"/>
      <c r="F1603" s="137"/>
      <c r="G1603" s="102"/>
      <c r="H1603" s="137"/>
      <c r="I1603" s="137"/>
      <c r="J1603" s="137"/>
      <c r="K1603" s="170"/>
      <c r="L1603" s="170"/>
      <c r="M1603" s="170"/>
      <c r="N1603" s="137"/>
      <c r="O1603" s="137"/>
    </row>
    <row r="1604" spans="1:15" x14ac:dyDescent="0.35">
      <c r="A1604" s="137"/>
      <c r="B1604" s="137"/>
      <c r="C1604" s="137"/>
      <c r="D1604" s="137"/>
      <c r="E1604" s="137"/>
      <c r="F1604" s="137"/>
      <c r="G1604" s="102"/>
      <c r="H1604" s="137"/>
      <c r="I1604" s="137"/>
      <c r="J1604" s="137"/>
      <c r="K1604" s="170"/>
      <c r="L1604" s="170"/>
      <c r="M1604" s="170"/>
      <c r="N1604" s="137"/>
      <c r="O1604" s="137"/>
    </row>
    <row r="1605" spans="1:15" x14ac:dyDescent="0.35">
      <c r="A1605" s="137"/>
      <c r="B1605" s="137"/>
      <c r="C1605" s="137"/>
      <c r="D1605" s="137"/>
      <c r="E1605" s="137"/>
      <c r="F1605" s="137"/>
      <c r="G1605" s="102"/>
      <c r="H1605" s="137"/>
      <c r="I1605" s="137"/>
      <c r="J1605" s="137"/>
      <c r="K1605" s="170"/>
      <c r="L1605" s="170"/>
      <c r="M1605" s="170"/>
      <c r="N1605" s="137"/>
      <c r="O1605" s="137"/>
    </row>
    <row r="1606" spans="1:15" x14ac:dyDescent="0.35">
      <c r="A1606" s="137"/>
      <c r="B1606" s="137"/>
      <c r="C1606" s="137"/>
      <c r="D1606" s="137"/>
      <c r="E1606" s="137"/>
      <c r="F1606" s="137"/>
      <c r="G1606" s="102"/>
      <c r="H1606" s="137"/>
      <c r="I1606" s="137"/>
      <c r="J1606" s="137"/>
      <c r="K1606" s="170"/>
      <c r="L1606" s="170"/>
      <c r="M1606" s="170"/>
      <c r="N1606" s="137"/>
      <c r="O1606" s="137"/>
    </row>
    <row r="1607" spans="1:15" x14ac:dyDescent="0.35">
      <c r="A1607" s="137"/>
      <c r="B1607" s="137"/>
      <c r="C1607" s="137"/>
      <c r="D1607" s="137"/>
      <c r="E1607" s="137"/>
      <c r="F1607" s="137"/>
      <c r="G1607" s="102"/>
      <c r="H1607" s="137"/>
      <c r="I1607" s="137"/>
      <c r="J1607" s="137"/>
      <c r="K1607" s="170"/>
      <c r="L1607" s="170"/>
      <c r="M1607" s="170"/>
      <c r="N1607" s="31"/>
      <c r="O1607" s="31"/>
    </row>
    <row r="1608" spans="1:15" x14ac:dyDescent="0.35">
      <c r="A1608" s="137"/>
      <c r="B1608" s="137"/>
      <c r="C1608" s="137"/>
      <c r="D1608" s="137"/>
      <c r="E1608" s="137"/>
      <c r="F1608" s="137"/>
      <c r="G1608" s="102"/>
      <c r="H1608" s="137"/>
      <c r="I1608" s="137"/>
      <c r="J1608" s="137"/>
      <c r="K1608" s="170"/>
      <c r="L1608" s="170"/>
      <c r="M1608" s="170"/>
      <c r="N1608" s="137"/>
      <c r="O1608" s="137"/>
    </row>
    <row r="1609" spans="1:15" x14ac:dyDescent="0.35">
      <c r="A1609" s="137"/>
      <c r="B1609" s="137"/>
      <c r="C1609" s="137"/>
      <c r="D1609" s="137"/>
      <c r="E1609" s="137"/>
      <c r="F1609" s="137"/>
      <c r="G1609" s="102"/>
      <c r="H1609" s="137"/>
      <c r="I1609" s="137"/>
      <c r="J1609" s="137"/>
      <c r="K1609" s="170"/>
      <c r="L1609" s="170"/>
      <c r="M1609" s="170"/>
      <c r="N1609" s="137"/>
      <c r="O1609" s="137"/>
    </row>
    <row r="1610" spans="1:15" x14ac:dyDescent="0.35">
      <c r="A1610" s="137"/>
      <c r="B1610" s="137"/>
      <c r="C1610" s="137"/>
      <c r="D1610" s="137"/>
      <c r="E1610" s="137"/>
      <c r="F1610" s="137"/>
      <c r="G1610" s="102"/>
      <c r="H1610" s="137"/>
      <c r="I1610" s="137"/>
      <c r="J1610" s="137"/>
      <c r="K1610" s="170"/>
      <c r="L1610" s="170"/>
      <c r="M1610" s="170"/>
    </row>
    <row r="1611" spans="1:15" x14ac:dyDescent="0.35">
      <c r="A1611" s="137"/>
      <c r="B1611" s="137"/>
      <c r="C1611" s="137"/>
      <c r="D1611" s="137"/>
      <c r="E1611" s="137"/>
      <c r="F1611" s="137"/>
      <c r="G1611" s="102"/>
      <c r="H1611" s="137"/>
      <c r="I1611" s="137"/>
      <c r="J1611" s="137"/>
      <c r="K1611" s="170"/>
      <c r="L1611" s="170"/>
      <c r="M1611" s="170"/>
      <c r="N1611" s="137"/>
      <c r="O1611" s="137"/>
    </row>
    <row r="1612" spans="1:15" x14ac:dyDescent="0.35">
      <c r="A1612" s="137"/>
      <c r="B1612" s="137"/>
      <c r="C1612" s="137"/>
      <c r="D1612" s="137"/>
      <c r="E1612" s="137"/>
      <c r="F1612" s="137"/>
      <c r="G1612" s="102"/>
      <c r="H1612" s="137"/>
      <c r="I1612" s="137"/>
      <c r="J1612" s="137"/>
      <c r="K1612" s="170"/>
      <c r="L1612" s="170"/>
      <c r="M1612" s="170"/>
    </row>
    <row r="1613" spans="1:15" x14ac:dyDescent="0.35">
      <c r="A1613" s="137"/>
      <c r="B1613" s="137"/>
      <c r="C1613" s="137"/>
      <c r="D1613" s="137"/>
      <c r="E1613" s="137"/>
      <c r="F1613" s="137"/>
      <c r="G1613" s="102"/>
      <c r="H1613" s="137"/>
      <c r="I1613" s="137"/>
      <c r="J1613" s="137"/>
      <c r="K1613" s="170"/>
      <c r="L1613" s="170"/>
      <c r="M1613" s="170"/>
    </row>
    <row r="1614" spans="1:15" x14ac:dyDescent="0.35">
      <c r="A1614" s="137"/>
      <c r="B1614" s="137"/>
      <c r="C1614" s="137"/>
      <c r="D1614" s="137"/>
      <c r="E1614" s="137"/>
      <c r="F1614" s="137"/>
      <c r="G1614" s="102"/>
      <c r="H1614" s="137"/>
      <c r="I1614" s="137"/>
      <c r="J1614" s="137"/>
      <c r="K1614" s="170"/>
      <c r="L1614" s="170"/>
      <c r="M1614" s="170"/>
    </row>
    <row r="1615" spans="1:15" x14ac:dyDescent="0.35">
      <c r="A1615" s="137"/>
      <c r="B1615" s="137"/>
      <c r="C1615" s="137"/>
      <c r="D1615" s="137"/>
      <c r="E1615" s="137"/>
      <c r="F1615" s="137"/>
      <c r="G1615" s="102"/>
      <c r="H1615" s="137"/>
      <c r="I1615" s="137"/>
      <c r="J1615" s="137"/>
      <c r="K1615" s="170"/>
      <c r="L1615" s="170"/>
      <c r="M1615" s="170"/>
      <c r="N1615" s="137"/>
      <c r="O1615" s="137"/>
    </row>
    <row r="1616" spans="1:15" x14ac:dyDescent="0.35">
      <c r="A1616" s="137"/>
      <c r="B1616" s="137"/>
      <c r="C1616" s="137"/>
      <c r="D1616" s="137"/>
      <c r="E1616" s="137"/>
      <c r="F1616" s="137"/>
      <c r="G1616" s="102"/>
      <c r="H1616" s="137"/>
      <c r="I1616" s="137"/>
      <c r="J1616" s="137"/>
      <c r="K1616" s="170"/>
      <c r="L1616" s="170"/>
      <c r="M1616" s="170"/>
      <c r="N1616" s="137"/>
      <c r="O1616" s="137"/>
    </row>
    <row r="1617" spans="1:15" x14ac:dyDescent="0.35">
      <c r="A1617" s="137"/>
      <c r="B1617" s="137"/>
      <c r="C1617" s="137"/>
      <c r="D1617" s="137"/>
      <c r="E1617" s="137"/>
      <c r="F1617" s="137"/>
      <c r="G1617" s="102"/>
      <c r="H1617" s="137"/>
      <c r="I1617" s="137"/>
      <c r="J1617" s="137"/>
      <c r="K1617" s="170"/>
      <c r="L1617" s="170"/>
      <c r="M1617" s="170"/>
      <c r="N1617" s="137"/>
      <c r="O1617" s="137"/>
    </row>
    <row r="1618" spans="1:15" x14ac:dyDescent="0.35">
      <c r="A1618" s="137"/>
      <c r="B1618" s="137"/>
      <c r="C1618" s="137"/>
      <c r="D1618" s="137"/>
      <c r="E1618" s="137"/>
      <c r="F1618" s="137"/>
      <c r="G1618" s="102"/>
      <c r="H1618" s="137"/>
      <c r="I1618" s="137"/>
      <c r="J1618" s="137"/>
      <c r="K1618" s="170"/>
      <c r="L1618" s="170"/>
      <c r="M1618" s="170"/>
      <c r="N1618" s="137"/>
      <c r="O1618" s="137"/>
    </row>
    <row r="1619" spans="1:15" x14ac:dyDescent="0.35">
      <c r="A1619" s="137"/>
      <c r="B1619" s="137"/>
      <c r="C1619" s="137"/>
      <c r="D1619" s="137"/>
      <c r="E1619" s="137"/>
      <c r="F1619" s="137"/>
      <c r="G1619" s="102"/>
      <c r="H1619" s="137"/>
      <c r="I1619" s="137"/>
      <c r="J1619" s="137"/>
      <c r="K1619" s="170"/>
      <c r="L1619" s="170"/>
      <c r="M1619" s="170"/>
      <c r="N1619" s="137"/>
      <c r="O1619" s="137"/>
    </row>
    <row r="1620" spans="1:15" x14ac:dyDescent="0.35">
      <c r="A1620" s="137"/>
      <c r="B1620" s="137"/>
      <c r="C1620" s="137"/>
      <c r="D1620" s="137"/>
      <c r="E1620" s="137"/>
      <c r="F1620" s="137"/>
      <c r="G1620" s="102"/>
      <c r="H1620" s="137"/>
      <c r="I1620" s="137"/>
      <c r="J1620" s="137"/>
      <c r="K1620" s="170"/>
      <c r="L1620" s="170"/>
      <c r="M1620" s="170"/>
    </row>
    <row r="1621" spans="1:15" x14ac:dyDescent="0.35">
      <c r="A1621" s="137"/>
      <c r="B1621" s="137"/>
      <c r="C1621" s="137"/>
      <c r="D1621" s="137"/>
      <c r="E1621" s="137"/>
      <c r="F1621" s="137"/>
      <c r="G1621" s="102"/>
      <c r="H1621" s="137"/>
      <c r="I1621" s="137"/>
      <c r="J1621" s="137"/>
      <c r="K1621" s="170"/>
      <c r="L1621" s="170"/>
      <c r="M1621" s="170"/>
      <c r="N1621" s="137"/>
      <c r="O1621" s="137"/>
    </row>
    <row r="1622" spans="1:15" x14ac:dyDescent="0.35">
      <c r="A1622" s="137"/>
      <c r="B1622" s="137"/>
      <c r="C1622" s="137"/>
      <c r="D1622" s="137"/>
      <c r="E1622" s="137"/>
      <c r="F1622" s="137"/>
      <c r="G1622" s="102"/>
      <c r="H1622" s="137"/>
      <c r="I1622" s="137"/>
      <c r="J1622" s="137"/>
      <c r="K1622" s="170"/>
      <c r="L1622" s="170"/>
      <c r="M1622" s="170"/>
      <c r="N1622" s="137"/>
      <c r="O1622" s="137"/>
    </row>
    <row r="1623" spans="1:15" x14ac:dyDescent="0.35">
      <c r="A1623" s="137"/>
      <c r="B1623" s="137"/>
      <c r="C1623" s="137"/>
      <c r="D1623" s="137"/>
      <c r="E1623" s="137"/>
      <c r="F1623" s="137"/>
      <c r="G1623" s="102"/>
      <c r="H1623" s="137"/>
      <c r="I1623" s="137"/>
      <c r="J1623" s="137"/>
      <c r="K1623" s="170"/>
      <c r="L1623" s="170"/>
      <c r="M1623" s="170"/>
      <c r="N1623" s="137"/>
      <c r="O1623" s="137"/>
    </row>
    <row r="1624" spans="1:15" x14ac:dyDescent="0.35">
      <c r="A1624" s="137"/>
      <c r="B1624" s="137"/>
      <c r="C1624" s="137"/>
      <c r="D1624" s="137"/>
      <c r="E1624" s="137"/>
      <c r="F1624" s="137"/>
      <c r="G1624" s="102"/>
      <c r="H1624" s="137"/>
      <c r="I1624" s="137"/>
      <c r="J1624" s="137"/>
      <c r="K1624" s="170"/>
      <c r="L1624" s="170"/>
      <c r="M1624" s="170"/>
      <c r="N1624" s="137"/>
      <c r="O1624" s="137"/>
    </row>
    <row r="1625" spans="1:15" x14ac:dyDescent="0.35">
      <c r="A1625" s="137"/>
      <c r="B1625" s="137"/>
      <c r="C1625" s="137"/>
      <c r="D1625" s="137"/>
      <c r="E1625" s="137"/>
      <c r="F1625" s="137"/>
      <c r="G1625" s="102"/>
      <c r="H1625" s="137"/>
      <c r="I1625" s="137"/>
      <c r="J1625" s="137"/>
      <c r="K1625" s="170"/>
      <c r="L1625" s="170"/>
      <c r="M1625" s="170"/>
      <c r="N1625" s="137"/>
      <c r="O1625" s="137"/>
    </row>
    <row r="1626" spans="1:15" x14ac:dyDescent="0.35">
      <c r="A1626" s="137"/>
      <c r="B1626" s="137"/>
      <c r="C1626" s="137"/>
      <c r="D1626" s="137"/>
      <c r="E1626" s="137"/>
      <c r="F1626" s="137"/>
      <c r="G1626" s="102"/>
      <c r="H1626" s="137"/>
      <c r="I1626" s="137"/>
      <c r="J1626" s="137"/>
      <c r="K1626" s="170"/>
      <c r="L1626" s="170"/>
      <c r="M1626" s="170"/>
      <c r="N1626" s="137"/>
      <c r="O1626" s="137"/>
    </row>
    <row r="1627" spans="1:15" x14ac:dyDescent="0.35">
      <c r="A1627" s="137"/>
      <c r="B1627" s="137"/>
      <c r="C1627" s="137"/>
      <c r="D1627" s="137"/>
      <c r="E1627" s="137"/>
      <c r="F1627" s="137"/>
      <c r="G1627" s="102"/>
      <c r="H1627" s="137"/>
      <c r="I1627" s="137"/>
      <c r="J1627" s="137"/>
      <c r="K1627" s="170"/>
      <c r="L1627" s="170"/>
      <c r="M1627" s="170"/>
      <c r="N1627" s="137"/>
      <c r="O1627" s="137"/>
    </row>
    <row r="1628" spans="1:15" x14ac:dyDescent="0.35">
      <c r="A1628" s="137"/>
      <c r="B1628" s="137"/>
      <c r="C1628" s="137"/>
      <c r="D1628" s="137"/>
      <c r="E1628" s="137"/>
      <c r="F1628" s="137"/>
      <c r="G1628" s="102"/>
      <c r="H1628" s="137"/>
      <c r="I1628" s="137"/>
      <c r="J1628" s="137"/>
      <c r="K1628" s="170"/>
      <c r="L1628" s="170"/>
      <c r="M1628" s="170"/>
      <c r="N1628" s="137"/>
      <c r="O1628" s="137"/>
    </row>
    <row r="1629" spans="1:15" x14ac:dyDescent="0.35">
      <c r="A1629" s="137"/>
      <c r="B1629" s="137"/>
      <c r="C1629" s="137"/>
      <c r="D1629" s="137"/>
      <c r="E1629" s="137"/>
      <c r="F1629" s="137"/>
      <c r="G1629" s="102"/>
      <c r="H1629" s="137"/>
      <c r="I1629" s="137"/>
      <c r="J1629" s="137"/>
      <c r="K1629" s="170"/>
      <c r="L1629" s="170"/>
      <c r="M1629" s="170"/>
      <c r="N1629" s="137"/>
      <c r="O1629" s="137"/>
    </row>
    <row r="1630" spans="1:15" x14ac:dyDescent="0.35">
      <c r="A1630" s="137"/>
      <c r="B1630" s="137"/>
      <c r="C1630" s="137"/>
      <c r="D1630" s="137"/>
      <c r="E1630" s="137"/>
      <c r="F1630" s="137"/>
      <c r="G1630" s="102"/>
      <c r="H1630" s="137"/>
      <c r="I1630" s="137"/>
      <c r="J1630" s="137"/>
      <c r="K1630" s="170"/>
      <c r="L1630" s="170"/>
      <c r="M1630" s="170"/>
      <c r="N1630" s="137"/>
      <c r="O1630" s="137"/>
    </row>
    <row r="1631" spans="1:15" x14ac:dyDescent="0.35">
      <c r="A1631" s="137"/>
      <c r="B1631" s="137"/>
      <c r="C1631" s="137"/>
      <c r="D1631" s="137"/>
      <c r="E1631" s="137"/>
      <c r="F1631" s="137"/>
      <c r="G1631" s="102"/>
      <c r="H1631" s="137"/>
      <c r="I1631" s="137"/>
      <c r="J1631" s="137"/>
      <c r="K1631" s="170"/>
      <c r="L1631" s="170"/>
      <c r="M1631" s="170"/>
      <c r="N1631" s="31"/>
      <c r="O1631" s="31"/>
    </row>
    <row r="1632" spans="1:15" x14ac:dyDescent="0.35">
      <c r="A1632" s="137"/>
      <c r="B1632" s="137"/>
      <c r="C1632" s="137"/>
      <c r="D1632" s="137"/>
      <c r="E1632" s="137"/>
      <c r="F1632" s="137"/>
      <c r="G1632" s="102"/>
      <c r="H1632" s="137"/>
      <c r="I1632" s="137"/>
      <c r="J1632" s="137"/>
      <c r="K1632" s="170"/>
      <c r="L1632" s="170"/>
      <c r="M1632" s="170"/>
      <c r="N1632" s="137"/>
      <c r="O1632" s="137"/>
    </row>
    <row r="1633" spans="1:15" x14ac:dyDescent="0.35">
      <c r="A1633" s="137"/>
      <c r="B1633" s="137"/>
      <c r="C1633" s="137"/>
      <c r="D1633" s="137"/>
      <c r="E1633" s="137"/>
      <c r="F1633" s="137"/>
      <c r="G1633" s="102"/>
      <c r="H1633" s="137"/>
      <c r="I1633" s="137"/>
      <c r="J1633" s="137"/>
      <c r="K1633" s="170"/>
      <c r="L1633" s="170"/>
      <c r="M1633" s="170"/>
      <c r="N1633" s="137"/>
      <c r="O1633" s="137"/>
    </row>
    <row r="1634" spans="1:15" x14ac:dyDescent="0.35">
      <c r="A1634" s="137"/>
      <c r="B1634" s="137"/>
      <c r="C1634" s="137"/>
      <c r="D1634" s="137"/>
      <c r="E1634" s="137"/>
      <c r="F1634" s="137"/>
      <c r="G1634" s="102"/>
      <c r="H1634" s="137"/>
      <c r="I1634" s="137"/>
      <c r="J1634" s="137"/>
      <c r="K1634" s="170"/>
      <c r="L1634" s="170"/>
      <c r="M1634" s="170"/>
    </row>
    <row r="1635" spans="1:15" x14ac:dyDescent="0.35">
      <c r="A1635" s="137"/>
      <c r="B1635" s="137"/>
      <c r="C1635" s="137"/>
      <c r="D1635" s="137"/>
      <c r="E1635" s="137"/>
      <c r="F1635" s="137"/>
      <c r="G1635" s="102"/>
      <c r="H1635" s="137"/>
      <c r="I1635" s="137"/>
      <c r="J1635" s="137"/>
      <c r="K1635" s="170"/>
      <c r="L1635" s="170"/>
      <c r="M1635" s="170"/>
      <c r="N1635" s="137"/>
      <c r="O1635" s="137"/>
    </row>
    <row r="1636" spans="1:15" x14ac:dyDescent="0.35">
      <c r="A1636" s="137"/>
      <c r="B1636" s="137"/>
      <c r="C1636" s="137"/>
      <c r="D1636" s="137"/>
      <c r="E1636" s="137"/>
      <c r="F1636" s="137"/>
      <c r="G1636" s="102"/>
      <c r="H1636" s="137"/>
      <c r="I1636" s="137"/>
      <c r="J1636" s="137"/>
      <c r="K1636" s="170"/>
      <c r="L1636" s="170"/>
      <c r="M1636" s="170"/>
      <c r="N1636" s="137"/>
      <c r="O1636" s="137"/>
    </row>
    <row r="1637" spans="1:15" x14ac:dyDescent="0.35">
      <c r="A1637" s="137"/>
      <c r="B1637" s="137"/>
      <c r="C1637" s="137"/>
      <c r="D1637" s="137"/>
      <c r="E1637" s="137"/>
      <c r="F1637" s="137"/>
      <c r="G1637" s="102"/>
      <c r="H1637" s="137"/>
      <c r="I1637" s="137"/>
      <c r="J1637" s="137"/>
      <c r="K1637" s="170"/>
      <c r="L1637" s="170"/>
      <c r="M1637" s="170"/>
      <c r="N1637" s="137"/>
      <c r="O1637" s="137"/>
    </row>
    <row r="1638" spans="1:15" x14ac:dyDescent="0.35">
      <c r="A1638" s="137"/>
      <c r="B1638" s="137"/>
      <c r="C1638" s="137"/>
      <c r="D1638" s="137"/>
      <c r="E1638" s="137"/>
      <c r="F1638" s="137"/>
      <c r="G1638" s="102"/>
      <c r="H1638" s="137"/>
      <c r="I1638" s="137"/>
      <c r="J1638" s="137"/>
      <c r="K1638" s="170"/>
      <c r="L1638" s="170"/>
      <c r="M1638" s="170"/>
      <c r="N1638" s="137"/>
      <c r="O1638" s="137"/>
    </row>
    <row r="1639" spans="1:15" x14ac:dyDescent="0.35">
      <c r="A1639" s="137"/>
      <c r="B1639" s="137"/>
      <c r="C1639" s="137"/>
      <c r="D1639" s="137"/>
      <c r="E1639" s="137"/>
      <c r="F1639" s="137"/>
      <c r="G1639" s="102"/>
      <c r="H1639" s="137"/>
      <c r="I1639" s="137"/>
      <c r="J1639" s="137"/>
      <c r="K1639" s="170"/>
      <c r="L1639" s="170"/>
      <c r="M1639" s="170"/>
      <c r="N1639" s="137"/>
      <c r="O1639" s="137"/>
    </row>
    <row r="1640" spans="1:15" x14ac:dyDescent="0.35">
      <c r="A1640" s="137"/>
      <c r="B1640" s="137"/>
      <c r="C1640" s="137"/>
      <c r="D1640" s="137"/>
      <c r="E1640" s="137"/>
      <c r="F1640" s="137"/>
      <c r="G1640" s="102"/>
      <c r="H1640" s="137"/>
      <c r="I1640" s="137"/>
      <c r="J1640" s="137"/>
      <c r="K1640" s="170"/>
      <c r="L1640" s="170"/>
      <c r="M1640" s="170"/>
      <c r="N1640" s="137"/>
      <c r="O1640" s="137"/>
    </row>
    <row r="1641" spans="1:15" x14ac:dyDescent="0.35">
      <c r="A1641" s="137"/>
      <c r="B1641" s="137"/>
      <c r="C1641" s="137"/>
      <c r="D1641" s="137"/>
      <c r="E1641" s="137"/>
      <c r="F1641" s="137"/>
      <c r="G1641" s="102"/>
      <c r="H1641" s="137"/>
      <c r="I1641" s="137"/>
      <c r="J1641" s="137"/>
      <c r="K1641" s="170"/>
      <c r="L1641" s="170"/>
      <c r="M1641" s="170"/>
      <c r="N1641" s="137"/>
      <c r="O1641" s="137"/>
    </row>
    <row r="1642" spans="1:15" x14ac:dyDescent="0.35">
      <c r="A1642" s="137"/>
      <c r="B1642" s="137"/>
      <c r="C1642" s="137"/>
      <c r="D1642" s="137"/>
      <c r="E1642" s="137"/>
      <c r="F1642" s="137"/>
      <c r="G1642" s="102"/>
      <c r="H1642" s="137"/>
      <c r="I1642" s="137"/>
      <c r="J1642" s="137"/>
      <c r="K1642" s="170"/>
      <c r="L1642" s="170"/>
      <c r="M1642" s="170"/>
      <c r="N1642" s="137"/>
      <c r="O1642" s="137"/>
    </row>
    <row r="1643" spans="1:15" x14ac:dyDescent="0.35">
      <c r="A1643" s="137"/>
      <c r="B1643" s="137"/>
      <c r="C1643" s="137"/>
      <c r="D1643" s="137"/>
      <c r="E1643" s="137"/>
      <c r="F1643" s="137"/>
      <c r="G1643" s="102"/>
      <c r="H1643" s="137"/>
      <c r="I1643" s="137"/>
      <c r="J1643" s="137"/>
      <c r="K1643" s="170"/>
      <c r="L1643" s="170"/>
      <c r="M1643" s="170"/>
      <c r="N1643" s="137"/>
      <c r="O1643" s="137"/>
    </row>
    <row r="1644" spans="1:15" x14ac:dyDescent="0.35">
      <c r="A1644" s="137"/>
      <c r="B1644" s="137"/>
      <c r="C1644" s="137"/>
      <c r="D1644" s="137"/>
      <c r="E1644" s="137"/>
      <c r="F1644" s="137"/>
      <c r="G1644" s="102"/>
      <c r="H1644" s="137"/>
      <c r="I1644" s="137"/>
      <c r="J1644" s="137"/>
      <c r="K1644" s="170"/>
      <c r="L1644" s="170"/>
      <c r="M1644" s="170"/>
      <c r="N1644" s="137"/>
      <c r="O1644" s="137"/>
    </row>
    <row r="1645" spans="1:15" x14ac:dyDescent="0.35">
      <c r="A1645" s="137"/>
      <c r="B1645" s="137"/>
      <c r="C1645" s="137"/>
      <c r="D1645" s="137"/>
      <c r="E1645" s="137"/>
      <c r="F1645" s="137"/>
      <c r="G1645" s="102"/>
      <c r="H1645" s="137"/>
      <c r="I1645" s="137"/>
      <c r="J1645" s="137"/>
      <c r="K1645" s="170"/>
      <c r="L1645" s="170"/>
      <c r="M1645" s="170"/>
      <c r="N1645" s="137"/>
      <c r="O1645" s="137"/>
    </row>
    <row r="1646" spans="1:15" x14ac:dyDescent="0.35">
      <c r="A1646" s="137"/>
      <c r="B1646" s="137"/>
      <c r="C1646" s="137"/>
      <c r="D1646" s="137"/>
      <c r="E1646" s="137"/>
      <c r="F1646" s="137"/>
      <c r="G1646" s="102"/>
      <c r="H1646" s="137"/>
      <c r="I1646" s="137"/>
      <c r="J1646" s="137"/>
      <c r="K1646" s="170"/>
      <c r="L1646" s="170"/>
      <c r="M1646" s="170"/>
      <c r="N1646" s="137"/>
      <c r="O1646" s="137"/>
    </row>
    <row r="1647" spans="1:15" x14ac:dyDescent="0.35">
      <c r="A1647" s="137"/>
      <c r="B1647" s="137"/>
      <c r="C1647" s="137"/>
      <c r="D1647" s="137"/>
      <c r="E1647" s="137"/>
      <c r="F1647" s="137"/>
      <c r="G1647" s="102"/>
      <c r="H1647" s="137"/>
      <c r="I1647" s="137"/>
      <c r="J1647" s="137"/>
      <c r="K1647" s="170"/>
      <c r="L1647" s="170"/>
      <c r="M1647" s="170"/>
      <c r="N1647" s="137"/>
      <c r="O1647" s="137"/>
    </row>
    <row r="1648" spans="1:15" x14ac:dyDescent="0.35">
      <c r="A1648" s="137"/>
      <c r="B1648" s="137"/>
      <c r="C1648" s="137"/>
      <c r="D1648" s="137"/>
      <c r="E1648" s="137"/>
      <c r="F1648" s="137"/>
      <c r="G1648" s="102"/>
      <c r="H1648" s="137"/>
      <c r="I1648" s="137"/>
      <c r="J1648" s="137"/>
      <c r="K1648" s="170"/>
      <c r="L1648" s="170"/>
      <c r="M1648" s="170"/>
      <c r="N1648" s="137"/>
      <c r="O1648" s="137"/>
    </row>
    <row r="1649" spans="1:15" x14ac:dyDescent="0.35">
      <c r="A1649" s="137"/>
      <c r="B1649" s="137"/>
      <c r="C1649" s="137"/>
      <c r="D1649" s="137"/>
      <c r="E1649" s="137"/>
      <c r="F1649" s="137"/>
      <c r="G1649" s="102"/>
      <c r="H1649" s="137"/>
      <c r="I1649" s="137"/>
      <c r="J1649" s="137"/>
      <c r="K1649" s="170"/>
      <c r="L1649" s="170"/>
      <c r="M1649" s="170"/>
      <c r="N1649" s="137"/>
      <c r="O1649" s="137"/>
    </row>
    <row r="1650" spans="1:15" x14ac:dyDescent="0.35">
      <c r="A1650" s="137"/>
      <c r="B1650" s="137"/>
      <c r="C1650" s="137"/>
      <c r="D1650" s="137"/>
      <c r="E1650" s="137"/>
      <c r="F1650" s="137"/>
      <c r="G1650" s="102"/>
      <c r="H1650" s="137"/>
      <c r="I1650" s="137"/>
      <c r="J1650" s="137"/>
      <c r="K1650" s="170"/>
      <c r="L1650" s="170"/>
      <c r="M1650" s="170"/>
      <c r="N1650" s="137"/>
      <c r="O1650" s="137"/>
    </row>
    <row r="1651" spans="1:15" x14ac:dyDescent="0.35">
      <c r="A1651" s="137"/>
      <c r="B1651" s="137"/>
      <c r="C1651" s="137"/>
      <c r="D1651" s="137"/>
      <c r="E1651" s="137"/>
      <c r="F1651" s="137"/>
      <c r="G1651" s="102"/>
      <c r="H1651" s="137"/>
      <c r="I1651" s="137"/>
      <c r="J1651" s="137"/>
      <c r="K1651" s="170"/>
      <c r="L1651" s="170"/>
      <c r="M1651" s="170"/>
      <c r="N1651" s="137"/>
      <c r="O1651" s="137"/>
    </row>
    <row r="1652" spans="1:15" x14ac:dyDescent="0.35">
      <c r="A1652" s="137"/>
      <c r="B1652" s="137"/>
      <c r="C1652" s="137"/>
      <c r="D1652" s="137"/>
      <c r="E1652" s="137"/>
      <c r="F1652" s="137"/>
      <c r="G1652" s="102"/>
      <c r="H1652" s="137"/>
      <c r="I1652" s="137"/>
      <c r="J1652" s="137"/>
      <c r="K1652" s="170"/>
      <c r="L1652" s="170"/>
      <c r="M1652" s="170"/>
      <c r="N1652" s="137"/>
      <c r="O1652" s="137"/>
    </row>
    <row r="1653" spans="1:15" x14ac:dyDescent="0.35">
      <c r="A1653" s="137"/>
      <c r="B1653" s="137"/>
      <c r="C1653" s="137"/>
      <c r="D1653" s="137"/>
      <c r="E1653" s="137"/>
      <c r="F1653" s="137"/>
      <c r="G1653" s="102"/>
      <c r="H1653" s="137"/>
      <c r="I1653" s="137"/>
      <c r="J1653" s="137"/>
      <c r="K1653" s="170"/>
      <c r="L1653" s="170"/>
      <c r="M1653" s="170"/>
      <c r="N1653" s="137"/>
      <c r="O1653" s="137"/>
    </row>
    <row r="1654" spans="1:15" x14ac:dyDescent="0.35">
      <c r="A1654" s="137"/>
      <c r="B1654" s="137"/>
      <c r="C1654" s="137"/>
      <c r="D1654" s="137"/>
      <c r="E1654" s="137"/>
      <c r="F1654" s="137"/>
      <c r="G1654" s="102"/>
      <c r="H1654" s="137"/>
      <c r="I1654" s="137"/>
      <c r="J1654" s="137"/>
      <c r="K1654" s="170"/>
      <c r="L1654" s="170"/>
      <c r="M1654" s="170"/>
      <c r="N1654" s="137"/>
      <c r="O1654" s="137"/>
    </row>
    <row r="1655" spans="1:15" x14ac:dyDescent="0.35">
      <c r="A1655" s="137"/>
      <c r="B1655" s="137"/>
      <c r="C1655" s="137"/>
      <c r="D1655" s="137"/>
      <c r="E1655" s="137"/>
      <c r="F1655" s="137"/>
      <c r="G1655" s="102"/>
      <c r="H1655" s="137"/>
      <c r="I1655" s="137"/>
      <c r="J1655" s="137"/>
      <c r="K1655" s="170"/>
      <c r="L1655" s="170"/>
      <c r="M1655" s="170"/>
      <c r="N1655" s="137"/>
      <c r="O1655" s="137"/>
    </row>
    <row r="1656" spans="1:15" x14ac:dyDescent="0.35">
      <c r="A1656" s="137"/>
      <c r="B1656" s="137"/>
      <c r="C1656" s="137"/>
      <c r="D1656" s="137"/>
      <c r="E1656" s="137"/>
      <c r="F1656" s="137"/>
      <c r="G1656" s="102"/>
      <c r="H1656" s="137"/>
      <c r="I1656" s="137"/>
      <c r="J1656" s="137"/>
      <c r="K1656" s="170"/>
      <c r="L1656" s="170"/>
      <c r="M1656" s="170"/>
      <c r="N1656" s="137"/>
      <c r="O1656" s="137"/>
    </row>
    <row r="1657" spans="1:15" x14ac:dyDescent="0.35">
      <c r="A1657" s="137"/>
      <c r="B1657" s="137"/>
      <c r="C1657" s="137"/>
      <c r="D1657" s="137"/>
      <c r="E1657" s="137"/>
      <c r="F1657" s="137"/>
      <c r="G1657" s="102"/>
      <c r="H1657" s="137"/>
      <c r="I1657" s="137"/>
      <c r="J1657" s="137"/>
      <c r="K1657" s="170"/>
      <c r="L1657" s="170"/>
      <c r="M1657" s="170"/>
      <c r="N1657" s="137"/>
      <c r="O1657" s="137"/>
    </row>
    <row r="1658" spans="1:15" x14ac:dyDescent="0.35">
      <c r="A1658" s="137"/>
      <c r="B1658" s="137"/>
      <c r="C1658" s="137"/>
      <c r="D1658" s="137"/>
      <c r="E1658" s="137"/>
      <c r="F1658" s="137"/>
      <c r="G1658" s="102"/>
      <c r="H1658" s="137"/>
      <c r="I1658" s="137"/>
      <c r="J1658" s="137"/>
      <c r="K1658" s="170"/>
      <c r="L1658" s="170"/>
      <c r="M1658" s="170"/>
      <c r="N1658" s="137"/>
      <c r="O1658" s="137"/>
    </row>
    <row r="1659" spans="1:15" x14ac:dyDescent="0.35">
      <c r="A1659" s="137"/>
      <c r="B1659" s="137"/>
      <c r="C1659" s="137"/>
      <c r="D1659" s="137"/>
      <c r="E1659" s="137"/>
      <c r="F1659" s="137"/>
      <c r="G1659" s="102"/>
      <c r="H1659" s="137"/>
      <c r="I1659" s="137"/>
      <c r="J1659" s="137"/>
      <c r="K1659" s="170"/>
      <c r="L1659" s="170"/>
      <c r="M1659" s="170"/>
      <c r="N1659" s="137"/>
      <c r="O1659" s="137"/>
    </row>
    <row r="1660" spans="1:15" x14ac:dyDescent="0.35">
      <c r="A1660" s="137"/>
      <c r="B1660" s="137"/>
      <c r="C1660" s="137"/>
      <c r="D1660" s="137"/>
      <c r="E1660" s="137"/>
      <c r="F1660" s="137"/>
      <c r="G1660" s="102"/>
      <c r="H1660" s="137"/>
      <c r="I1660" s="137"/>
      <c r="J1660" s="137"/>
      <c r="K1660" s="170"/>
      <c r="L1660" s="170"/>
      <c r="M1660" s="170"/>
      <c r="N1660" s="137"/>
      <c r="O1660" s="137"/>
    </row>
    <row r="1661" spans="1:15" x14ac:dyDescent="0.35">
      <c r="A1661" s="137"/>
      <c r="B1661" s="137"/>
      <c r="C1661" s="137"/>
      <c r="D1661" s="137"/>
      <c r="E1661" s="137"/>
      <c r="F1661" s="137"/>
      <c r="G1661" s="102"/>
      <c r="H1661" s="137"/>
      <c r="I1661" s="137"/>
      <c r="J1661" s="137"/>
      <c r="K1661" s="170"/>
      <c r="L1661" s="170"/>
      <c r="M1661" s="170"/>
      <c r="N1661" s="137"/>
      <c r="O1661" s="137"/>
    </row>
    <row r="1662" spans="1:15" x14ac:dyDescent="0.35">
      <c r="A1662" s="137"/>
      <c r="B1662" s="137"/>
      <c r="C1662" s="137"/>
      <c r="D1662" s="137"/>
      <c r="E1662" s="137"/>
      <c r="F1662" s="137"/>
      <c r="G1662" s="102"/>
      <c r="H1662" s="137"/>
      <c r="I1662" s="137"/>
      <c r="J1662" s="137"/>
      <c r="K1662" s="170"/>
      <c r="L1662" s="170"/>
      <c r="M1662" s="170"/>
      <c r="N1662" s="137"/>
      <c r="O1662" s="137"/>
    </row>
    <row r="1663" spans="1:15" x14ac:dyDescent="0.35">
      <c r="A1663" s="137"/>
      <c r="B1663" s="137"/>
      <c r="C1663" s="137"/>
      <c r="D1663" s="137"/>
      <c r="E1663" s="137"/>
      <c r="F1663" s="137"/>
      <c r="G1663" s="102"/>
      <c r="H1663" s="137"/>
      <c r="I1663" s="137"/>
      <c r="J1663" s="137"/>
      <c r="K1663" s="170"/>
      <c r="L1663" s="170"/>
      <c r="M1663" s="170"/>
      <c r="N1663" s="137"/>
      <c r="O1663" s="137"/>
    </row>
    <row r="1664" spans="1:15" x14ac:dyDescent="0.35">
      <c r="A1664" s="137"/>
      <c r="B1664" s="137"/>
      <c r="C1664" s="137"/>
      <c r="D1664" s="137"/>
      <c r="E1664" s="137"/>
      <c r="F1664" s="137"/>
      <c r="G1664" s="102"/>
      <c r="H1664" s="137"/>
      <c r="I1664" s="137"/>
      <c r="J1664" s="137"/>
      <c r="K1664" s="170"/>
      <c r="L1664" s="170"/>
      <c r="M1664" s="170"/>
      <c r="N1664" s="137"/>
      <c r="O1664" s="137"/>
    </row>
    <row r="1665" spans="1:15" x14ac:dyDescent="0.35">
      <c r="A1665" s="137"/>
      <c r="B1665" s="137"/>
      <c r="C1665" s="137"/>
      <c r="D1665" s="137"/>
      <c r="E1665" s="137"/>
      <c r="F1665" s="137"/>
      <c r="G1665" s="102"/>
      <c r="H1665" s="137"/>
      <c r="I1665" s="137"/>
      <c r="J1665" s="137"/>
      <c r="K1665" s="170"/>
      <c r="L1665" s="170"/>
      <c r="M1665" s="170"/>
      <c r="N1665" s="137"/>
      <c r="O1665" s="137"/>
    </row>
    <row r="1666" spans="1:15" x14ac:dyDescent="0.35">
      <c r="A1666" s="137"/>
      <c r="B1666" s="137"/>
      <c r="C1666" s="137"/>
      <c r="D1666" s="137"/>
      <c r="E1666" s="137"/>
      <c r="F1666" s="137"/>
      <c r="G1666" s="102"/>
      <c r="H1666" s="137"/>
      <c r="I1666" s="137"/>
      <c r="J1666" s="137"/>
      <c r="K1666" s="170"/>
      <c r="L1666" s="170"/>
      <c r="M1666" s="170"/>
      <c r="N1666" s="137"/>
      <c r="O1666" s="137"/>
    </row>
    <row r="1667" spans="1:15" x14ac:dyDescent="0.35">
      <c r="A1667" s="137"/>
      <c r="B1667" s="137"/>
      <c r="C1667" s="137"/>
      <c r="D1667" s="137"/>
      <c r="E1667" s="137"/>
      <c r="F1667" s="137"/>
      <c r="G1667" s="102"/>
      <c r="H1667" s="137"/>
      <c r="I1667" s="137"/>
      <c r="J1667" s="137"/>
      <c r="K1667" s="170"/>
      <c r="L1667" s="170"/>
      <c r="M1667" s="170"/>
      <c r="N1667" s="137"/>
      <c r="O1667" s="137"/>
    </row>
    <row r="1668" spans="1:15" x14ac:dyDescent="0.35">
      <c r="A1668" s="137"/>
      <c r="B1668" s="137"/>
      <c r="C1668" s="137"/>
      <c r="D1668" s="137"/>
      <c r="E1668" s="137"/>
      <c r="F1668" s="137"/>
      <c r="G1668" s="102"/>
      <c r="H1668" s="137"/>
      <c r="I1668" s="137"/>
      <c r="J1668" s="137"/>
      <c r="K1668" s="170"/>
      <c r="L1668" s="170"/>
      <c r="M1668" s="170"/>
      <c r="N1668" s="137"/>
      <c r="O1668" s="137"/>
    </row>
    <row r="1669" spans="1:15" x14ac:dyDescent="0.35">
      <c r="A1669" s="137"/>
      <c r="B1669" s="137"/>
      <c r="C1669" s="137"/>
      <c r="D1669" s="137"/>
      <c r="E1669" s="137"/>
      <c r="F1669" s="137"/>
      <c r="G1669" s="102"/>
      <c r="H1669" s="137"/>
      <c r="I1669" s="137"/>
      <c r="J1669" s="137"/>
      <c r="K1669" s="170"/>
      <c r="L1669" s="170"/>
      <c r="M1669" s="170"/>
      <c r="N1669" s="137"/>
      <c r="O1669" s="137"/>
    </row>
    <row r="1670" spans="1:15" x14ac:dyDescent="0.35">
      <c r="A1670" s="137"/>
      <c r="B1670" s="137"/>
      <c r="C1670" s="137"/>
      <c r="D1670" s="137"/>
      <c r="E1670" s="137"/>
      <c r="F1670" s="137"/>
      <c r="G1670" s="102"/>
      <c r="H1670" s="137"/>
      <c r="I1670" s="137"/>
      <c r="J1670" s="137"/>
      <c r="K1670" s="170"/>
      <c r="L1670" s="170"/>
      <c r="M1670" s="170"/>
      <c r="N1670" s="31"/>
      <c r="O1670" s="31"/>
    </row>
    <row r="1671" spans="1:15" x14ac:dyDescent="0.35">
      <c r="A1671" s="137"/>
      <c r="B1671" s="137"/>
      <c r="C1671" s="137"/>
      <c r="D1671" s="137"/>
      <c r="E1671" s="137"/>
      <c r="F1671" s="137"/>
      <c r="G1671" s="102"/>
      <c r="H1671" s="137"/>
      <c r="I1671" s="137"/>
      <c r="J1671" s="137"/>
      <c r="K1671" s="170"/>
      <c r="L1671" s="170"/>
      <c r="M1671" s="170"/>
      <c r="N1671" s="137"/>
      <c r="O1671" s="137"/>
    </row>
    <row r="1672" spans="1:15" x14ac:dyDescent="0.35">
      <c r="A1672" s="137"/>
      <c r="B1672" s="137"/>
      <c r="C1672" s="137"/>
      <c r="D1672" s="137"/>
      <c r="E1672" s="137"/>
      <c r="F1672" s="137"/>
      <c r="G1672" s="102"/>
      <c r="H1672" s="137"/>
      <c r="I1672" s="137"/>
      <c r="J1672" s="137"/>
      <c r="K1672" s="170"/>
      <c r="L1672" s="170"/>
      <c r="M1672" s="170"/>
      <c r="N1672" s="137"/>
      <c r="O1672" s="137"/>
    </row>
    <row r="1673" spans="1:15" x14ac:dyDescent="0.35">
      <c r="A1673" s="137"/>
      <c r="B1673" s="137"/>
      <c r="C1673" s="137"/>
      <c r="D1673" s="137"/>
      <c r="E1673" s="137"/>
      <c r="F1673" s="137"/>
      <c r="G1673" s="102"/>
      <c r="H1673" s="137"/>
      <c r="I1673" s="137"/>
      <c r="J1673" s="137"/>
      <c r="K1673" s="170"/>
      <c r="L1673" s="170"/>
      <c r="M1673" s="170"/>
      <c r="N1673" s="137"/>
      <c r="O1673" s="137"/>
    </row>
    <row r="1674" spans="1:15" x14ac:dyDescent="0.35">
      <c r="A1674" s="137"/>
      <c r="B1674" s="137"/>
      <c r="C1674" s="137"/>
      <c r="D1674" s="137"/>
      <c r="E1674" s="137"/>
      <c r="F1674" s="137"/>
      <c r="G1674" s="102"/>
      <c r="H1674" s="137"/>
      <c r="I1674" s="137"/>
      <c r="J1674" s="137"/>
      <c r="K1674" s="170"/>
      <c r="L1674" s="170"/>
      <c r="M1674" s="170"/>
      <c r="N1674" s="137"/>
      <c r="O1674" s="137"/>
    </row>
    <row r="1675" spans="1:15" x14ac:dyDescent="0.35">
      <c r="A1675" s="137"/>
      <c r="B1675" s="137"/>
      <c r="C1675" s="137"/>
      <c r="D1675" s="137"/>
      <c r="E1675" s="137"/>
      <c r="F1675" s="137"/>
      <c r="G1675" s="102"/>
      <c r="H1675" s="137"/>
      <c r="I1675" s="137"/>
      <c r="J1675" s="137"/>
      <c r="K1675" s="170"/>
      <c r="L1675" s="170"/>
      <c r="M1675" s="170"/>
    </row>
    <row r="1676" spans="1:15" x14ac:dyDescent="0.35">
      <c r="A1676" s="137"/>
      <c r="B1676" s="137"/>
      <c r="C1676" s="137"/>
      <c r="D1676" s="137"/>
      <c r="E1676" s="137"/>
      <c r="F1676" s="137"/>
      <c r="G1676" s="102"/>
      <c r="H1676" s="137"/>
      <c r="I1676" s="137"/>
      <c r="J1676" s="137"/>
      <c r="K1676" s="170"/>
      <c r="L1676" s="170"/>
      <c r="M1676" s="170"/>
      <c r="N1676" s="137"/>
      <c r="O1676" s="137"/>
    </row>
    <row r="1677" spans="1:15" x14ac:dyDescent="0.35">
      <c r="A1677" s="137"/>
      <c r="B1677" s="137"/>
      <c r="C1677" s="137"/>
      <c r="D1677" s="137"/>
      <c r="E1677" s="137"/>
      <c r="F1677" s="137"/>
      <c r="G1677" s="102"/>
      <c r="H1677" s="137"/>
      <c r="I1677" s="137"/>
      <c r="J1677" s="137"/>
      <c r="K1677" s="170"/>
      <c r="L1677" s="170"/>
      <c r="M1677" s="170"/>
    </row>
    <row r="1678" spans="1:15" x14ac:dyDescent="0.35">
      <c r="A1678" s="137"/>
      <c r="B1678" s="137"/>
      <c r="C1678" s="137"/>
      <c r="D1678" s="137"/>
      <c r="E1678" s="137"/>
      <c r="F1678" s="137"/>
      <c r="G1678" s="102"/>
      <c r="H1678" s="137"/>
      <c r="I1678" s="137"/>
      <c r="J1678" s="137"/>
      <c r="K1678" s="170"/>
      <c r="L1678" s="170"/>
      <c r="M1678" s="170"/>
    </row>
    <row r="1679" spans="1:15" x14ac:dyDescent="0.35">
      <c r="A1679" s="137"/>
      <c r="B1679" s="137"/>
      <c r="C1679" s="137"/>
      <c r="D1679" s="137"/>
      <c r="E1679" s="137"/>
      <c r="F1679" s="137"/>
      <c r="G1679" s="102"/>
      <c r="H1679" s="137"/>
      <c r="I1679" s="137"/>
      <c r="J1679" s="137"/>
      <c r="K1679" s="170"/>
      <c r="L1679" s="170"/>
      <c r="M1679" s="170"/>
      <c r="N1679" s="137"/>
      <c r="O1679" s="137"/>
    </row>
    <row r="1680" spans="1:15" x14ac:dyDescent="0.35">
      <c r="A1680" s="137"/>
      <c r="B1680" s="137"/>
      <c r="C1680" s="137"/>
      <c r="D1680" s="137"/>
      <c r="E1680" s="137"/>
      <c r="F1680" s="137"/>
      <c r="G1680" s="102"/>
      <c r="H1680" s="137"/>
      <c r="I1680" s="137"/>
      <c r="J1680" s="137"/>
      <c r="K1680" s="170"/>
      <c r="L1680" s="170"/>
      <c r="M1680" s="170"/>
    </row>
    <row r="1681" spans="1:15" x14ac:dyDescent="0.35">
      <c r="A1681" s="137"/>
      <c r="B1681" s="137"/>
      <c r="C1681" s="137"/>
      <c r="D1681" s="137"/>
      <c r="E1681" s="137"/>
      <c r="F1681" s="137"/>
      <c r="G1681" s="102"/>
      <c r="H1681" s="137"/>
      <c r="I1681" s="137"/>
      <c r="J1681" s="137"/>
      <c r="K1681" s="170"/>
      <c r="L1681" s="170"/>
      <c r="M1681" s="170"/>
      <c r="N1681" s="137"/>
      <c r="O1681" s="137"/>
    </row>
    <row r="1682" spans="1:15" x14ac:dyDescent="0.35">
      <c r="A1682" s="137"/>
      <c r="B1682" s="137"/>
      <c r="C1682" s="137"/>
      <c r="D1682" s="137"/>
      <c r="E1682" s="137"/>
      <c r="F1682" s="137"/>
      <c r="G1682" s="102"/>
      <c r="H1682" s="137"/>
      <c r="I1682" s="137"/>
      <c r="J1682" s="137"/>
      <c r="K1682" s="170"/>
      <c r="L1682" s="170"/>
      <c r="M1682" s="170"/>
      <c r="N1682" s="137"/>
      <c r="O1682" s="137"/>
    </row>
    <row r="1683" spans="1:15" x14ac:dyDescent="0.35">
      <c r="A1683" s="137"/>
      <c r="B1683" s="137"/>
      <c r="C1683" s="137"/>
      <c r="D1683" s="137"/>
      <c r="E1683" s="137"/>
      <c r="F1683" s="137"/>
      <c r="G1683" s="102"/>
      <c r="H1683" s="137"/>
      <c r="I1683" s="137"/>
      <c r="J1683" s="137"/>
      <c r="K1683" s="170"/>
      <c r="L1683" s="170"/>
      <c r="M1683" s="170"/>
      <c r="N1683" s="137"/>
      <c r="O1683" s="137"/>
    </row>
    <row r="1684" spans="1:15" x14ac:dyDescent="0.35">
      <c r="A1684" s="137"/>
      <c r="B1684" s="137"/>
      <c r="C1684" s="137"/>
      <c r="D1684" s="137"/>
      <c r="E1684" s="137"/>
      <c r="F1684" s="137"/>
      <c r="G1684" s="102"/>
      <c r="H1684" s="137"/>
      <c r="I1684" s="137"/>
      <c r="J1684" s="137"/>
      <c r="K1684" s="170"/>
      <c r="L1684" s="170"/>
      <c r="M1684" s="170"/>
      <c r="N1684" s="31"/>
      <c r="O1684" s="31"/>
    </row>
    <row r="1685" spans="1:15" x14ac:dyDescent="0.35">
      <c r="A1685" s="137"/>
      <c r="B1685" s="137"/>
      <c r="C1685" s="137"/>
      <c r="D1685" s="137"/>
      <c r="E1685" s="137"/>
      <c r="F1685" s="137"/>
      <c r="G1685" s="102"/>
      <c r="H1685" s="137"/>
      <c r="I1685" s="137"/>
      <c r="J1685" s="137"/>
      <c r="K1685" s="170"/>
      <c r="L1685" s="170"/>
      <c r="M1685" s="170"/>
      <c r="N1685" s="137"/>
      <c r="O1685" s="137"/>
    </row>
    <row r="1686" spans="1:15" x14ac:dyDescent="0.35">
      <c r="A1686" s="137"/>
      <c r="B1686" s="137"/>
      <c r="C1686" s="137"/>
      <c r="D1686" s="137"/>
      <c r="E1686" s="137"/>
      <c r="F1686" s="137"/>
      <c r="G1686" s="102"/>
      <c r="H1686" s="137"/>
      <c r="I1686" s="137"/>
      <c r="J1686" s="137"/>
      <c r="K1686" s="170"/>
      <c r="L1686" s="170"/>
      <c r="M1686" s="170"/>
      <c r="N1686" s="137"/>
      <c r="O1686" s="137"/>
    </row>
    <row r="1687" spans="1:15" x14ac:dyDescent="0.35">
      <c r="A1687" s="137"/>
      <c r="B1687" s="137"/>
      <c r="C1687" s="137"/>
      <c r="D1687" s="137"/>
      <c r="E1687" s="137"/>
      <c r="F1687" s="137"/>
      <c r="G1687" s="102"/>
      <c r="H1687" s="137"/>
      <c r="I1687" s="137"/>
      <c r="J1687" s="137"/>
      <c r="K1687" s="170"/>
      <c r="L1687" s="170"/>
      <c r="M1687" s="170"/>
      <c r="N1687" s="137"/>
      <c r="O1687" s="137"/>
    </row>
    <row r="1688" spans="1:15" x14ac:dyDescent="0.35">
      <c r="A1688" s="137"/>
      <c r="B1688" s="137"/>
      <c r="C1688" s="137"/>
      <c r="D1688" s="137"/>
      <c r="E1688" s="137"/>
      <c r="F1688" s="137"/>
      <c r="G1688" s="102"/>
      <c r="H1688" s="137"/>
      <c r="I1688" s="137"/>
      <c r="J1688" s="137"/>
      <c r="K1688" s="170"/>
      <c r="L1688" s="170"/>
      <c r="M1688" s="170"/>
      <c r="N1688" s="137"/>
      <c r="O1688" s="137"/>
    </row>
    <row r="1689" spans="1:15" x14ac:dyDescent="0.35">
      <c r="A1689" s="137"/>
      <c r="B1689" s="137"/>
      <c r="C1689" s="137"/>
      <c r="D1689" s="137"/>
      <c r="E1689" s="137"/>
      <c r="F1689" s="137"/>
      <c r="G1689" s="102"/>
      <c r="H1689" s="137"/>
      <c r="I1689" s="137"/>
      <c r="J1689" s="137"/>
      <c r="K1689" s="170"/>
      <c r="L1689" s="170"/>
      <c r="M1689" s="170"/>
      <c r="N1689" s="137"/>
      <c r="O1689" s="137"/>
    </row>
    <row r="1690" spans="1:15" x14ac:dyDescent="0.35">
      <c r="A1690" s="137"/>
      <c r="B1690" s="137"/>
      <c r="C1690" s="137"/>
      <c r="D1690" s="137"/>
      <c r="E1690" s="137"/>
      <c r="F1690" s="137"/>
      <c r="G1690" s="102"/>
      <c r="H1690" s="137"/>
      <c r="I1690" s="137"/>
      <c r="J1690" s="137"/>
      <c r="K1690" s="170"/>
      <c r="L1690" s="170"/>
      <c r="M1690" s="170"/>
      <c r="N1690" s="137"/>
      <c r="O1690" s="137"/>
    </row>
    <row r="1691" spans="1:15" x14ac:dyDescent="0.35">
      <c r="A1691" s="137"/>
      <c r="B1691" s="137"/>
      <c r="C1691" s="137"/>
      <c r="D1691" s="137"/>
      <c r="E1691" s="137"/>
      <c r="F1691" s="137"/>
      <c r="G1691" s="102"/>
      <c r="H1691" s="137"/>
      <c r="I1691" s="137"/>
      <c r="J1691" s="137"/>
      <c r="K1691" s="170"/>
      <c r="L1691" s="170"/>
      <c r="M1691" s="170"/>
      <c r="N1691" s="137"/>
      <c r="O1691" s="137"/>
    </row>
    <row r="1692" spans="1:15" x14ac:dyDescent="0.35">
      <c r="A1692" s="137"/>
      <c r="B1692" s="137"/>
      <c r="C1692" s="137"/>
      <c r="D1692" s="137"/>
      <c r="E1692" s="137"/>
      <c r="F1692" s="137"/>
      <c r="G1692" s="102"/>
      <c r="H1692" s="137"/>
      <c r="I1692" s="137"/>
      <c r="J1692" s="137"/>
      <c r="K1692" s="170"/>
      <c r="L1692" s="170"/>
      <c r="M1692" s="170"/>
      <c r="N1692" s="137"/>
      <c r="O1692" s="137"/>
    </row>
    <row r="1693" spans="1:15" x14ac:dyDescent="0.35">
      <c r="A1693" s="137"/>
      <c r="B1693" s="137"/>
      <c r="C1693" s="137"/>
      <c r="D1693" s="137"/>
      <c r="E1693" s="137"/>
      <c r="F1693" s="137"/>
      <c r="G1693" s="102"/>
      <c r="H1693" s="137"/>
      <c r="I1693" s="137"/>
      <c r="J1693" s="137"/>
      <c r="K1693" s="170"/>
      <c r="L1693" s="170"/>
      <c r="M1693" s="170"/>
      <c r="N1693" s="137"/>
      <c r="O1693" s="137"/>
    </row>
    <row r="1694" spans="1:15" x14ac:dyDescent="0.35">
      <c r="A1694" s="137"/>
      <c r="B1694" s="137"/>
      <c r="C1694" s="137"/>
      <c r="D1694" s="137"/>
      <c r="E1694" s="137"/>
      <c r="F1694" s="137"/>
      <c r="G1694" s="102"/>
      <c r="H1694" s="137"/>
      <c r="I1694" s="137"/>
      <c r="J1694" s="137"/>
      <c r="K1694" s="170"/>
      <c r="L1694" s="170"/>
      <c r="M1694" s="170"/>
      <c r="N1694" s="137"/>
      <c r="O1694" s="137"/>
    </row>
    <row r="1695" spans="1:15" x14ac:dyDescent="0.35">
      <c r="A1695" s="137"/>
      <c r="B1695" s="137"/>
      <c r="C1695" s="137"/>
      <c r="D1695" s="137"/>
      <c r="E1695" s="137"/>
      <c r="F1695" s="137"/>
      <c r="G1695" s="102"/>
      <c r="H1695" s="137"/>
      <c r="I1695" s="137"/>
      <c r="J1695" s="137"/>
      <c r="K1695" s="170"/>
      <c r="L1695" s="170"/>
      <c r="M1695" s="170"/>
      <c r="N1695" s="137"/>
      <c r="O1695" s="137"/>
    </row>
    <row r="1696" spans="1:15" x14ac:dyDescent="0.35">
      <c r="A1696" s="137"/>
      <c r="B1696" s="137"/>
      <c r="C1696" s="137"/>
      <c r="D1696" s="137"/>
      <c r="E1696" s="137"/>
      <c r="F1696" s="137"/>
      <c r="G1696" s="102"/>
      <c r="H1696" s="137"/>
      <c r="I1696" s="137"/>
      <c r="J1696" s="137"/>
      <c r="K1696" s="170"/>
      <c r="L1696" s="170"/>
      <c r="M1696" s="170"/>
      <c r="N1696" s="137"/>
      <c r="O1696" s="137"/>
    </row>
    <row r="1697" spans="1:15" x14ac:dyDescent="0.35">
      <c r="A1697" s="137"/>
      <c r="B1697" s="137"/>
      <c r="C1697" s="137"/>
      <c r="D1697" s="137"/>
      <c r="E1697" s="137"/>
      <c r="F1697" s="137"/>
      <c r="G1697" s="102"/>
      <c r="H1697" s="137"/>
      <c r="I1697" s="137"/>
      <c r="J1697" s="137"/>
      <c r="K1697" s="170"/>
      <c r="L1697" s="170"/>
      <c r="M1697" s="170"/>
      <c r="N1697" s="137"/>
      <c r="O1697" s="137"/>
    </row>
    <row r="1698" spans="1:15" x14ac:dyDescent="0.35">
      <c r="A1698" s="137"/>
      <c r="B1698" s="137"/>
      <c r="C1698" s="137"/>
      <c r="D1698" s="137"/>
      <c r="E1698" s="137"/>
      <c r="F1698" s="137"/>
      <c r="G1698" s="102"/>
      <c r="H1698" s="137"/>
      <c r="I1698" s="137"/>
      <c r="J1698" s="137"/>
      <c r="K1698" s="170"/>
      <c r="L1698" s="170"/>
      <c r="M1698" s="170"/>
      <c r="N1698" s="137"/>
      <c r="O1698" s="137"/>
    </row>
    <row r="1699" spans="1:15" x14ac:dyDescent="0.35">
      <c r="A1699" s="137"/>
      <c r="B1699" s="137"/>
      <c r="C1699" s="137"/>
      <c r="D1699" s="137"/>
      <c r="E1699" s="137"/>
      <c r="F1699" s="137"/>
      <c r="G1699" s="102"/>
      <c r="H1699" s="137"/>
      <c r="I1699" s="137"/>
      <c r="J1699" s="137"/>
      <c r="K1699" s="170"/>
      <c r="L1699" s="170"/>
      <c r="M1699" s="170"/>
      <c r="N1699" s="137"/>
      <c r="O1699" s="137"/>
    </row>
    <row r="1700" spans="1:15" x14ac:dyDescent="0.35">
      <c r="A1700" s="137"/>
      <c r="B1700" s="137"/>
      <c r="C1700" s="137"/>
      <c r="D1700" s="137"/>
      <c r="E1700" s="137"/>
      <c r="F1700" s="137"/>
      <c r="G1700" s="102"/>
      <c r="H1700" s="137"/>
      <c r="I1700" s="137"/>
      <c r="J1700" s="137"/>
      <c r="K1700" s="170"/>
      <c r="L1700" s="170"/>
      <c r="M1700" s="170"/>
      <c r="N1700" s="137"/>
      <c r="O1700" s="137"/>
    </row>
    <row r="1701" spans="1:15" x14ac:dyDescent="0.35">
      <c r="A1701" s="137"/>
      <c r="B1701" s="137"/>
      <c r="C1701" s="137"/>
      <c r="D1701" s="137"/>
      <c r="E1701" s="137"/>
      <c r="F1701" s="137"/>
      <c r="G1701" s="102"/>
      <c r="H1701" s="137"/>
      <c r="I1701" s="137"/>
      <c r="J1701" s="137"/>
      <c r="K1701" s="170"/>
      <c r="L1701" s="170"/>
      <c r="M1701" s="170"/>
      <c r="N1701" s="137"/>
      <c r="O1701" s="137"/>
    </row>
    <row r="1702" spans="1:15" x14ac:dyDescent="0.35">
      <c r="A1702" s="137"/>
      <c r="B1702" s="137"/>
      <c r="C1702" s="137"/>
      <c r="D1702" s="137"/>
      <c r="E1702" s="137"/>
      <c r="F1702" s="137"/>
      <c r="G1702" s="102"/>
      <c r="H1702" s="137"/>
      <c r="I1702" s="137"/>
      <c r="J1702" s="137"/>
      <c r="K1702" s="170"/>
      <c r="L1702" s="170"/>
      <c r="M1702" s="170"/>
      <c r="N1702" s="137"/>
      <c r="O1702" s="137"/>
    </row>
    <row r="1703" spans="1:15" x14ac:dyDescent="0.35">
      <c r="A1703" s="137"/>
      <c r="B1703" s="137"/>
      <c r="C1703" s="137"/>
      <c r="D1703" s="137"/>
      <c r="E1703" s="137"/>
      <c r="F1703" s="137"/>
      <c r="G1703" s="102"/>
      <c r="H1703" s="137"/>
      <c r="I1703" s="137"/>
      <c r="J1703" s="137"/>
      <c r="K1703" s="170"/>
      <c r="L1703" s="170"/>
      <c r="M1703" s="170"/>
      <c r="N1703" s="137"/>
      <c r="O1703" s="137"/>
    </row>
    <row r="1704" spans="1:15" x14ac:dyDescent="0.35">
      <c r="A1704" s="137"/>
      <c r="B1704" s="137"/>
      <c r="C1704" s="137"/>
      <c r="D1704" s="137"/>
      <c r="E1704" s="137"/>
      <c r="F1704" s="137"/>
      <c r="G1704" s="102"/>
      <c r="H1704" s="137"/>
      <c r="I1704" s="137"/>
      <c r="J1704" s="137"/>
      <c r="K1704" s="170"/>
      <c r="L1704" s="170"/>
      <c r="M1704" s="170"/>
      <c r="N1704" s="137"/>
      <c r="O1704" s="137"/>
    </row>
    <row r="1705" spans="1:15" x14ac:dyDescent="0.35">
      <c r="A1705" s="137"/>
      <c r="B1705" s="137"/>
      <c r="C1705" s="137"/>
      <c r="D1705" s="137"/>
      <c r="E1705" s="137"/>
      <c r="F1705" s="137"/>
      <c r="G1705" s="102"/>
      <c r="H1705" s="137"/>
      <c r="I1705" s="137"/>
      <c r="J1705" s="137"/>
      <c r="K1705" s="170"/>
      <c r="L1705" s="170"/>
      <c r="M1705" s="170"/>
      <c r="N1705" s="137"/>
      <c r="O1705" s="137"/>
    </row>
    <row r="1706" spans="1:15" x14ac:dyDescent="0.35">
      <c r="A1706" s="137"/>
      <c r="B1706" s="137"/>
      <c r="C1706" s="137"/>
      <c r="D1706" s="137"/>
      <c r="E1706" s="137"/>
      <c r="F1706" s="137"/>
      <c r="G1706" s="102"/>
      <c r="H1706" s="137"/>
      <c r="I1706" s="137"/>
      <c r="J1706" s="137"/>
      <c r="K1706" s="170"/>
      <c r="L1706" s="170"/>
      <c r="M1706" s="170"/>
      <c r="N1706" s="137"/>
      <c r="O1706" s="137"/>
    </row>
    <row r="1707" spans="1:15" x14ac:dyDescent="0.35">
      <c r="A1707" s="137"/>
      <c r="B1707" s="137"/>
      <c r="C1707" s="137"/>
      <c r="D1707" s="137"/>
      <c r="E1707" s="137"/>
      <c r="F1707" s="137"/>
      <c r="G1707" s="102"/>
      <c r="H1707" s="137"/>
      <c r="I1707" s="137"/>
      <c r="J1707" s="137"/>
      <c r="K1707" s="170"/>
      <c r="L1707" s="170"/>
      <c r="M1707" s="170"/>
      <c r="N1707" s="137"/>
      <c r="O1707" s="137"/>
    </row>
    <row r="1708" spans="1:15" x14ac:dyDescent="0.35">
      <c r="A1708" s="137"/>
      <c r="B1708" s="137"/>
      <c r="C1708" s="137"/>
      <c r="D1708" s="137"/>
      <c r="E1708" s="137"/>
      <c r="F1708" s="137"/>
      <c r="G1708" s="102"/>
      <c r="H1708" s="137"/>
      <c r="I1708" s="137"/>
      <c r="J1708" s="137"/>
      <c r="K1708" s="170"/>
      <c r="L1708" s="170"/>
      <c r="M1708" s="170"/>
      <c r="N1708" s="137"/>
      <c r="O1708" s="137"/>
    </row>
    <row r="1709" spans="1:15" x14ac:dyDescent="0.35">
      <c r="A1709" s="137"/>
      <c r="B1709" s="137"/>
      <c r="C1709" s="137"/>
      <c r="D1709" s="137"/>
      <c r="E1709" s="137"/>
      <c r="F1709" s="137"/>
      <c r="G1709" s="102"/>
      <c r="H1709" s="137"/>
      <c r="I1709" s="137"/>
      <c r="J1709" s="137"/>
      <c r="K1709" s="170"/>
      <c r="L1709" s="170"/>
      <c r="M1709" s="170"/>
      <c r="N1709" s="31"/>
      <c r="O1709" s="31"/>
    </row>
    <row r="1710" spans="1:15" x14ac:dyDescent="0.35">
      <c r="A1710" s="137"/>
      <c r="B1710" s="137"/>
      <c r="C1710" s="137"/>
      <c r="D1710" s="137"/>
      <c r="E1710" s="137"/>
      <c r="F1710" s="137"/>
      <c r="G1710" s="102"/>
      <c r="H1710" s="137"/>
      <c r="I1710" s="137"/>
      <c r="J1710" s="137"/>
      <c r="K1710" s="170"/>
      <c r="L1710" s="170"/>
      <c r="M1710" s="170"/>
      <c r="N1710" s="31"/>
      <c r="O1710" s="31"/>
    </row>
    <row r="1711" spans="1:15" x14ac:dyDescent="0.35">
      <c r="A1711" s="137"/>
      <c r="B1711" s="137"/>
      <c r="C1711" s="137"/>
      <c r="D1711" s="137"/>
      <c r="E1711" s="137"/>
      <c r="F1711" s="137"/>
      <c r="G1711" s="102"/>
      <c r="H1711" s="137"/>
      <c r="I1711" s="137"/>
      <c r="J1711" s="137"/>
      <c r="K1711" s="170"/>
      <c r="L1711" s="170"/>
      <c r="M1711" s="170"/>
    </row>
    <row r="1712" spans="1:15" x14ac:dyDescent="0.35">
      <c r="A1712" s="137"/>
      <c r="B1712" s="137"/>
      <c r="C1712" s="137"/>
      <c r="D1712" s="137"/>
      <c r="E1712" s="137"/>
      <c r="F1712" s="137"/>
      <c r="G1712" s="102"/>
      <c r="H1712" s="137"/>
      <c r="I1712" s="137"/>
      <c r="J1712" s="137"/>
      <c r="K1712" s="170"/>
      <c r="L1712" s="170"/>
      <c r="M1712" s="170"/>
    </row>
    <row r="1713" spans="1:15" x14ac:dyDescent="0.35">
      <c r="A1713" s="137"/>
      <c r="B1713" s="137"/>
      <c r="C1713" s="137"/>
      <c r="D1713" s="137"/>
      <c r="E1713" s="137"/>
      <c r="F1713" s="137"/>
      <c r="G1713" s="102"/>
      <c r="H1713" s="137"/>
      <c r="I1713" s="137"/>
      <c r="J1713" s="137"/>
      <c r="K1713" s="170"/>
      <c r="L1713" s="170"/>
      <c r="M1713" s="170"/>
    </row>
    <row r="1714" spans="1:15" x14ac:dyDescent="0.35">
      <c r="A1714" s="137"/>
      <c r="B1714" s="137"/>
      <c r="C1714" s="137"/>
      <c r="D1714" s="137"/>
      <c r="E1714" s="137"/>
      <c r="F1714" s="137"/>
      <c r="G1714" s="102"/>
      <c r="H1714" s="137"/>
      <c r="I1714" s="137"/>
      <c r="J1714" s="137"/>
      <c r="K1714" s="170"/>
      <c r="L1714" s="170"/>
      <c r="M1714" s="170"/>
    </row>
    <row r="1715" spans="1:15" x14ac:dyDescent="0.35">
      <c r="A1715" s="137"/>
      <c r="B1715" s="137"/>
      <c r="C1715" s="137"/>
      <c r="D1715" s="137"/>
      <c r="E1715" s="137"/>
      <c r="F1715" s="137"/>
      <c r="G1715" s="102"/>
      <c r="H1715" s="137"/>
      <c r="I1715" s="137"/>
      <c r="J1715" s="137"/>
      <c r="K1715" s="170"/>
      <c r="L1715" s="170"/>
      <c r="M1715" s="170"/>
    </row>
    <row r="1716" spans="1:15" x14ac:dyDescent="0.35">
      <c r="A1716" s="137"/>
      <c r="B1716" s="137"/>
      <c r="C1716" s="137"/>
      <c r="D1716" s="137"/>
      <c r="E1716" s="137"/>
      <c r="F1716" s="137"/>
      <c r="G1716" s="102"/>
      <c r="H1716" s="137"/>
      <c r="I1716" s="137"/>
      <c r="J1716" s="137"/>
      <c r="K1716" s="170"/>
      <c r="L1716" s="170"/>
      <c r="M1716" s="170"/>
      <c r="N1716" s="137"/>
      <c r="O1716" s="137"/>
    </row>
    <row r="1717" spans="1:15" x14ac:dyDescent="0.35">
      <c r="A1717" s="137"/>
      <c r="B1717" s="137"/>
      <c r="C1717" s="137"/>
      <c r="D1717" s="137"/>
      <c r="E1717" s="137"/>
      <c r="F1717" s="137"/>
      <c r="G1717" s="102"/>
      <c r="H1717" s="137"/>
      <c r="I1717" s="137"/>
      <c r="J1717" s="137"/>
      <c r="K1717" s="170"/>
      <c r="L1717" s="170"/>
      <c r="M1717" s="170"/>
    </row>
    <row r="1718" spans="1:15" x14ac:dyDescent="0.35">
      <c r="A1718" s="137"/>
      <c r="B1718" s="137"/>
      <c r="C1718" s="137"/>
      <c r="D1718" s="137"/>
      <c r="E1718" s="137"/>
      <c r="F1718" s="137"/>
      <c r="G1718" s="102"/>
      <c r="H1718" s="137"/>
      <c r="I1718" s="137"/>
      <c r="J1718" s="137"/>
      <c r="K1718" s="170"/>
      <c r="L1718" s="170"/>
      <c r="M1718" s="170"/>
      <c r="N1718" s="137"/>
      <c r="O1718" s="137"/>
    </row>
    <row r="1719" spans="1:15" x14ac:dyDescent="0.35">
      <c r="A1719" s="137"/>
      <c r="B1719" s="137"/>
      <c r="C1719" s="137"/>
      <c r="D1719" s="137"/>
      <c r="E1719" s="137"/>
      <c r="F1719" s="137"/>
      <c r="G1719" s="102"/>
      <c r="H1719" s="137"/>
      <c r="I1719" s="137"/>
      <c r="J1719" s="137"/>
      <c r="K1719" s="170"/>
      <c r="L1719" s="170"/>
      <c r="M1719" s="170"/>
      <c r="N1719" s="137"/>
      <c r="O1719" s="137"/>
    </row>
    <row r="1720" spans="1:15" x14ac:dyDescent="0.35">
      <c r="A1720" s="137"/>
      <c r="B1720" s="137"/>
      <c r="C1720" s="137"/>
      <c r="D1720" s="137"/>
      <c r="E1720" s="137"/>
      <c r="F1720" s="137"/>
      <c r="G1720" s="102"/>
      <c r="H1720" s="137"/>
      <c r="I1720" s="137"/>
      <c r="J1720" s="137"/>
      <c r="K1720" s="170"/>
      <c r="L1720" s="170"/>
      <c r="M1720" s="170"/>
      <c r="N1720" s="137"/>
      <c r="O1720" s="137"/>
    </row>
    <row r="1721" spans="1:15" x14ac:dyDescent="0.35">
      <c r="A1721" s="137"/>
      <c r="B1721" s="137"/>
      <c r="C1721" s="137"/>
      <c r="D1721" s="137"/>
      <c r="E1721" s="137"/>
      <c r="F1721" s="137"/>
      <c r="G1721" s="102"/>
      <c r="H1721" s="137"/>
      <c r="I1721" s="137"/>
      <c r="J1721" s="137"/>
      <c r="K1721" s="170"/>
      <c r="L1721" s="170"/>
      <c r="M1721" s="170"/>
      <c r="N1721" s="137"/>
      <c r="O1721" s="137"/>
    </row>
    <row r="1722" spans="1:15" x14ac:dyDescent="0.35">
      <c r="A1722" s="137"/>
      <c r="B1722" s="137"/>
      <c r="C1722" s="137"/>
      <c r="D1722" s="137"/>
      <c r="E1722" s="137"/>
      <c r="F1722" s="137"/>
      <c r="G1722" s="102"/>
      <c r="H1722" s="137"/>
      <c r="I1722" s="137"/>
      <c r="J1722" s="137"/>
      <c r="K1722" s="170"/>
      <c r="L1722" s="170"/>
      <c r="M1722" s="170"/>
      <c r="N1722" s="137"/>
      <c r="O1722" s="137"/>
    </row>
    <row r="1723" spans="1:15" x14ac:dyDescent="0.35">
      <c r="A1723" s="137"/>
      <c r="B1723" s="137"/>
      <c r="C1723" s="137"/>
      <c r="D1723" s="137"/>
      <c r="E1723" s="137"/>
      <c r="F1723" s="137"/>
      <c r="G1723" s="102"/>
      <c r="H1723" s="137"/>
      <c r="I1723" s="137"/>
      <c r="J1723" s="137"/>
      <c r="K1723" s="170"/>
      <c r="L1723" s="170"/>
      <c r="M1723" s="170"/>
      <c r="N1723" s="137"/>
      <c r="O1723" s="137"/>
    </row>
    <row r="1724" spans="1:15" x14ac:dyDescent="0.35">
      <c r="A1724" s="137"/>
      <c r="B1724" s="137"/>
      <c r="C1724" s="137"/>
      <c r="D1724" s="137"/>
      <c r="E1724" s="137"/>
      <c r="F1724" s="137"/>
      <c r="G1724" s="102"/>
      <c r="H1724" s="137"/>
      <c r="I1724" s="137"/>
      <c r="J1724" s="137"/>
      <c r="K1724" s="170"/>
      <c r="L1724" s="170"/>
      <c r="M1724" s="170"/>
      <c r="N1724" s="137"/>
      <c r="O1724" s="137"/>
    </row>
    <row r="1725" spans="1:15" x14ac:dyDescent="0.35">
      <c r="A1725" s="137"/>
      <c r="B1725" s="137"/>
      <c r="C1725" s="137"/>
      <c r="D1725" s="137"/>
      <c r="E1725" s="137"/>
      <c r="F1725" s="137"/>
      <c r="G1725" s="102"/>
      <c r="H1725" s="137"/>
      <c r="I1725" s="137"/>
      <c r="J1725" s="137"/>
      <c r="K1725" s="170"/>
      <c r="L1725" s="170"/>
      <c r="M1725" s="170"/>
      <c r="N1725" s="137"/>
      <c r="O1725" s="137"/>
    </row>
    <row r="1726" spans="1:15" x14ac:dyDescent="0.35">
      <c r="A1726" s="137"/>
      <c r="B1726" s="137"/>
      <c r="C1726" s="137"/>
      <c r="D1726" s="137"/>
      <c r="E1726" s="137"/>
      <c r="F1726" s="137"/>
      <c r="G1726" s="102"/>
      <c r="H1726" s="137"/>
      <c r="I1726" s="137"/>
      <c r="J1726" s="137"/>
      <c r="K1726" s="170"/>
      <c r="L1726" s="170"/>
      <c r="M1726" s="170"/>
      <c r="N1726" s="137"/>
      <c r="O1726" s="137"/>
    </row>
    <row r="1727" spans="1:15" x14ac:dyDescent="0.35">
      <c r="A1727" s="137"/>
      <c r="B1727" s="137"/>
      <c r="C1727" s="137"/>
      <c r="D1727" s="137"/>
      <c r="E1727" s="137"/>
      <c r="F1727" s="137"/>
      <c r="G1727" s="102"/>
      <c r="H1727" s="137"/>
      <c r="I1727" s="137"/>
      <c r="J1727" s="137"/>
      <c r="K1727" s="170"/>
      <c r="L1727" s="170"/>
      <c r="M1727" s="170"/>
      <c r="N1727" s="137"/>
      <c r="O1727" s="137"/>
    </row>
    <row r="1728" spans="1:15" x14ac:dyDescent="0.35">
      <c r="A1728" s="137"/>
      <c r="B1728" s="137"/>
      <c r="C1728" s="137"/>
      <c r="D1728" s="137"/>
      <c r="E1728" s="137"/>
      <c r="F1728" s="137"/>
      <c r="G1728" s="102"/>
      <c r="H1728" s="137"/>
      <c r="I1728" s="137"/>
      <c r="J1728" s="137"/>
      <c r="K1728" s="170"/>
      <c r="L1728" s="170"/>
      <c r="M1728" s="170"/>
      <c r="N1728" s="137"/>
      <c r="O1728" s="137"/>
    </row>
    <row r="1729" spans="1:15" x14ac:dyDescent="0.35">
      <c r="A1729" s="137"/>
      <c r="B1729" s="137"/>
      <c r="C1729" s="137"/>
      <c r="D1729" s="137"/>
      <c r="E1729" s="137"/>
      <c r="F1729" s="137"/>
      <c r="G1729" s="102"/>
      <c r="H1729" s="137"/>
      <c r="I1729" s="137"/>
      <c r="J1729" s="137"/>
      <c r="K1729" s="170"/>
      <c r="L1729" s="170"/>
      <c r="M1729" s="170"/>
      <c r="N1729" s="137"/>
      <c r="O1729" s="137"/>
    </row>
    <row r="1730" spans="1:15" x14ac:dyDescent="0.35">
      <c r="A1730" s="137"/>
      <c r="B1730" s="137"/>
      <c r="C1730" s="137"/>
      <c r="D1730" s="137"/>
      <c r="E1730" s="137"/>
      <c r="F1730" s="137"/>
      <c r="G1730" s="102"/>
      <c r="H1730" s="137"/>
      <c r="I1730" s="137"/>
      <c r="J1730" s="137"/>
      <c r="K1730" s="170"/>
      <c r="L1730" s="170"/>
      <c r="M1730" s="170"/>
      <c r="N1730" s="137"/>
      <c r="O1730" s="137"/>
    </row>
    <row r="1731" spans="1:15" x14ac:dyDescent="0.35">
      <c r="A1731" s="137"/>
      <c r="B1731" s="137"/>
      <c r="C1731" s="137"/>
      <c r="D1731" s="137"/>
      <c r="E1731" s="137"/>
      <c r="F1731" s="137"/>
      <c r="G1731" s="102"/>
      <c r="H1731" s="137"/>
      <c r="I1731" s="137"/>
      <c r="J1731" s="137"/>
      <c r="K1731" s="170"/>
      <c r="L1731" s="170"/>
      <c r="M1731" s="170"/>
      <c r="N1731" s="137"/>
      <c r="O1731" s="137"/>
    </row>
    <row r="1732" spans="1:15" x14ac:dyDescent="0.35">
      <c r="A1732" s="137"/>
      <c r="B1732" s="137"/>
      <c r="C1732" s="137"/>
      <c r="D1732" s="137"/>
      <c r="E1732" s="137"/>
      <c r="F1732" s="137"/>
      <c r="G1732" s="102"/>
      <c r="H1732" s="137"/>
      <c r="I1732" s="137"/>
      <c r="J1732" s="137"/>
      <c r="K1732" s="170"/>
      <c r="L1732" s="170"/>
      <c r="M1732" s="170"/>
      <c r="N1732" s="137"/>
      <c r="O1732" s="137"/>
    </row>
    <row r="1733" spans="1:15" x14ac:dyDescent="0.35">
      <c r="A1733" s="137"/>
      <c r="B1733" s="137"/>
      <c r="C1733" s="137"/>
      <c r="D1733" s="137"/>
      <c r="E1733" s="137"/>
      <c r="F1733" s="137"/>
      <c r="G1733" s="102"/>
      <c r="H1733" s="137"/>
      <c r="I1733" s="137"/>
      <c r="J1733" s="137"/>
      <c r="K1733" s="170"/>
      <c r="L1733" s="170"/>
      <c r="M1733" s="170"/>
      <c r="N1733" s="137"/>
      <c r="O1733" s="137"/>
    </row>
    <row r="1734" spans="1:15" x14ac:dyDescent="0.35">
      <c r="A1734" s="137"/>
      <c r="B1734" s="137"/>
      <c r="C1734" s="137"/>
      <c r="D1734" s="137"/>
      <c r="E1734" s="137"/>
      <c r="F1734" s="137"/>
      <c r="G1734" s="102"/>
      <c r="H1734" s="137"/>
      <c r="I1734" s="137"/>
      <c r="J1734" s="137"/>
      <c r="K1734" s="170"/>
      <c r="L1734" s="170"/>
      <c r="M1734" s="170"/>
      <c r="N1734" s="137"/>
      <c r="O1734" s="137"/>
    </row>
    <row r="1735" spans="1:15" x14ac:dyDescent="0.35">
      <c r="A1735" s="137"/>
      <c r="B1735" s="137"/>
      <c r="C1735" s="137"/>
      <c r="D1735" s="137"/>
      <c r="E1735" s="137"/>
      <c r="F1735" s="137"/>
      <c r="G1735" s="102"/>
      <c r="H1735" s="137"/>
      <c r="I1735" s="137"/>
      <c r="J1735" s="137"/>
      <c r="K1735" s="170"/>
      <c r="L1735" s="170"/>
      <c r="M1735" s="170"/>
      <c r="N1735" s="137"/>
      <c r="O1735" s="137"/>
    </row>
    <row r="1736" spans="1:15" x14ac:dyDescent="0.35">
      <c r="A1736" s="137"/>
      <c r="B1736" s="137"/>
      <c r="C1736" s="137"/>
      <c r="D1736" s="137"/>
      <c r="E1736" s="137"/>
      <c r="F1736" s="137"/>
      <c r="G1736" s="102"/>
      <c r="H1736" s="137"/>
      <c r="I1736" s="137"/>
      <c r="J1736" s="137"/>
      <c r="K1736" s="170"/>
      <c r="L1736" s="170"/>
      <c r="M1736" s="170"/>
      <c r="N1736" s="137"/>
      <c r="O1736" s="137"/>
    </row>
    <row r="1737" spans="1:15" x14ac:dyDescent="0.35">
      <c r="A1737" s="137"/>
      <c r="B1737" s="137"/>
      <c r="C1737" s="137"/>
      <c r="D1737" s="137"/>
      <c r="E1737" s="137"/>
      <c r="F1737" s="137"/>
      <c r="G1737" s="102"/>
      <c r="H1737" s="137"/>
      <c r="I1737" s="137"/>
      <c r="J1737" s="137"/>
      <c r="K1737" s="170"/>
      <c r="L1737" s="170"/>
      <c r="M1737" s="170"/>
      <c r="N1737" s="137"/>
      <c r="O1737" s="137"/>
    </row>
    <row r="1738" spans="1:15" x14ac:dyDescent="0.35">
      <c r="A1738" s="137"/>
      <c r="B1738" s="137"/>
      <c r="C1738" s="137"/>
      <c r="D1738" s="137"/>
      <c r="E1738" s="137"/>
      <c r="F1738" s="137"/>
      <c r="G1738" s="102"/>
      <c r="H1738" s="137"/>
      <c r="I1738" s="137"/>
      <c r="J1738" s="137"/>
      <c r="K1738" s="170"/>
      <c r="L1738" s="170"/>
      <c r="M1738" s="170"/>
      <c r="N1738" s="137"/>
      <c r="O1738" s="137"/>
    </row>
    <row r="1739" spans="1:15" x14ac:dyDescent="0.35">
      <c r="A1739" s="137"/>
      <c r="B1739" s="137"/>
      <c r="C1739" s="137"/>
      <c r="D1739" s="137"/>
      <c r="E1739" s="137"/>
      <c r="F1739" s="137"/>
      <c r="G1739" s="102"/>
      <c r="H1739" s="137"/>
      <c r="I1739" s="137"/>
      <c r="J1739" s="137"/>
      <c r="K1739" s="170"/>
      <c r="L1739" s="170"/>
      <c r="M1739" s="170"/>
      <c r="N1739" s="137"/>
      <c r="O1739" s="137"/>
    </row>
    <row r="1740" spans="1:15" x14ac:dyDescent="0.35">
      <c r="A1740" s="137"/>
      <c r="B1740" s="137"/>
      <c r="C1740" s="137"/>
      <c r="D1740" s="137"/>
      <c r="E1740" s="137"/>
      <c r="F1740" s="137"/>
      <c r="G1740" s="102"/>
      <c r="H1740" s="137"/>
      <c r="I1740" s="137"/>
      <c r="J1740" s="137"/>
      <c r="K1740" s="170"/>
      <c r="L1740" s="170"/>
      <c r="M1740" s="170"/>
      <c r="N1740" s="137"/>
      <c r="O1740" s="137"/>
    </row>
    <row r="1741" spans="1:15" x14ac:dyDescent="0.35">
      <c r="A1741" s="137"/>
      <c r="B1741" s="137"/>
      <c r="C1741" s="137"/>
      <c r="D1741" s="137"/>
      <c r="E1741" s="137"/>
      <c r="F1741" s="137"/>
      <c r="G1741" s="102"/>
      <c r="H1741" s="137"/>
      <c r="I1741" s="137"/>
      <c r="J1741" s="137"/>
      <c r="K1741" s="170"/>
      <c r="L1741" s="170"/>
      <c r="M1741" s="170"/>
      <c r="N1741" s="137"/>
      <c r="O1741" s="137"/>
    </row>
    <row r="1742" spans="1:15" x14ac:dyDescent="0.35">
      <c r="A1742" s="137"/>
      <c r="B1742" s="137"/>
      <c r="C1742" s="137"/>
      <c r="D1742" s="137"/>
      <c r="E1742" s="137"/>
      <c r="F1742" s="137"/>
      <c r="G1742" s="102"/>
      <c r="H1742" s="137"/>
      <c r="I1742" s="137"/>
      <c r="J1742" s="137"/>
      <c r="K1742" s="170"/>
      <c r="L1742" s="170"/>
      <c r="M1742" s="170"/>
      <c r="N1742" s="137"/>
      <c r="O1742" s="137"/>
    </row>
    <row r="1743" spans="1:15" x14ac:dyDescent="0.35">
      <c r="A1743" s="137"/>
      <c r="B1743" s="137"/>
      <c r="C1743" s="137"/>
      <c r="D1743" s="137"/>
      <c r="E1743" s="137"/>
      <c r="F1743" s="137"/>
      <c r="G1743" s="102"/>
      <c r="H1743" s="137"/>
      <c r="I1743" s="137"/>
      <c r="J1743" s="137"/>
      <c r="K1743" s="170"/>
      <c r="L1743" s="170"/>
      <c r="M1743" s="170"/>
      <c r="N1743" s="137"/>
      <c r="O1743" s="137"/>
    </row>
    <row r="1744" spans="1:15" x14ac:dyDescent="0.35">
      <c r="A1744" s="137"/>
      <c r="B1744" s="137"/>
      <c r="C1744" s="137"/>
      <c r="D1744" s="137"/>
      <c r="E1744" s="137"/>
      <c r="F1744" s="137"/>
      <c r="G1744" s="102"/>
      <c r="H1744" s="137"/>
      <c r="I1744" s="137"/>
      <c r="J1744" s="137"/>
      <c r="K1744" s="170"/>
      <c r="L1744" s="170"/>
      <c r="M1744" s="170"/>
      <c r="N1744" s="137"/>
      <c r="O1744" s="137"/>
    </row>
    <row r="1745" spans="1:15" x14ac:dyDescent="0.35">
      <c r="A1745" s="137"/>
      <c r="B1745" s="137"/>
      <c r="C1745" s="137"/>
      <c r="D1745" s="137"/>
      <c r="E1745" s="137"/>
      <c r="F1745" s="137"/>
      <c r="G1745" s="102"/>
      <c r="H1745" s="137"/>
      <c r="I1745" s="137"/>
      <c r="J1745" s="137"/>
      <c r="K1745" s="170"/>
      <c r="L1745" s="170"/>
      <c r="M1745" s="170"/>
      <c r="N1745" s="137"/>
      <c r="O1745" s="137"/>
    </row>
    <row r="1746" spans="1:15" x14ac:dyDescent="0.35">
      <c r="A1746" s="137"/>
      <c r="B1746" s="137"/>
      <c r="C1746" s="137"/>
      <c r="D1746" s="137"/>
      <c r="E1746" s="137"/>
      <c r="F1746" s="137"/>
      <c r="G1746" s="102"/>
      <c r="H1746" s="137"/>
      <c r="I1746" s="137"/>
      <c r="J1746" s="137"/>
      <c r="K1746" s="170"/>
      <c r="L1746" s="170"/>
      <c r="M1746" s="170"/>
      <c r="N1746" s="137"/>
      <c r="O1746" s="137"/>
    </row>
    <row r="1747" spans="1:15" x14ac:dyDescent="0.35">
      <c r="A1747" s="137"/>
      <c r="B1747" s="137"/>
      <c r="C1747" s="137"/>
      <c r="D1747" s="137"/>
      <c r="E1747" s="137"/>
      <c r="F1747" s="137"/>
      <c r="G1747" s="102"/>
      <c r="H1747" s="137"/>
      <c r="I1747" s="137"/>
      <c r="J1747" s="137"/>
      <c r="K1747" s="170"/>
      <c r="L1747" s="170"/>
      <c r="M1747" s="170"/>
      <c r="N1747" s="137"/>
      <c r="O1747" s="137"/>
    </row>
    <row r="1748" spans="1:15" x14ac:dyDescent="0.35">
      <c r="A1748" s="137"/>
      <c r="B1748" s="137"/>
      <c r="C1748" s="137"/>
      <c r="D1748" s="137"/>
      <c r="E1748" s="137"/>
      <c r="F1748" s="137"/>
      <c r="G1748" s="102"/>
      <c r="H1748" s="137"/>
      <c r="I1748" s="137"/>
      <c r="J1748" s="137"/>
      <c r="K1748" s="170"/>
      <c r="L1748" s="170"/>
      <c r="M1748" s="170"/>
      <c r="N1748" s="137"/>
      <c r="O1748" s="137"/>
    </row>
    <row r="1749" spans="1:15" x14ac:dyDescent="0.35">
      <c r="A1749" s="137"/>
      <c r="B1749" s="137"/>
      <c r="C1749" s="137"/>
      <c r="D1749" s="137"/>
      <c r="E1749" s="137"/>
      <c r="F1749" s="137"/>
      <c r="G1749" s="102"/>
      <c r="H1749" s="137"/>
      <c r="I1749" s="137"/>
      <c r="J1749" s="137"/>
      <c r="K1749" s="170"/>
      <c r="L1749" s="170"/>
      <c r="M1749" s="170"/>
      <c r="N1749" s="137"/>
      <c r="O1749" s="137"/>
    </row>
    <row r="1750" spans="1:15" x14ac:dyDescent="0.35">
      <c r="A1750" s="137"/>
      <c r="B1750" s="137"/>
      <c r="C1750" s="137"/>
      <c r="D1750" s="137"/>
      <c r="E1750" s="137"/>
      <c r="F1750" s="137"/>
      <c r="G1750" s="102"/>
      <c r="H1750" s="137"/>
      <c r="I1750" s="137"/>
      <c r="J1750" s="137"/>
      <c r="K1750" s="170"/>
      <c r="L1750" s="170"/>
      <c r="M1750" s="170"/>
      <c r="N1750" s="137"/>
      <c r="O1750" s="137"/>
    </row>
    <row r="1751" spans="1:15" x14ac:dyDescent="0.35">
      <c r="A1751" s="137"/>
      <c r="B1751" s="137"/>
      <c r="C1751" s="137"/>
      <c r="D1751" s="137"/>
      <c r="E1751" s="137"/>
      <c r="F1751" s="137"/>
      <c r="G1751" s="102"/>
      <c r="H1751" s="137"/>
      <c r="I1751" s="137"/>
      <c r="J1751" s="137"/>
      <c r="K1751" s="170"/>
      <c r="L1751" s="170"/>
      <c r="M1751" s="170"/>
      <c r="N1751" s="137"/>
      <c r="O1751" s="137"/>
    </row>
    <row r="1752" spans="1:15" x14ac:dyDescent="0.35">
      <c r="A1752" s="137"/>
      <c r="B1752" s="137"/>
      <c r="C1752" s="137"/>
      <c r="D1752" s="137"/>
      <c r="E1752" s="137"/>
      <c r="F1752" s="137"/>
      <c r="G1752" s="102"/>
      <c r="H1752" s="137"/>
      <c r="I1752" s="137"/>
      <c r="J1752" s="137"/>
      <c r="K1752" s="170"/>
      <c r="L1752" s="170"/>
      <c r="M1752" s="170"/>
      <c r="N1752" s="137"/>
      <c r="O1752" s="137"/>
    </row>
    <row r="1753" spans="1:15" x14ac:dyDescent="0.35">
      <c r="A1753" s="137"/>
      <c r="B1753" s="137"/>
      <c r="C1753" s="137"/>
      <c r="D1753" s="137"/>
      <c r="E1753" s="137"/>
      <c r="F1753" s="137"/>
      <c r="G1753" s="102"/>
      <c r="H1753" s="137"/>
      <c r="I1753" s="137"/>
      <c r="J1753" s="137"/>
      <c r="K1753" s="170"/>
      <c r="L1753" s="170"/>
      <c r="M1753" s="170"/>
      <c r="N1753" s="137"/>
      <c r="O1753" s="137"/>
    </row>
    <row r="1754" spans="1:15" x14ac:dyDescent="0.35">
      <c r="A1754" s="137"/>
      <c r="B1754" s="137"/>
      <c r="C1754" s="137"/>
      <c r="D1754" s="137"/>
      <c r="E1754" s="137"/>
      <c r="F1754" s="137"/>
      <c r="G1754" s="102"/>
      <c r="H1754" s="137"/>
      <c r="I1754" s="137"/>
      <c r="J1754" s="137"/>
      <c r="K1754" s="170"/>
      <c r="L1754" s="170"/>
      <c r="M1754" s="170"/>
      <c r="N1754" s="137"/>
      <c r="O1754" s="137"/>
    </row>
    <row r="1755" spans="1:15" x14ac:dyDescent="0.35">
      <c r="A1755" s="137"/>
      <c r="B1755" s="137"/>
      <c r="C1755" s="137"/>
      <c r="D1755" s="137"/>
      <c r="E1755" s="137"/>
      <c r="F1755" s="137"/>
      <c r="G1755" s="102"/>
      <c r="H1755" s="137"/>
      <c r="I1755" s="137"/>
      <c r="J1755" s="137"/>
      <c r="K1755" s="170"/>
      <c r="L1755" s="170"/>
      <c r="M1755" s="170"/>
      <c r="N1755" s="137"/>
      <c r="O1755" s="137"/>
    </row>
    <row r="1756" spans="1:15" x14ac:dyDescent="0.35">
      <c r="A1756" s="137"/>
      <c r="B1756" s="137"/>
      <c r="C1756" s="137"/>
      <c r="D1756" s="137"/>
      <c r="E1756" s="137"/>
      <c r="F1756" s="137"/>
      <c r="G1756" s="102"/>
      <c r="H1756" s="137"/>
      <c r="I1756" s="137"/>
      <c r="J1756" s="137"/>
      <c r="K1756" s="170"/>
      <c r="L1756" s="170"/>
      <c r="M1756" s="170"/>
      <c r="N1756" s="137"/>
      <c r="O1756" s="137"/>
    </row>
    <row r="1757" spans="1:15" x14ac:dyDescent="0.35">
      <c r="A1757" s="137"/>
      <c r="B1757" s="137"/>
      <c r="C1757" s="137"/>
      <c r="D1757" s="137"/>
      <c r="E1757" s="137"/>
      <c r="F1757" s="137"/>
      <c r="G1757" s="102"/>
      <c r="H1757" s="137"/>
      <c r="I1757" s="137"/>
      <c r="J1757" s="137"/>
      <c r="K1757" s="170"/>
      <c r="L1757" s="170"/>
      <c r="M1757" s="170"/>
      <c r="N1757" s="31"/>
      <c r="O1757" s="31"/>
    </row>
    <row r="1758" spans="1:15" x14ac:dyDescent="0.35">
      <c r="A1758" s="137"/>
      <c r="B1758" s="137"/>
      <c r="C1758" s="137"/>
      <c r="D1758" s="137"/>
      <c r="E1758" s="137"/>
      <c r="F1758" s="137"/>
      <c r="G1758" s="102"/>
      <c r="H1758" s="137"/>
      <c r="I1758" s="137"/>
      <c r="J1758" s="137"/>
      <c r="K1758" s="170"/>
      <c r="L1758" s="170"/>
      <c r="M1758" s="170"/>
      <c r="N1758" s="31"/>
      <c r="O1758" s="31"/>
    </row>
    <row r="1759" spans="1:15" x14ac:dyDescent="0.35">
      <c r="A1759" s="137"/>
      <c r="B1759" s="137"/>
      <c r="C1759" s="137"/>
      <c r="D1759" s="137"/>
      <c r="E1759" s="137"/>
      <c r="F1759" s="137"/>
      <c r="G1759" s="102"/>
      <c r="H1759" s="137"/>
      <c r="I1759" s="137"/>
      <c r="J1759" s="137"/>
      <c r="K1759" s="170"/>
      <c r="L1759" s="170"/>
      <c r="M1759" s="170"/>
    </row>
    <row r="1760" spans="1:15" x14ac:dyDescent="0.35">
      <c r="A1760" s="137"/>
      <c r="B1760" s="137"/>
      <c r="C1760" s="137"/>
      <c r="D1760" s="137"/>
      <c r="E1760" s="137"/>
      <c r="F1760" s="137"/>
      <c r="G1760" s="102"/>
      <c r="H1760" s="137"/>
      <c r="I1760" s="137"/>
      <c r="J1760" s="137"/>
      <c r="K1760" s="170"/>
      <c r="L1760" s="170"/>
      <c r="M1760" s="170"/>
      <c r="N1760" s="137"/>
      <c r="O1760" s="137"/>
    </row>
    <row r="1761" spans="1:15" x14ac:dyDescent="0.35">
      <c r="A1761" s="137"/>
      <c r="B1761" s="137"/>
      <c r="C1761" s="137"/>
      <c r="D1761" s="137"/>
      <c r="E1761" s="137"/>
      <c r="F1761" s="137"/>
      <c r="G1761" s="102"/>
      <c r="H1761" s="137"/>
      <c r="I1761" s="137"/>
      <c r="J1761" s="137"/>
      <c r="K1761" s="170"/>
      <c r="L1761" s="170"/>
      <c r="M1761" s="170"/>
    </row>
    <row r="1762" spans="1:15" x14ac:dyDescent="0.35">
      <c r="A1762" s="137"/>
      <c r="B1762" s="137"/>
      <c r="C1762" s="137"/>
      <c r="D1762" s="137"/>
      <c r="E1762" s="137"/>
      <c r="F1762" s="137"/>
      <c r="G1762" s="102"/>
      <c r="H1762" s="137"/>
      <c r="I1762" s="137"/>
      <c r="J1762" s="137"/>
      <c r="K1762" s="170"/>
      <c r="L1762" s="170"/>
      <c r="M1762" s="170"/>
      <c r="N1762" s="137"/>
      <c r="O1762" s="137"/>
    </row>
    <row r="1763" spans="1:15" x14ac:dyDescent="0.35">
      <c r="A1763" s="137"/>
      <c r="B1763" s="137"/>
      <c r="C1763" s="137"/>
      <c r="D1763" s="137"/>
      <c r="E1763" s="137"/>
      <c r="F1763" s="137"/>
      <c r="G1763" s="102"/>
      <c r="H1763" s="137"/>
      <c r="I1763" s="137"/>
      <c r="J1763" s="137"/>
      <c r="K1763" s="170"/>
      <c r="L1763" s="170"/>
      <c r="M1763" s="170"/>
    </row>
    <row r="1764" spans="1:15" x14ac:dyDescent="0.35">
      <c r="A1764" s="137"/>
      <c r="B1764" s="137"/>
      <c r="C1764" s="137"/>
      <c r="D1764" s="137"/>
      <c r="E1764" s="137"/>
      <c r="F1764" s="137"/>
      <c r="G1764" s="102"/>
      <c r="H1764" s="137"/>
      <c r="I1764" s="137"/>
      <c r="J1764" s="137"/>
      <c r="K1764" s="170"/>
      <c r="L1764" s="170"/>
      <c r="M1764" s="170"/>
    </row>
    <row r="1765" spans="1:15" x14ac:dyDescent="0.35">
      <c r="A1765" s="137"/>
      <c r="B1765" s="137"/>
      <c r="C1765" s="137"/>
      <c r="D1765" s="137"/>
      <c r="E1765" s="137"/>
      <c r="F1765" s="137"/>
      <c r="G1765" s="102"/>
      <c r="H1765" s="137"/>
      <c r="I1765" s="137"/>
      <c r="J1765" s="137"/>
      <c r="K1765" s="170"/>
      <c r="L1765" s="170"/>
      <c r="M1765" s="170"/>
    </row>
    <row r="1766" spans="1:15" x14ac:dyDescent="0.35">
      <c r="A1766" s="137"/>
      <c r="B1766" s="137"/>
      <c r="C1766" s="137"/>
      <c r="D1766" s="137"/>
      <c r="E1766" s="137"/>
      <c r="F1766" s="137"/>
      <c r="G1766" s="102"/>
      <c r="H1766" s="137"/>
      <c r="I1766" s="137"/>
      <c r="J1766" s="137"/>
      <c r="K1766" s="170"/>
      <c r="L1766" s="170"/>
      <c r="M1766" s="170"/>
      <c r="N1766" s="137"/>
      <c r="O1766" s="137"/>
    </row>
    <row r="1767" spans="1:15" x14ac:dyDescent="0.35">
      <c r="A1767" s="137"/>
      <c r="B1767" s="137"/>
      <c r="C1767" s="137"/>
      <c r="D1767" s="137"/>
      <c r="E1767" s="137"/>
      <c r="F1767" s="137"/>
      <c r="G1767" s="102"/>
      <c r="H1767" s="137"/>
      <c r="I1767" s="137"/>
      <c r="J1767" s="137"/>
      <c r="K1767" s="170"/>
      <c r="L1767" s="170"/>
      <c r="M1767" s="170"/>
      <c r="N1767" s="137"/>
      <c r="O1767" s="137"/>
    </row>
    <row r="1768" spans="1:15" x14ac:dyDescent="0.35">
      <c r="A1768" s="137"/>
      <c r="B1768" s="137"/>
      <c r="C1768" s="137"/>
      <c r="D1768" s="137"/>
      <c r="E1768" s="137"/>
      <c r="F1768" s="137"/>
      <c r="G1768" s="102"/>
      <c r="H1768" s="137"/>
      <c r="I1768" s="137"/>
      <c r="J1768" s="137"/>
      <c r="K1768" s="170"/>
      <c r="L1768" s="170"/>
      <c r="M1768" s="170"/>
      <c r="N1768" s="137"/>
      <c r="O1768" s="137"/>
    </row>
    <row r="1769" spans="1:15" x14ac:dyDescent="0.35">
      <c r="A1769" s="137"/>
      <c r="B1769" s="137"/>
      <c r="C1769" s="137"/>
      <c r="D1769" s="137"/>
      <c r="E1769" s="137"/>
      <c r="F1769" s="137"/>
      <c r="G1769" s="102"/>
      <c r="H1769" s="137"/>
      <c r="I1769" s="137"/>
      <c r="J1769" s="137"/>
      <c r="K1769" s="170"/>
      <c r="L1769" s="170"/>
      <c r="M1769" s="170"/>
      <c r="N1769" s="137"/>
      <c r="O1769" s="137"/>
    </row>
    <row r="1770" spans="1:15" x14ac:dyDescent="0.35">
      <c r="A1770" s="137"/>
      <c r="B1770" s="137"/>
      <c r="C1770" s="137"/>
      <c r="D1770" s="137"/>
      <c r="E1770" s="137"/>
      <c r="F1770" s="137"/>
      <c r="G1770" s="102"/>
      <c r="H1770" s="137"/>
      <c r="I1770" s="137"/>
      <c r="J1770" s="137"/>
      <c r="K1770" s="170"/>
      <c r="L1770" s="170"/>
      <c r="M1770" s="170"/>
      <c r="N1770" s="137"/>
      <c r="O1770" s="137"/>
    </row>
    <row r="1771" spans="1:15" x14ac:dyDescent="0.35">
      <c r="A1771" s="137"/>
      <c r="B1771" s="137"/>
      <c r="C1771" s="137"/>
      <c r="D1771" s="137"/>
      <c r="E1771" s="137"/>
      <c r="F1771" s="137"/>
      <c r="G1771" s="102"/>
      <c r="H1771" s="137"/>
      <c r="I1771" s="137"/>
      <c r="J1771" s="137"/>
      <c r="K1771" s="170"/>
      <c r="L1771" s="170"/>
      <c r="M1771" s="170"/>
      <c r="N1771" s="137"/>
      <c r="O1771" s="137"/>
    </row>
    <row r="1772" spans="1:15" x14ac:dyDescent="0.35">
      <c r="A1772" s="137"/>
      <c r="B1772" s="137"/>
      <c r="C1772" s="137"/>
      <c r="D1772" s="137"/>
      <c r="E1772" s="137"/>
      <c r="F1772" s="137"/>
      <c r="G1772" s="102"/>
      <c r="H1772" s="137"/>
      <c r="I1772" s="137"/>
      <c r="J1772" s="137"/>
      <c r="K1772" s="170"/>
      <c r="L1772" s="170"/>
      <c r="M1772" s="170"/>
      <c r="N1772" s="137"/>
      <c r="O1772" s="137"/>
    </row>
    <row r="1773" spans="1:15" x14ac:dyDescent="0.35">
      <c r="A1773" s="137"/>
      <c r="B1773" s="137"/>
      <c r="C1773" s="137"/>
      <c r="D1773" s="137"/>
      <c r="E1773" s="137"/>
      <c r="F1773" s="137"/>
      <c r="G1773" s="102"/>
      <c r="H1773" s="137"/>
      <c r="I1773" s="137"/>
      <c r="J1773" s="137"/>
      <c r="K1773" s="170"/>
      <c r="L1773" s="170"/>
      <c r="M1773" s="170"/>
      <c r="N1773" s="137"/>
      <c r="O1773" s="137"/>
    </row>
    <row r="1774" spans="1:15" x14ac:dyDescent="0.35">
      <c r="A1774" s="137"/>
      <c r="B1774" s="137"/>
      <c r="C1774" s="137"/>
      <c r="D1774" s="137"/>
      <c r="E1774" s="137"/>
      <c r="F1774" s="137"/>
      <c r="G1774" s="102"/>
      <c r="H1774" s="137"/>
      <c r="I1774" s="137"/>
      <c r="J1774" s="137"/>
      <c r="K1774" s="170"/>
      <c r="L1774" s="170"/>
      <c r="M1774" s="170"/>
      <c r="N1774" s="137"/>
      <c r="O1774" s="137"/>
    </row>
    <row r="1775" spans="1:15" x14ac:dyDescent="0.35">
      <c r="A1775" s="137"/>
      <c r="B1775" s="137"/>
      <c r="C1775" s="137"/>
      <c r="D1775" s="137"/>
      <c r="E1775" s="137"/>
      <c r="F1775" s="137"/>
      <c r="G1775" s="102"/>
      <c r="H1775" s="137"/>
      <c r="I1775" s="137"/>
      <c r="J1775" s="137"/>
      <c r="K1775" s="170"/>
      <c r="L1775" s="170"/>
      <c r="M1775" s="170"/>
      <c r="N1775" s="137"/>
      <c r="O1775" s="137"/>
    </row>
    <row r="1776" spans="1:15" x14ac:dyDescent="0.35">
      <c r="A1776" s="137"/>
      <c r="B1776" s="137"/>
      <c r="C1776" s="137"/>
      <c r="D1776" s="137"/>
      <c r="E1776" s="137"/>
      <c r="F1776" s="137"/>
      <c r="G1776" s="102"/>
      <c r="H1776" s="137"/>
      <c r="I1776" s="137"/>
      <c r="J1776" s="137"/>
      <c r="K1776" s="170"/>
      <c r="L1776" s="170"/>
      <c r="M1776" s="170"/>
      <c r="N1776" s="137"/>
      <c r="O1776" s="137"/>
    </row>
    <row r="1777" spans="1:15" x14ac:dyDescent="0.35">
      <c r="A1777" s="137"/>
      <c r="B1777" s="137"/>
      <c r="C1777" s="137"/>
      <c r="D1777" s="137"/>
      <c r="E1777" s="137"/>
      <c r="F1777" s="137"/>
      <c r="G1777" s="102"/>
      <c r="H1777" s="137"/>
      <c r="I1777" s="137"/>
      <c r="J1777" s="137"/>
      <c r="K1777" s="170"/>
      <c r="L1777" s="170"/>
      <c r="M1777" s="170"/>
      <c r="N1777" s="137"/>
      <c r="O1777" s="137"/>
    </row>
    <row r="1778" spans="1:15" x14ac:dyDescent="0.35">
      <c r="A1778" s="137"/>
      <c r="B1778" s="137"/>
      <c r="C1778" s="137"/>
      <c r="D1778" s="137"/>
      <c r="E1778" s="137"/>
      <c r="F1778" s="137"/>
      <c r="G1778" s="102"/>
      <c r="H1778" s="137"/>
      <c r="I1778" s="137"/>
      <c r="J1778" s="137"/>
      <c r="K1778" s="170"/>
      <c r="L1778" s="170"/>
      <c r="M1778" s="170"/>
      <c r="N1778" s="137"/>
      <c r="O1778" s="137"/>
    </row>
    <row r="1779" spans="1:15" x14ac:dyDescent="0.35">
      <c r="A1779" s="137"/>
      <c r="B1779" s="137"/>
      <c r="C1779" s="137"/>
      <c r="D1779" s="137"/>
      <c r="E1779" s="137"/>
      <c r="F1779" s="137"/>
      <c r="G1779" s="102"/>
      <c r="H1779" s="137"/>
      <c r="I1779" s="137"/>
      <c r="J1779" s="137"/>
      <c r="K1779" s="170"/>
      <c r="L1779" s="170"/>
      <c r="M1779" s="170"/>
      <c r="N1779" s="137"/>
      <c r="O1779" s="137"/>
    </row>
    <row r="1780" spans="1:15" x14ac:dyDescent="0.35">
      <c r="A1780" s="137"/>
      <c r="B1780" s="137"/>
      <c r="C1780" s="137"/>
      <c r="D1780" s="137"/>
      <c r="E1780" s="137"/>
      <c r="F1780" s="137"/>
      <c r="G1780" s="102"/>
      <c r="H1780" s="137"/>
      <c r="I1780" s="137"/>
      <c r="J1780" s="137"/>
      <c r="K1780" s="170"/>
      <c r="L1780" s="170"/>
      <c r="M1780" s="170"/>
      <c r="N1780" s="137"/>
      <c r="O1780" s="137"/>
    </row>
    <row r="1781" spans="1:15" x14ac:dyDescent="0.35">
      <c r="A1781" s="137"/>
      <c r="B1781" s="137"/>
      <c r="C1781" s="137"/>
      <c r="D1781" s="137"/>
      <c r="E1781" s="137"/>
      <c r="F1781" s="137"/>
      <c r="G1781" s="102"/>
      <c r="H1781" s="137"/>
      <c r="I1781" s="137"/>
      <c r="J1781" s="137"/>
      <c r="K1781" s="170"/>
      <c r="L1781" s="170"/>
      <c r="M1781" s="170"/>
      <c r="N1781" s="137"/>
      <c r="O1781" s="137"/>
    </row>
    <row r="1782" spans="1:15" x14ac:dyDescent="0.35">
      <c r="A1782" s="137"/>
      <c r="B1782" s="137"/>
      <c r="C1782" s="137"/>
      <c r="D1782" s="137"/>
      <c r="E1782" s="137"/>
      <c r="F1782" s="137"/>
      <c r="G1782" s="102"/>
      <c r="H1782" s="137"/>
      <c r="I1782" s="137"/>
      <c r="J1782" s="137"/>
      <c r="K1782" s="170"/>
      <c r="L1782" s="170"/>
      <c r="M1782" s="170"/>
      <c r="N1782" s="137"/>
      <c r="O1782" s="137"/>
    </row>
    <row r="1783" spans="1:15" x14ac:dyDescent="0.35">
      <c r="A1783" s="137"/>
      <c r="B1783" s="137"/>
      <c r="C1783" s="137"/>
      <c r="D1783" s="137"/>
      <c r="E1783" s="137"/>
      <c r="F1783" s="137"/>
      <c r="G1783" s="102"/>
      <c r="H1783" s="137"/>
      <c r="I1783" s="137"/>
      <c r="J1783" s="137"/>
      <c r="K1783" s="170"/>
      <c r="L1783" s="170"/>
      <c r="M1783" s="170"/>
      <c r="N1783" s="137"/>
      <c r="O1783" s="137"/>
    </row>
    <row r="1784" spans="1:15" x14ac:dyDescent="0.35">
      <c r="A1784" s="137"/>
      <c r="B1784" s="137"/>
      <c r="C1784" s="137"/>
      <c r="D1784" s="137"/>
      <c r="E1784" s="137"/>
      <c r="F1784" s="137"/>
      <c r="G1784" s="102"/>
      <c r="H1784" s="137"/>
      <c r="I1784" s="137"/>
      <c r="J1784" s="137"/>
      <c r="K1784" s="170"/>
      <c r="L1784" s="170"/>
      <c r="M1784" s="170"/>
      <c r="N1784" s="137"/>
      <c r="O1784" s="137"/>
    </row>
    <row r="1785" spans="1:15" x14ac:dyDescent="0.35">
      <c r="A1785" s="137"/>
      <c r="B1785" s="137"/>
      <c r="C1785" s="137"/>
      <c r="D1785" s="137"/>
      <c r="E1785" s="137"/>
      <c r="F1785" s="137"/>
      <c r="G1785" s="102"/>
      <c r="H1785" s="137"/>
      <c r="I1785" s="137"/>
      <c r="J1785" s="137"/>
      <c r="K1785" s="170"/>
      <c r="L1785" s="170"/>
      <c r="M1785" s="170"/>
    </row>
    <row r="1786" spans="1:15" x14ac:dyDescent="0.35">
      <c r="A1786" s="137"/>
      <c r="B1786" s="137"/>
      <c r="C1786" s="137"/>
      <c r="D1786" s="137"/>
      <c r="E1786" s="137"/>
      <c r="F1786" s="137"/>
      <c r="G1786" s="102"/>
      <c r="H1786" s="137"/>
      <c r="I1786" s="137"/>
      <c r="J1786" s="137"/>
      <c r="K1786" s="170"/>
      <c r="L1786" s="170"/>
      <c r="M1786" s="170"/>
    </row>
    <row r="1787" spans="1:15" x14ac:dyDescent="0.35">
      <c r="A1787" s="137"/>
      <c r="B1787" s="137"/>
      <c r="C1787" s="137"/>
      <c r="D1787" s="137"/>
      <c r="E1787" s="137"/>
      <c r="F1787" s="137"/>
      <c r="G1787" s="102"/>
      <c r="H1787" s="137"/>
      <c r="I1787" s="137"/>
      <c r="J1787" s="137"/>
      <c r="K1787" s="170"/>
      <c r="L1787" s="170"/>
      <c r="M1787" s="170"/>
      <c r="N1787" s="137"/>
      <c r="O1787" s="137"/>
    </row>
    <row r="1788" spans="1:15" x14ac:dyDescent="0.35">
      <c r="A1788" s="137"/>
      <c r="B1788" s="137"/>
      <c r="C1788" s="137"/>
      <c r="D1788" s="137"/>
      <c r="E1788" s="137"/>
      <c r="F1788" s="137"/>
      <c r="G1788" s="102"/>
      <c r="H1788" s="137"/>
      <c r="I1788" s="137"/>
      <c r="J1788" s="137"/>
      <c r="K1788" s="170"/>
      <c r="L1788" s="170"/>
      <c r="M1788" s="170"/>
      <c r="N1788" s="137"/>
      <c r="O1788" s="137"/>
    </row>
    <row r="1789" spans="1:15" x14ac:dyDescent="0.35">
      <c r="A1789" s="137"/>
      <c r="B1789" s="137"/>
      <c r="C1789" s="137"/>
      <c r="D1789" s="137"/>
      <c r="E1789" s="137"/>
      <c r="F1789" s="137"/>
      <c r="G1789" s="102"/>
      <c r="H1789" s="137"/>
      <c r="I1789" s="137"/>
      <c r="J1789" s="137"/>
      <c r="K1789" s="170"/>
      <c r="L1789" s="170"/>
      <c r="M1789" s="170"/>
      <c r="N1789" s="137"/>
      <c r="O1789" s="137"/>
    </row>
    <row r="1790" spans="1:15" x14ac:dyDescent="0.35">
      <c r="A1790" s="137"/>
      <c r="B1790" s="137"/>
      <c r="C1790" s="137"/>
      <c r="D1790" s="137"/>
      <c r="E1790" s="137"/>
      <c r="F1790" s="137"/>
      <c r="G1790" s="102"/>
      <c r="H1790" s="137"/>
      <c r="I1790" s="137"/>
      <c r="J1790" s="137"/>
      <c r="K1790" s="170"/>
      <c r="L1790" s="170"/>
      <c r="M1790" s="170"/>
      <c r="N1790" s="137"/>
      <c r="O1790" s="137"/>
    </row>
    <row r="1791" spans="1:15" x14ac:dyDescent="0.35">
      <c r="A1791" s="137"/>
      <c r="B1791" s="137"/>
      <c r="C1791" s="137"/>
      <c r="D1791" s="137"/>
      <c r="E1791" s="137"/>
      <c r="F1791" s="137"/>
      <c r="G1791" s="102"/>
      <c r="H1791" s="137"/>
      <c r="I1791" s="137"/>
      <c r="J1791" s="137"/>
      <c r="K1791" s="170"/>
      <c r="L1791" s="170"/>
      <c r="M1791" s="170"/>
      <c r="N1791" s="31"/>
      <c r="O1791" s="31"/>
    </row>
    <row r="1792" spans="1:15" x14ac:dyDescent="0.35">
      <c r="A1792" s="137"/>
      <c r="B1792" s="137"/>
      <c r="C1792" s="137"/>
      <c r="D1792" s="137"/>
      <c r="E1792" s="137"/>
      <c r="F1792" s="137"/>
      <c r="G1792" s="102"/>
      <c r="H1792" s="137"/>
      <c r="I1792" s="137"/>
      <c r="J1792" s="137"/>
      <c r="K1792" s="170"/>
      <c r="L1792" s="170"/>
      <c r="M1792" s="170"/>
    </row>
    <row r="1793" spans="1:15" x14ac:dyDescent="0.35">
      <c r="A1793" s="137"/>
      <c r="B1793" s="137"/>
      <c r="C1793" s="137"/>
      <c r="D1793" s="137"/>
      <c r="E1793" s="137"/>
      <c r="F1793" s="137"/>
      <c r="G1793" s="102"/>
      <c r="H1793" s="137"/>
      <c r="I1793" s="137"/>
      <c r="J1793" s="137"/>
      <c r="K1793" s="170"/>
      <c r="L1793" s="170"/>
      <c r="M1793" s="170"/>
      <c r="N1793" s="137"/>
      <c r="O1793" s="137"/>
    </row>
    <row r="1794" spans="1:15" x14ac:dyDescent="0.35">
      <c r="A1794" s="137"/>
      <c r="B1794" s="137"/>
      <c r="C1794" s="137"/>
      <c r="D1794" s="137"/>
      <c r="E1794" s="137"/>
      <c r="F1794" s="137"/>
      <c r="G1794" s="102"/>
      <c r="H1794" s="137"/>
      <c r="I1794" s="137"/>
      <c r="J1794" s="137"/>
      <c r="K1794" s="170"/>
      <c r="L1794" s="170"/>
      <c r="M1794" s="170"/>
    </row>
    <row r="1795" spans="1:15" x14ac:dyDescent="0.35">
      <c r="A1795" s="137"/>
      <c r="B1795" s="137"/>
      <c r="C1795" s="137"/>
      <c r="D1795" s="137"/>
      <c r="E1795" s="137"/>
      <c r="F1795" s="137"/>
      <c r="G1795" s="102"/>
      <c r="H1795" s="137"/>
      <c r="I1795" s="137"/>
      <c r="J1795" s="137"/>
      <c r="K1795" s="170"/>
      <c r="L1795" s="170"/>
      <c r="M1795" s="170"/>
      <c r="N1795" s="137"/>
      <c r="O1795" s="137"/>
    </row>
    <row r="1796" spans="1:15" x14ac:dyDescent="0.35">
      <c r="A1796" s="137"/>
      <c r="B1796" s="137"/>
      <c r="C1796" s="137"/>
      <c r="D1796" s="137"/>
      <c r="E1796" s="137"/>
      <c r="F1796" s="137"/>
      <c r="G1796" s="102"/>
      <c r="H1796" s="137"/>
      <c r="I1796" s="137"/>
      <c r="J1796" s="137"/>
      <c r="K1796" s="170"/>
      <c r="L1796" s="170"/>
      <c r="M1796" s="170"/>
    </row>
    <row r="1797" spans="1:15" x14ac:dyDescent="0.35">
      <c r="A1797" s="137"/>
      <c r="B1797" s="137"/>
      <c r="C1797" s="137"/>
      <c r="D1797" s="137"/>
      <c r="E1797" s="137"/>
      <c r="F1797" s="137"/>
      <c r="G1797" s="102"/>
      <c r="H1797" s="137"/>
      <c r="I1797" s="137"/>
      <c r="J1797" s="137"/>
      <c r="K1797" s="170"/>
      <c r="L1797" s="170"/>
      <c r="M1797" s="170"/>
    </row>
    <row r="1798" spans="1:15" x14ac:dyDescent="0.35">
      <c r="A1798" s="137"/>
      <c r="B1798" s="137"/>
      <c r="C1798" s="137"/>
      <c r="D1798" s="137"/>
      <c r="E1798" s="137"/>
      <c r="F1798" s="137"/>
      <c r="G1798" s="102"/>
      <c r="H1798" s="137"/>
      <c r="I1798" s="137"/>
      <c r="J1798" s="137"/>
      <c r="K1798" s="170"/>
      <c r="L1798" s="170"/>
      <c r="M1798" s="170"/>
    </row>
    <row r="1799" spans="1:15" x14ac:dyDescent="0.35">
      <c r="A1799" s="137"/>
      <c r="B1799" s="137"/>
      <c r="C1799" s="137"/>
      <c r="D1799" s="137"/>
      <c r="E1799" s="137"/>
      <c r="F1799" s="137"/>
      <c r="G1799" s="102"/>
      <c r="H1799" s="137"/>
      <c r="I1799" s="137"/>
      <c r="J1799" s="137"/>
      <c r="K1799" s="170"/>
      <c r="L1799" s="170"/>
      <c r="M1799" s="170"/>
      <c r="N1799" s="31"/>
      <c r="O1799" s="31"/>
    </row>
    <row r="1800" spans="1:15" x14ac:dyDescent="0.35">
      <c r="A1800" s="137"/>
      <c r="B1800" s="137"/>
      <c r="C1800" s="137"/>
      <c r="D1800" s="137"/>
      <c r="E1800" s="137"/>
      <c r="F1800" s="137"/>
      <c r="G1800" s="102"/>
      <c r="H1800" s="137"/>
      <c r="I1800" s="137"/>
      <c r="J1800" s="137"/>
      <c r="K1800" s="170"/>
      <c r="L1800" s="170"/>
      <c r="M1800" s="170"/>
      <c r="N1800" s="137"/>
      <c r="O1800" s="137"/>
    </row>
    <row r="1801" spans="1:15" x14ac:dyDescent="0.35">
      <c r="A1801" s="137"/>
      <c r="B1801" s="137"/>
      <c r="C1801" s="137"/>
      <c r="D1801" s="137"/>
      <c r="E1801" s="137"/>
      <c r="F1801" s="137"/>
      <c r="G1801" s="102"/>
      <c r="H1801" s="137"/>
      <c r="I1801" s="137"/>
      <c r="J1801" s="137"/>
      <c r="K1801" s="170"/>
      <c r="L1801" s="170"/>
      <c r="M1801" s="170"/>
      <c r="N1801" s="137"/>
      <c r="O1801" s="137"/>
    </row>
    <row r="1802" spans="1:15" x14ac:dyDescent="0.35">
      <c r="A1802" s="137"/>
      <c r="B1802" s="137"/>
      <c r="C1802" s="137"/>
      <c r="D1802" s="137"/>
      <c r="E1802" s="137"/>
      <c r="F1802" s="137"/>
      <c r="G1802" s="102"/>
      <c r="H1802" s="137"/>
      <c r="I1802" s="137"/>
      <c r="J1802" s="137"/>
      <c r="K1802" s="170"/>
      <c r="L1802" s="170"/>
      <c r="M1802" s="170"/>
      <c r="N1802" s="137"/>
      <c r="O1802" s="137"/>
    </row>
    <row r="1803" spans="1:15" x14ac:dyDescent="0.35">
      <c r="A1803" s="137"/>
      <c r="B1803" s="137"/>
      <c r="C1803" s="137"/>
      <c r="D1803" s="137"/>
      <c r="E1803" s="137"/>
      <c r="F1803" s="137"/>
      <c r="G1803" s="102"/>
      <c r="H1803" s="137"/>
      <c r="I1803" s="137"/>
      <c r="J1803" s="137"/>
      <c r="K1803" s="170"/>
      <c r="L1803" s="170"/>
      <c r="M1803" s="170"/>
      <c r="N1803" s="137"/>
      <c r="O1803" s="137"/>
    </row>
    <row r="1804" spans="1:15" x14ac:dyDescent="0.35">
      <c r="A1804" s="137"/>
      <c r="B1804" s="137"/>
      <c r="C1804" s="137"/>
      <c r="D1804" s="137"/>
      <c r="E1804" s="137"/>
      <c r="F1804" s="137"/>
      <c r="G1804" s="102"/>
      <c r="H1804" s="137"/>
      <c r="I1804" s="137"/>
      <c r="J1804" s="137"/>
      <c r="K1804" s="170"/>
      <c r="L1804" s="170"/>
      <c r="M1804" s="170"/>
      <c r="N1804" s="137"/>
      <c r="O1804" s="137"/>
    </row>
    <row r="1805" spans="1:15" x14ac:dyDescent="0.35">
      <c r="A1805" s="137"/>
      <c r="B1805" s="137"/>
      <c r="C1805" s="137"/>
      <c r="D1805" s="137"/>
      <c r="E1805" s="137"/>
      <c r="F1805" s="137"/>
      <c r="G1805" s="102"/>
      <c r="H1805" s="137"/>
      <c r="I1805" s="137"/>
      <c r="J1805" s="137"/>
      <c r="K1805" s="170"/>
      <c r="L1805" s="170"/>
      <c r="M1805" s="170"/>
      <c r="N1805" s="137"/>
      <c r="O1805" s="137"/>
    </row>
    <row r="1806" spans="1:15" x14ac:dyDescent="0.35">
      <c r="A1806" s="137"/>
      <c r="B1806" s="137"/>
      <c r="C1806" s="137"/>
      <c r="D1806" s="137"/>
      <c r="E1806" s="137"/>
      <c r="F1806" s="137"/>
      <c r="G1806" s="102"/>
      <c r="H1806" s="137"/>
      <c r="I1806" s="137"/>
      <c r="J1806" s="137"/>
      <c r="K1806" s="170"/>
      <c r="L1806" s="170"/>
      <c r="M1806" s="170"/>
    </row>
    <row r="1807" spans="1:15" x14ac:dyDescent="0.35">
      <c r="A1807" s="137"/>
      <c r="B1807" s="137"/>
      <c r="C1807" s="137"/>
      <c r="D1807" s="137"/>
      <c r="E1807" s="137"/>
      <c r="F1807" s="137"/>
      <c r="G1807" s="102"/>
      <c r="H1807" s="137"/>
      <c r="I1807" s="137"/>
      <c r="J1807" s="137"/>
      <c r="K1807" s="170"/>
      <c r="L1807" s="170"/>
      <c r="M1807" s="170"/>
      <c r="N1807" s="31"/>
      <c r="O1807" s="31"/>
    </row>
    <row r="1808" spans="1:15" x14ac:dyDescent="0.35">
      <c r="A1808" s="137"/>
      <c r="B1808" s="137"/>
      <c r="C1808" s="137"/>
      <c r="D1808" s="137"/>
      <c r="E1808" s="137"/>
      <c r="F1808" s="137"/>
      <c r="G1808" s="102"/>
      <c r="H1808" s="137"/>
      <c r="I1808" s="137"/>
      <c r="J1808" s="137"/>
      <c r="K1808" s="170"/>
      <c r="L1808" s="170"/>
      <c r="M1808" s="170"/>
    </row>
    <row r="1809" spans="1:15" x14ac:dyDescent="0.35">
      <c r="A1809" s="137"/>
      <c r="B1809" s="137"/>
      <c r="C1809" s="137"/>
      <c r="D1809" s="137"/>
      <c r="E1809" s="137"/>
      <c r="F1809" s="137"/>
      <c r="G1809" s="102"/>
      <c r="H1809" s="137"/>
      <c r="I1809" s="137"/>
      <c r="J1809" s="137"/>
      <c r="K1809" s="170"/>
      <c r="L1809" s="170"/>
      <c r="M1809" s="170"/>
    </row>
    <row r="1810" spans="1:15" x14ac:dyDescent="0.35">
      <c r="A1810" s="137"/>
      <c r="B1810" s="137"/>
      <c r="C1810" s="137"/>
      <c r="D1810" s="137"/>
      <c r="E1810" s="137"/>
      <c r="F1810" s="137"/>
      <c r="G1810" s="102"/>
      <c r="H1810" s="137"/>
      <c r="I1810" s="137"/>
      <c r="J1810" s="137"/>
      <c r="K1810" s="170"/>
      <c r="L1810" s="170"/>
      <c r="M1810" s="170"/>
    </row>
    <row r="1811" spans="1:15" x14ac:dyDescent="0.35">
      <c r="A1811" s="137"/>
      <c r="B1811" s="137"/>
      <c r="C1811" s="137"/>
      <c r="D1811" s="137"/>
      <c r="E1811" s="137"/>
      <c r="F1811" s="137"/>
      <c r="G1811" s="102"/>
      <c r="H1811" s="137"/>
      <c r="I1811" s="137"/>
      <c r="J1811" s="137"/>
      <c r="K1811" s="170"/>
      <c r="L1811" s="170"/>
      <c r="M1811" s="170"/>
      <c r="N1811" s="137"/>
      <c r="O1811" s="137"/>
    </row>
    <row r="1812" spans="1:15" x14ac:dyDescent="0.35">
      <c r="A1812" s="137"/>
      <c r="B1812" s="137"/>
      <c r="C1812" s="137"/>
      <c r="D1812" s="137"/>
      <c r="E1812" s="137"/>
      <c r="F1812" s="137"/>
      <c r="G1812" s="102"/>
      <c r="H1812" s="137"/>
      <c r="I1812" s="137"/>
      <c r="J1812" s="137"/>
      <c r="K1812" s="170"/>
      <c r="L1812" s="170"/>
      <c r="M1812" s="170"/>
    </row>
    <row r="1813" spans="1:15" x14ac:dyDescent="0.35">
      <c r="A1813" s="137"/>
      <c r="B1813" s="137"/>
      <c r="C1813" s="137"/>
      <c r="D1813" s="137"/>
      <c r="E1813" s="137"/>
      <c r="F1813" s="137"/>
      <c r="G1813" s="102"/>
      <c r="H1813" s="137"/>
      <c r="I1813" s="137"/>
      <c r="J1813" s="137"/>
      <c r="K1813" s="170"/>
      <c r="L1813" s="170"/>
      <c r="M1813" s="170"/>
    </row>
    <row r="1814" spans="1:15" x14ac:dyDescent="0.35">
      <c r="A1814" s="137"/>
      <c r="B1814" s="137"/>
      <c r="C1814" s="137"/>
      <c r="D1814" s="137"/>
      <c r="E1814" s="137"/>
      <c r="F1814" s="137"/>
      <c r="G1814" s="102"/>
      <c r="H1814" s="137"/>
      <c r="I1814" s="137"/>
      <c r="J1814" s="137"/>
      <c r="K1814" s="170"/>
      <c r="L1814" s="170"/>
      <c r="M1814" s="170"/>
    </row>
    <row r="1815" spans="1:15" x14ac:dyDescent="0.35">
      <c r="A1815" s="137"/>
      <c r="B1815" s="137"/>
      <c r="C1815" s="137"/>
      <c r="D1815" s="137"/>
      <c r="E1815" s="137"/>
      <c r="F1815" s="137"/>
      <c r="G1815" s="102"/>
      <c r="H1815" s="137"/>
      <c r="I1815" s="137"/>
      <c r="J1815" s="137"/>
      <c r="K1815" s="170"/>
      <c r="L1815" s="170"/>
      <c r="M1815" s="170"/>
      <c r="N1815" s="31"/>
      <c r="O1815" s="31"/>
    </row>
    <row r="1816" spans="1:15" x14ac:dyDescent="0.35">
      <c r="A1816" s="137"/>
      <c r="B1816" s="137"/>
      <c r="C1816" s="137"/>
      <c r="D1816" s="137"/>
      <c r="E1816" s="137"/>
      <c r="F1816" s="137"/>
      <c r="G1816" s="102"/>
      <c r="H1816" s="137"/>
      <c r="I1816" s="137"/>
      <c r="J1816" s="137"/>
      <c r="K1816" s="170"/>
      <c r="L1816" s="170"/>
      <c r="M1816" s="170"/>
      <c r="N1816" s="31"/>
      <c r="O1816" s="31"/>
    </row>
    <row r="1817" spans="1:15" x14ac:dyDescent="0.35">
      <c r="A1817" s="137"/>
      <c r="B1817" s="137"/>
      <c r="C1817" s="137"/>
      <c r="D1817" s="137"/>
      <c r="E1817" s="137"/>
      <c r="F1817" s="137"/>
      <c r="G1817" s="102"/>
      <c r="H1817" s="137"/>
      <c r="I1817" s="137"/>
      <c r="J1817" s="137"/>
      <c r="K1817" s="170"/>
      <c r="L1817" s="170"/>
      <c r="M1817" s="170"/>
      <c r="N1817" s="31"/>
      <c r="O1817" s="31"/>
    </row>
    <row r="1818" spans="1:15" x14ac:dyDescent="0.35">
      <c r="A1818" s="137"/>
      <c r="B1818" s="137"/>
      <c r="C1818" s="137"/>
      <c r="D1818" s="137"/>
      <c r="E1818" s="137"/>
      <c r="F1818" s="137"/>
      <c r="G1818" s="102"/>
      <c r="H1818" s="137"/>
      <c r="I1818" s="137"/>
      <c r="J1818" s="137"/>
      <c r="K1818" s="170"/>
      <c r="L1818" s="170"/>
      <c r="M1818" s="170"/>
    </row>
    <row r="1819" spans="1:15" x14ac:dyDescent="0.35">
      <c r="A1819" s="137"/>
      <c r="B1819" s="137"/>
      <c r="C1819" s="137"/>
      <c r="D1819" s="137"/>
      <c r="E1819" s="137"/>
      <c r="F1819" s="137"/>
      <c r="G1819" s="102"/>
      <c r="H1819" s="137"/>
      <c r="I1819" s="137"/>
      <c r="J1819" s="137"/>
      <c r="K1819" s="170"/>
      <c r="L1819" s="170"/>
      <c r="M1819" s="170"/>
      <c r="N1819" s="137"/>
      <c r="O1819" s="137"/>
    </row>
    <row r="1820" spans="1:15" x14ac:dyDescent="0.35">
      <c r="A1820" s="137"/>
      <c r="B1820" s="137"/>
      <c r="C1820" s="137"/>
      <c r="D1820" s="137"/>
      <c r="E1820" s="137"/>
      <c r="F1820" s="137"/>
      <c r="G1820" s="102"/>
      <c r="H1820" s="137"/>
      <c r="I1820" s="137"/>
      <c r="J1820" s="137"/>
      <c r="K1820" s="170"/>
      <c r="L1820" s="170"/>
      <c r="M1820" s="170"/>
      <c r="N1820" s="137"/>
      <c r="O1820" s="137"/>
    </row>
    <row r="1821" spans="1:15" x14ac:dyDescent="0.35">
      <c r="A1821" s="137"/>
      <c r="B1821" s="137"/>
      <c r="C1821" s="137"/>
      <c r="D1821" s="137"/>
      <c r="E1821" s="137"/>
      <c r="F1821" s="137"/>
      <c r="G1821" s="102"/>
      <c r="H1821" s="137"/>
      <c r="I1821" s="137"/>
      <c r="J1821" s="137"/>
      <c r="K1821" s="170"/>
      <c r="L1821" s="170"/>
      <c r="M1821" s="170"/>
      <c r="N1821" s="137"/>
      <c r="O1821" s="137"/>
    </row>
    <row r="1822" spans="1:15" x14ac:dyDescent="0.35">
      <c r="A1822" s="137"/>
      <c r="B1822" s="137"/>
      <c r="C1822" s="137"/>
      <c r="D1822" s="137"/>
      <c r="E1822" s="137"/>
      <c r="F1822" s="137"/>
      <c r="G1822" s="102"/>
      <c r="H1822" s="137"/>
      <c r="I1822" s="137"/>
      <c r="J1822" s="137"/>
      <c r="K1822" s="170"/>
      <c r="L1822" s="170"/>
      <c r="M1822" s="170"/>
      <c r="N1822" s="137"/>
      <c r="O1822" s="137"/>
    </row>
    <row r="1823" spans="1:15" x14ac:dyDescent="0.35">
      <c r="A1823" s="137"/>
      <c r="B1823" s="137"/>
      <c r="C1823" s="137"/>
      <c r="D1823" s="137"/>
      <c r="E1823" s="137"/>
      <c r="F1823" s="137"/>
      <c r="G1823" s="102"/>
      <c r="H1823" s="137"/>
      <c r="I1823" s="137"/>
      <c r="J1823" s="137"/>
      <c r="K1823" s="170"/>
      <c r="L1823" s="170"/>
      <c r="M1823" s="170"/>
      <c r="N1823" s="137"/>
      <c r="O1823" s="137"/>
    </row>
    <row r="1824" spans="1:15" x14ac:dyDescent="0.35">
      <c r="A1824" s="137"/>
      <c r="B1824" s="137"/>
      <c r="C1824" s="137"/>
      <c r="D1824" s="137"/>
      <c r="E1824" s="137"/>
      <c r="F1824" s="137"/>
      <c r="G1824" s="102"/>
      <c r="H1824" s="137"/>
      <c r="I1824" s="137"/>
      <c r="J1824" s="137"/>
      <c r="K1824" s="170"/>
      <c r="L1824" s="170"/>
      <c r="M1824" s="170"/>
      <c r="N1824" s="137"/>
      <c r="O1824" s="137"/>
    </row>
  </sheetData>
  <mergeCells count="1">
    <mergeCell ref="AD6:AE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05583-B4B9-40ED-B514-704E529AAB10}">
  <sheetPr>
    <tabColor rgb="FF92D050"/>
  </sheetPr>
  <dimension ref="A1:AF1824"/>
  <sheetViews>
    <sheetView workbookViewId="0">
      <selection activeCell="C3" sqref="C3"/>
    </sheetView>
  </sheetViews>
  <sheetFormatPr defaultRowHeight="14.5" x14ac:dyDescent="0.35"/>
  <cols>
    <col min="3" max="3" width="10.7265625" customWidth="1"/>
    <col min="4" max="4" width="10.1796875" style="3" bestFit="1" customWidth="1"/>
    <col min="5" max="5" width="10.7265625" style="19" bestFit="1" customWidth="1"/>
    <col min="6" max="6" width="6.1796875" customWidth="1"/>
    <col min="7" max="7" width="11.54296875" style="55" customWidth="1"/>
    <col min="8" max="8" width="18.453125" style="48" customWidth="1"/>
    <col min="9" max="9" width="31.1796875" style="48" bestFit="1" customWidth="1"/>
    <col min="10" max="10" width="6" customWidth="1"/>
    <col min="11" max="11" width="27.81640625" bestFit="1" customWidth="1"/>
    <col min="12" max="12" width="9.7265625" customWidth="1"/>
    <col min="13" max="13" width="26.81640625" customWidth="1"/>
    <col min="14" max="14" width="14.81640625" customWidth="1"/>
    <col min="15" max="15" width="28.54296875" customWidth="1"/>
    <col min="16" max="16" width="3.54296875" style="5" customWidth="1"/>
    <col min="17" max="17" width="10.1796875" style="3" bestFit="1" customWidth="1"/>
    <col min="18" max="18" width="17.81640625" style="48" customWidth="1"/>
    <col min="19" max="19" width="30.7265625" style="48" customWidth="1"/>
    <col min="22" max="22" width="9.1796875" style="3" bestFit="1" customWidth="1"/>
    <col min="30" max="30" width="9.1796875" bestFit="1" customWidth="1"/>
  </cols>
  <sheetData>
    <row r="1" spans="1:32" x14ac:dyDescent="0.35">
      <c r="A1" t="s">
        <v>59</v>
      </c>
      <c r="C1">
        <v>5160002000</v>
      </c>
    </row>
    <row r="2" spans="1:32" x14ac:dyDescent="0.35">
      <c r="A2" t="s">
        <v>60</v>
      </c>
      <c r="C2" t="str">
        <f>D8</f>
        <v>Client periodicals/magazines</v>
      </c>
      <c r="F2" t="s">
        <v>98</v>
      </c>
    </row>
    <row r="3" spans="1:32" x14ac:dyDescent="0.35">
      <c r="A3" t="s">
        <v>61</v>
      </c>
      <c r="C3" s="22">
        <v>209.96</v>
      </c>
      <c r="F3" t="s">
        <v>305</v>
      </c>
      <c r="T3" s="24" t="s">
        <v>0</v>
      </c>
      <c r="U3" s="24"/>
      <c r="V3" s="3">
        <f>SUMIF($A$10:$A$23974,"AU001",V8:V23972)</f>
        <v>0</v>
      </c>
      <c r="AC3" t="s">
        <v>0</v>
      </c>
      <c r="AD3" s="3">
        <f>SUMIF($A$8:$A$100000,"AU001",$AD$8:$AD$100000)</f>
        <v>0</v>
      </c>
      <c r="AE3" s="3">
        <f>SUMIF($A$8:$A$100000,"AU001",$AE$8:$AE$100000)</f>
        <v>0</v>
      </c>
    </row>
    <row r="4" spans="1:32" x14ac:dyDescent="0.35">
      <c r="A4" t="s">
        <v>36</v>
      </c>
      <c r="C4" s="115">
        <f>SUM(E:E)</f>
        <v>209.96</v>
      </c>
      <c r="F4" t="s">
        <v>306</v>
      </c>
      <c r="T4" s="24" t="s">
        <v>27</v>
      </c>
      <c r="U4" s="24"/>
      <c r="V4" s="3">
        <f>SUMIF($A$10:$A$23975,"AU052",V8:V23973)</f>
        <v>0</v>
      </c>
      <c r="AC4" t="s">
        <v>27</v>
      </c>
      <c r="AD4" s="3">
        <f>SUMIF($A$8:$A$100000,"AU052",$AD$8:$AD$100000)</f>
        <v>0</v>
      </c>
      <c r="AE4" s="3">
        <f>SUMIF($A$8:$A$100000,"AU052",$AE$8:$AE$100000)</f>
        <v>0</v>
      </c>
    </row>
    <row r="5" spans="1:32" ht="15" thickBot="1" x14ac:dyDescent="0.4">
      <c r="A5" t="s">
        <v>62</v>
      </c>
      <c r="C5" s="3">
        <f>C3-C4</f>
        <v>0</v>
      </c>
      <c r="Q5" s="28"/>
      <c r="R5" s="50"/>
      <c r="V5" s="3">
        <f>V312</f>
        <v>0</v>
      </c>
    </row>
    <row r="6" spans="1:32" ht="15" thickBot="1" x14ac:dyDescent="0.4">
      <c r="F6" s="19"/>
      <c r="AD6" s="207" t="s">
        <v>35</v>
      </c>
      <c r="AE6" s="208"/>
    </row>
    <row r="7" spans="1:32" ht="87.5" thickBot="1" x14ac:dyDescent="0.4">
      <c r="A7" s="147" t="s">
        <v>63</v>
      </c>
      <c r="B7" s="147" t="s">
        <v>313</v>
      </c>
      <c r="C7" s="147" t="s">
        <v>64</v>
      </c>
      <c r="D7" s="147" t="s">
        <v>65</v>
      </c>
      <c r="E7" s="147" t="s">
        <v>66</v>
      </c>
      <c r="F7" s="147" t="s">
        <v>67</v>
      </c>
      <c r="G7" s="101" t="s">
        <v>68</v>
      </c>
      <c r="H7" s="147" t="s">
        <v>69</v>
      </c>
      <c r="I7" s="147" t="s">
        <v>70</v>
      </c>
      <c r="J7" s="147" t="s">
        <v>71</v>
      </c>
      <c r="K7" s="147" t="s">
        <v>72</v>
      </c>
      <c r="L7" s="147" t="s">
        <v>73</v>
      </c>
      <c r="M7" s="147" t="s">
        <v>74</v>
      </c>
      <c r="N7" s="147" t="s">
        <v>75</v>
      </c>
      <c r="O7" s="147" t="s">
        <v>304</v>
      </c>
      <c r="Q7" s="29" t="s">
        <v>95</v>
      </c>
      <c r="R7" s="25" t="s">
        <v>76</v>
      </c>
      <c r="S7" s="8" t="s">
        <v>37</v>
      </c>
      <c r="T7" s="7" t="s">
        <v>38</v>
      </c>
      <c r="U7" s="7" t="s">
        <v>417</v>
      </c>
      <c r="V7" s="57" t="s">
        <v>39</v>
      </c>
      <c r="W7" s="9" t="s">
        <v>40</v>
      </c>
      <c r="X7" s="10" t="s">
        <v>41</v>
      </c>
      <c r="Y7" s="11" t="s">
        <v>42</v>
      </c>
      <c r="Z7" s="12" t="s">
        <v>43</v>
      </c>
      <c r="AA7" s="13" t="s">
        <v>44</v>
      </c>
      <c r="AB7" s="13" t="s">
        <v>45</v>
      </c>
      <c r="AC7" s="13" t="s">
        <v>46</v>
      </c>
      <c r="AD7" s="14" t="s">
        <v>47</v>
      </c>
      <c r="AE7" s="14" t="s">
        <v>48</v>
      </c>
      <c r="AF7" s="15" t="s">
        <v>49</v>
      </c>
    </row>
    <row r="8" spans="1:32" x14ac:dyDescent="0.35">
      <c r="A8" s="146" t="s">
        <v>27</v>
      </c>
      <c r="B8" s="146" t="s">
        <v>496</v>
      </c>
      <c r="C8" s="146" t="s">
        <v>30</v>
      </c>
      <c r="D8" s="146" t="s">
        <v>31</v>
      </c>
      <c r="E8" s="146">
        <v>48.06</v>
      </c>
      <c r="F8" s="146" t="s">
        <v>77</v>
      </c>
      <c r="G8" s="102">
        <v>45670</v>
      </c>
      <c r="H8" s="146" t="s">
        <v>78</v>
      </c>
      <c r="I8" s="146" t="s">
        <v>2480</v>
      </c>
      <c r="J8" s="146"/>
      <c r="K8" s="146" t="s">
        <v>2481</v>
      </c>
      <c r="L8" s="146" t="s">
        <v>2482</v>
      </c>
      <c r="M8" s="146" t="s">
        <v>2483</v>
      </c>
      <c r="N8" s="146"/>
      <c r="O8" s="146"/>
      <c r="Q8" s="3">
        <f t="shared" ref="Q8:Q12" si="0">ABS(E8)</f>
        <v>48.06</v>
      </c>
    </row>
    <row r="9" spans="1:32" x14ac:dyDescent="0.35">
      <c r="A9" s="146" t="s">
        <v>27</v>
      </c>
      <c r="B9" s="146" t="s">
        <v>2484</v>
      </c>
      <c r="C9" s="146" t="s">
        <v>30</v>
      </c>
      <c r="D9" s="146" t="s">
        <v>31</v>
      </c>
      <c r="E9" s="146">
        <v>19.239999999999998</v>
      </c>
      <c r="F9" s="146" t="s">
        <v>77</v>
      </c>
      <c r="G9" s="102">
        <v>45674</v>
      </c>
      <c r="H9" s="146" t="s">
        <v>79</v>
      </c>
      <c r="I9" s="146" t="s">
        <v>2485</v>
      </c>
      <c r="K9" s="146" t="s">
        <v>2486</v>
      </c>
      <c r="L9" s="146"/>
      <c r="M9" s="146"/>
      <c r="N9" s="146"/>
      <c r="O9" s="146" t="s">
        <v>2487</v>
      </c>
      <c r="Q9" s="3">
        <f t="shared" si="0"/>
        <v>19.239999999999998</v>
      </c>
    </row>
    <row r="10" spans="1:32" x14ac:dyDescent="0.35">
      <c r="A10" s="146" t="s">
        <v>27</v>
      </c>
      <c r="B10" s="146" t="s">
        <v>2484</v>
      </c>
      <c r="C10" s="146" t="s">
        <v>30</v>
      </c>
      <c r="D10" s="146" t="s">
        <v>31</v>
      </c>
      <c r="E10" s="146">
        <v>19.239999999999998</v>
      </c>
      <c r="F10" s="146" t="s">
        <v>77</v>
      </c>
      <c r="G10" s="102">
        <v>45685</v>
      </c>
      <c r="H10" s="146" t="s">
        <v>79</v>
      </c>
      <c r="I10" s="146" t="s">
        <v>2485</v>
      </c>
      <c r="K10" s="146" t="s">
        <v>2488</v>
      </c>
      <c r="L10" s="146"/>
      <c r="M10" s="146"/>
      <c r="N10" s="146"/>
      <c r="O10" s="146" t="s">
        <v>2489</v>
      </c>
      <c r="Q10" s="3">
        <f t="shared" si="0"/>
        <v>19.239999999999998</v>
      </c>
    </row>
    <row r="11" spans="1:32" x14ac:dyDescent="0.35">
      <c r="A11" s="146" t="s">
        <v>27</v>
      </c>
      <c r="B11" s="146" t="s">
        <v>496</v>
      </c>
      <c r="C11" s="146" t="s">
        <v>30</v>
      </c>
      <c r="D11" s="146" t="s">
        <v>31</v>
      </c>
      <c r="E11" s="146">
        <v>69.180000000000007</v>
      </c>
      <c r="F11" s="146" t="s">
        <v>77</v>
      </c>
      <c r="G11" s="102">
        <v>45691</v>
      </c>
      <c r="H11" s="146" t="s">
        <v>78</v>
      </c>
      <c r="I11" s="146" t="s">
        <v>2490</v>
      </c>
      <c r="J11" s="146"/>
      <c r="K11" s="146" t="s">
        <v>2491</v>
      </c>
      <c r="L11" s="146" t="s">
        <v>2492</v>
      </c>
      <c r="M11" s="146" t="s">
        <v>2483</v>
      </c>
      <c r="N11" s="146"/>
      <c r="O11" s="146"/>
      <c r="Q11" s="3">
        <f t="shared" si="0"/>
        <v>69.180000000000007</v>
      </c>
    </row>
    <row r="12" spans="1:32" x14ac:dyDescent="0.35">
      <c r="A12" s="146" t="s">
        <v>27</v>
      </c>
      <c r="B12" s="146" t="s">
        <v>496</v>
      </c>
      <c r="C12" s="146" t="s">
        <v>30</v>
      </c>
      <c r="D12" s="146" t="s">
        <v>31</v>
      </c>
      <c r="E12" s="146">
        <v>54.24</v>
      </c>
      <c r="F12" s="146" t="s">
        <v>77</v>
      </c>
      <c r="G12" s="102">
        <v>45719</v>
      </c>
      <c r="H12" s="146" t="s">
        <v>78</v>
      </c>
      <c r="I12" s="146" t="s">
        <v>2493</v>
      </c>
      <c r="J12" s="146"/>
      <c r="K12" s="146" t="s">
        <v>2494</v>
      </c>
      <c r="L12" s="146" t="s">
        <v>2495</v>
      </c>
      <c r="M12" s="146" t="s">
        <v>2483</v>
      </c>
      <c r="N12" s="146"/>
      <c r="O12" s="146"/>
      <c r="Q12" s="3">
        <f t="shared" si="0"/>
        <v>54.24</v>
      </c>
    </row>
    <row r="13" spans="1:32" x14ac:dyDescent="0.35">
      <c r="A13" s="145"/>
      <c r="B13" s="145"/>
      <c r="C13" s="145"/>
      <c r="D13" s="145"/>
      <c r="E13" s="145"/>
      <c r="F13" s="145"/>
      <c r="G13" s="102"/>
      <c r="H13" s="145"/>
      <c r="I13" s="145"/>
      <c r="J13" s="145"/>
      <c r="K13" s="145"/>
      <c r="L13" s="145"/>
      <c r="M13" s="145"/>
      <c r="N13" s="145"/>
      <c r="O13" s="145"/>
    </row>
    <row r="14" spans="1:32" x14ac:dyDescent="0.35">
      <c r="A14" s="145"/>
      <c r="B14" s="145"/>
      <c r="C14" s="145"/>
      <c r="D14" s="145"/>
      <c r="E14" s="145"/>
      <c r="F14" s="145"/>
      <c r="G14" s="102"/>
      <c r="H14" s="145"/>
      <c r="I14" s="145"/>
      <c r="J14" s="145"/>
      <c r="K14" s="145"/>
      <c r="L14" s="145"/>
      <c r="M14" s="145"/>
    </row>
    <row r="15" spans="1:32" x14ac:dyDescent="0.35">
      <c r="A15" s="145"/>
      <c r="B15" s="145"/>
      <c r="C15" s="145"/>
      <c r="D15" s="145"/>
      <c r="E15" s="145"/>
      <c r="F15" s="145"/>
      <c r="G15" s="102"/>
      <c r="H15" s="145"/>
      <c r="I15" s="145"/>
      <c r="J15" s="145"/>
      <c r="K15" s="145"/>
      <c r="L15" s="145"/>
      <c r="M15" s="145"/>
      <c r="N15" s="145"/>
      <c r="O15" s="145"/>
    </row>
    <row r="16" spans="1:32" x14ac:dyDescent="0.35">
      <c r="A16" s="145"/>
      <c r="B16" s="145"/>
      <c r="C16" s="145"/>
      <c r="D16" s="145"/>
      <c r="E16" s="145"/>
      <c r="F16" s="145"/>
      <c r="G16" s="102"/>
      <c r="H16" s="145"/>
      <c r="I16" s="145"/>
      <c r="J16" s="145"/>
      <c r="K16" s="145"/>
      <c r="L16" s="145"/>
      <c r="M16" s="145"/>
      <c r="N16" s="145"/>
      <c r="O16" s="145"/>
    </row>
    <row r="17" spans="1:15" x14ac:dyDescent="0.35">
      <c r="A17" s="145"/>
      <c r="B17" s="145"/>
      <c r="C17" s="145"/>
      <c r="D17" s="145"/>
      <c r="E17" s="145"/>
      <c r="F17" s="145"/>
      <c r="G17" s="102"/>
      <c r="H17" s="145"/>
      <c r="I17" s="145"/>
      <c r="J17" s="145"/>
      <c r="K17" s="145"/>
      <c r="L17" s="145"/>
      <c r="M17" s="145"/>
      <c r="N17" s="145"/>
      <c r="O17" s="145"/>
    </row>
    <row r="18" spans="1:15" x14ac:dyDescent="0.35">
      <c r="A18" s="145"/>
      <c r="B18" s="145"/>
      <c r="C18" s="145"/>
      <c r="D18" s="145"/>
      <c r="E18" s="145"/>
      <c r="F18" s="145"/>
      <c r="G18" s="102"/>
      <c r="H18" s="145"/>
      <c r="I18" s="145"/>
      <c r="J18" s="145"/>
      <c r="K18" s="145"/>
      <c r="L18" s="145"/>
      <c r="M18" s="145"/>
      <c r="N18" s="145"/>
      <c r="O18" s="145"/>
    </row>
    <row r="19" spans="1:15" x14ac:dyDescent="0.35">
      <c r="A19" s="145"/>
      <c r="B19" s="145"/>
      <c r="C19" s="145"/>
      <c r="D19" s="145"/>
      <c r="E19" s="145"/>
      <c r="F19" s="145"/>
      <c r="G19" s="102"/>
      <c r="H19" s="145"/>
      <c r="I19" s="145"/>
      <c r="J19" s="145"/>
      <c r="K19" s="145"/>
      <c r="L19" s="145"/>
      <c r="M19" s="145"/>
      <c r="N19" s="145"/>
      <c r="O19" s="145"/>
    </row>
    <row r="20" spans="1:15" x14ac:dyDescent="0.35">
      <c r="A20" s="145"/>
      <c r="B20" s="145"/>
      <c r="C20" s="145"/>
      <c r="D20" s="145"/>
      <c r="E20" s="145"/>
      <c r="F20" s="145"/>
      <c r="G20" s="102"/>
      <c r="H20" s="145"/>
      <c r="I20" s="145"/>
      <c r="J20" s="145"/>
      <c r="K20" s="145"/>
      <c r="L20" s="145"/>
      <c r="M20" s="145"/>
      <c r="N20" s="145"/>
      <c r="O20" s="145"/>
    </row>
    <row r="21" spans="1:15" x14ac:dyDescent="0.35">
      <c r="A21" s="145"/>
      <c r="B21" s="145"/>
      <c r="C21" s="145"/>
      <c r="D21" s="145"/>
      <c r="E21" s="145"/>
      <c r="F21" s="145"/>
      <c r="G21" s="102"/>
      <c r="H21" s="145"/>
      <c r="I21" s="145"/>
      <c r="J21" s="145"/>
      <c r="K21" s="145"/>
      <c r="L21" s="145"/>
      <c r="M21" s="145"/>
    </row>
    <row r="22" spans="1:15" x14ac:dyDescent="0.35">
      <c r="A22" s="145"/>
      <c r="B22" s="145"/>
      <c r="C22" s="145"/>
      <c r="D22" s="145"/>
      <c r="E22" s="145"/>
      <c r="F22" s="145"/>
      <c r="G22" s="102"/>
      <c r="H22" s="145"/>
      <c r="I22" s="145"/>
      <c r="J22" s="145"/>
      <c r="K22" s="145"/>
      <c r="L22" s="145"/>
      <c r="M22" s="145"/>
      <c r="N22" s="145"/>
      <c r="O22" s="145"/>
    </row>
    <row r="23" spans="1:15" x14ac:dyDescent="0.35">
      <c r="A23" s="145"/>
      <c r="B23" s="145"/>
      <c r="C23" s="145"/>
      <c r="D23" s="145"/>
      <c r="E23" s="145"/>
      <c r="F23" s="145"/>
      <c r="G23" s="102"/>
      <c r="H23" s="145"/>
      <c r="I23" s="145"/>
      <c r="J23" s="145"/>
      <c r="K23" s="145"/>
      <c r="L23" s="145"/>
      <c r="M23" s="145"/>
      <c r="N23" s="145"/>
      <c r="O23" s="145"/>
    </row>
    <row r="24" spans="1:15" x14ac:dyDescent="0.35">
      <c r="A24" s="145"/>
      <c r="B24" s="145"/>
      <c r="C24" s="145"/>
      <c r="D24" s="145"/>
      <c r="E24" s="145"/>
      <c r="F24" s="145"/>
      <c r="G24" s="102"/>
      <c r="H24" s="145"/>
      <c r="I24" s="145"/>
      <c r="J24" s="145"/>
      <c r="K24" s="145"/>
      <c r="L24" s="145"/>
      <c r="M24" s="145"/>
      <c r="N24" s="145"/>
      <c r="O24" s="145"/>
    </row>
    <row r="25" spans="1:15" x14ac:dyDescent="0.35">
      <c r="A25" s="145"/>
      <c r="B25" s="145"/>
      <c r="C25" s="145"/>
      <c r="D25" s="145"/>
      <c r="E25" s="145"/>
      <c r="F25" s="145"/>
      <c r="G25" s="102"/>
      <c r="H25" s="145"/>
      <c r="I25" s="145"/>
      <c r="J25" s="145"/>
      <c r="K25" s="145"/>
      <c r="L25" s="145"/>
      <c r="M25" s="145"/>
      <c r="N25" s="145"/>
      <c r="O25" s="145"/>
    </row>
    <row r="26" spans="1:15" x14ac:dyDescent="0.35">
      <c r="A26" s="145"/>
      <c r="B26" s="145"/>
      <c r="C26" s="145"/>
      <c r="D26" s="145"/>
      <c r="E26" s="145"/>
      <c r="F26" s="145"/>
      <c r="G26" s="102"/>
      <c r="H26" s="145"/>
      <c r="I26" s="145"/>
      <c r="J26" s="145"/>
      <c r="K26" s="145"/>
      <c r="L26" s="145"/>
      <c r="M26" s="145"/>
      <c r="N26" s="145"/>
      <c r="O26" s="145"/>
    </row>
    <row r="27" spans="1:15" x14ac:dyDescent="0.35">
      <c r="A27" s="145"/>
      <c r="B27" s="145"/>
      <c r="C27" s="145"/>
      <c r="D27" s="145"/>
      <c r="E27" s="145"/>
      <c r="F27" s="145"/>
      <c r="G27" s="102"/>
      <c r="H27" s="145"/>
      <c r="I27" s="145"/>
      <c r="J27" s="145"/>
      <c r="K27" s="145"/>
      <c r="L27" s="145"/>
      <c r="M27" s="145"/>
      <c r="N27" s="145"/>
      <c r="O27" s="145"/>
    </row>
    <row r="28" spans="1:15" x14ac:dyDescent="0.35">
      <c r="A28" s="145"/>
      <c r="B28" s="145"/>
      <c r="C28" s="145"/>
      <c r="D28" s="145"/>
      <c r="E28" s="145"/>
      <c r="F28" s="145"/>
      <c r="G28" s="102"/>
      <c r="H28" s="145"/>
      <c r="I28" s="145"/>
      <c r="J28" s="145"/>
      <c r="K28" s="145"/>
      <c r="L28" s="145"/>
      <c r="M28" s="145"/>
      <c r="N28" s="145"/>
      <c r="O28" s="145"/>
    </row>
    <row r="29" spans="1:15" x14ac:dyDescent="0.35">
      <c r="A29" s="145"/>
      <c r="B29" s="145"/>
      <c r="C29" s="145"/>
      <c r="D29" s="145"/>
      <c r="E29" s="145"/>
      <c r="F29" s="145"/>
      <c r="G29" s="102"/>
      <c r="H29" s="145"/>
      <c r="I29" s="145"/>
      <c r="J29" s="145"/>
      <c r="K29" s="145"/>
      <c r="L29" s="145"/>
      <c r="M29" s="145"/>
      <c r="N29" s="145"/>
      <c r="O29" s="145"/>
    </row>
    <row r="30" spans="1:15" x14ac:dyDescent="0.35">
      <c r="A30" s="145"/>
      <c r="B30" s="145"/>
      <c r="C30" s="145"/>
      <c r="D30" s="145"/>
      <c r="E30" s="145"/>
      <c r="F30" s="145"/>
      <c r="G30" s="102"/>
      <c r="H30" s="145"/>
      <c r="I30" s="145"/>
      <c r="J30" s="145"/>
      <c r="K30" s="145"/>
      <c r="L30" s="145"/>
      <c r="M30" s="145"/>
      <c r="N30" s="145"/>
      <c r="O30" s="145"/>
    </row>
    <row r="31" spans="1:15" x14ac:dyDescent="0.35">
      <c r="A31" s="145"/>
      <c r="B31" s="145"/>
      <c r="C31" s="145"/>
      <c r="D31" s="145"/>
      <c r="E31" s="145"/>
      <c r="F31" s="145"/>
      <c r="G31" s="102"/>
      <c r="H31" s="145"/>
      <c r="I31" s="145"/>
      <c r="J31" s="145"/>
      <c r="K31" s="145"/>
      <c r="L31" s="145"/>
      <c r="M31" s="145"/>
      <c r="N31" s="145"/>
      <c r="O31" s="145"/>
    </row>
    <row r="32" spans="1:15" x14ac:dyDescent="0.35">
      <c r="A32" s="145"/>
      <c r="B32" s="145"/>
      <c r="C32" s="145"/>
      <c r="D32" s="145"/>
      <c r="E32" s="145"/>
      <c r="F32" s="145"/>
      <c r="G32" s="102"/>
      <c r="H32" s="145"/>
      <c r="I32" s="145"/>
      <c r="J32" s="145"/>
      <c r="K32" s="145"/>
      <c r="L32" s="145"/>
      <c r="M32" s="145"/>
      <c r="N32" s="145"/>
      <c r="O32" s="145"/>
    </row>
    <row r="33" spans="1:30" x14ac:dyDescent="0.35">
      <c r="A33" s="145"/>
      <c r="B33" s="145"/>
      <c r="C33" s="145"/>
      <c r="D33" s="145"/>
      <c r="E33" s="145"/>
      <c r="F33" s="145"/>
      <c r="G33" s="102"/>
      <c r="H33" s="145"/>
      <c r="I33" s="145"/>
      <c r="J33" s="145"/>
      <c r="K33" s="145"/>
      <c r="L33" s="145"/>
      <c r="M33" s="145"/>
      <c r="N33" s="145"/>
      <c r="O33" s="145"/>
    </row>
    <row r="34" spans="1:30" x14ac:dyDescent="0.35">
      <c r="A34" s="145"/>
      <c r="B34" s="145"/>
      <c r="C34" s="145"/>
      <c r="D34" s="145"/>
      <c r="E34" s="145"/>
      <c r="F34" s="145"/>
      <c r="G34" s="102"/>
      <c r="H34" s="145"/>
      <c r="I34" s="145"/>
      <c r="J34" s="145"/>
      <c r="K34" s="145"/>
      <c r="L34" s="145"/>
      <c r="M34" s="145"/>
      <c r="N34" s="145"/>
      <c r="O34" s="145"/>
    </row>
    <row r="35" spans="1:30" x14ac:dyDescent="0.35">
      <c r="A35" s="145"/>
      <c r="B35" s="145"/>
      <c r="C35" s="145"/>
      <c r="D35" s="145"/>
      <c r="E35" s="145"/>
      <c r="F35" s="145"/>
      <c r="G35" s="102"/>
      <c r="H35" s="145"/>
      <c r="I35" s="145"/>
      <c r="J35" s="145"/>
      <c r="K35" s="145"/>
      <c r="L35" s="145"/>
      <c r="M35" s="145"/>
      <c r="N35" s="145"/>
      <c r="O35" s="145"/>
    </row>
    <row r="36" spans="1:30" x14ac:dyDescent="0.35">
      <c r="A36" s="145"/>
      <c r="B36" s="145"/>
      <c r="C36" s="145"/>
      <c r="D36" s="145"/>
      <c r="E36" s="145"/>
      <c r="F36" s="145"/>
      <c r="G36" s="102"/>
      <c r="H36" s="145"/>
      <c r="I36" s="145"/>
      <c r="J36" s="145"/>
      <c r="K36" s="145"/>
      <c r="L36" s="145"/>
      <c r="M36" s="145"/>
      <c r="N36" s="145"/>
      <c r="O36" s="145"/>
      <c r="AD36" s="26"/>
    </row>
    <row r="37" spans="1:30" x14ac:dyDescent="0.35">
      <c r="A37" s="145"/>
      <c r="B37" s="145"/>
      <c r="C37" s="145"/>
      <c r="D37" s="145"/>
      <c r="E37" s="145"/>
      <c r="F37" s="145"/>
      <c r="G37" s="102"/>
      <c r="H37" s="145"/>
      <c r="I37" s="145"/>
      <c r="J37" s="145"/>
      <c r="K37" s="145"/>
      <c r="L37" s="145"/>
      <c r="M37" s="145"/>
      <c r="N37" s="31"/>
      <c r="O37" s="31"/>
    </row>
    <row r="38" spans="1:30" x14ac:dyDescent="0.35">
      <c r="A38" s="145"/>
      <c r="B38" s="145"/>
      <c r="C38" s="145"/>
      <c r="D38" s="145"/>
      <c r="E38" s="145"/>
      <c r="F38" s="145"/>
      <c r="G38" s="102"/>
      <c r="H38" s="145"/>
      <c r="I38" s="145"/>
      <c r="J38" s="145"/>
      <c r="K38" s="145"/>
      <c r="L38" s="145"/>
      <c r="M38" s="145"/>
      <c r="N38" s="145"/>
      <c r="O38" s="145"/>
    </row>
    <row r="39" spans="1:30" x14ac:dyDescent="0.35">
      <c r="A39" s="145"/>
      <c r="B39" s="145"/>
      <c r="C39" s="145"/>
      <c r="D39" s="145"/>
      <c r="E39" s="145"/>
      <c r="F39" s="145"/>
      <c r="G39" s="102"/>
      <c r="H39" s="145"/>
      <c r="I39" s="145"/>
      <c r="J39" s="145"/>
      <c r="K39" s="145"/>
      <c r="L39" s="145"/>
      <c r="M39" s="145"/>
    </row>
    <row r="40" spans="1:30" x14ac:dyDescent="0.35">
      <c r="A40" s="145"/>
      <c r="B40" s="145"/>
      <c r="C40" s="145"/>
      <c r="D40" s="145"/>
      <c r="E40" s="145"/>
      <c r="F40" s="145"/>
      <c r="G40" s="102"/>
      <c r="H40" s="145"/>
      <c r="I40" s="145"/>
      <c r="J40" s="145"/>
      <c r="K40" s="145"/>
      <c r="L40" s="145"/>
      <c r="M40" s="145"/>
      <c r="N40" s="145"/>
      <c r="O40" s="145"/>
    </row>
    <row r="41" spans="1:30" x14ac:dyDescent="0.35">
      <c r="A41" s="145"/>
      <c r="B41" s="145"/>
      <c r="C41" s="145"/>
      <c r="D41" s="145"/>
      <c r="E41" s="145"/>
      <c r="F41" s="145"/>
      <c r="G41" s="102"/>
      <c r="H41" s="145"/>
      <c r="I41" s="145"/>
      <c r="J41" s="145"/>
      <c r="K41" s="145"/>
      <c r="L41" s="145"/>
      <c r="M41" s="145"/>
      <c r="N41" s="145"/>
      <c r="O41" s="145"/>
    </row>
    <row r="42" spans="1:30" x14ac:dyDescent="0.35">
      <c r="A42" s="145"/>
      <c r="B42" s="145"/>
      <c r="C42" s="145"/>
      <c r="D42" s="145"/>
      <c r="E42" s="145"/>
      <c r="F42" s="145"/>
      <c r="G42" s="102"/>
      <c r="H42" s="145"/>
      <c r="I42" s="145"/>
      <c r="J42" s="145"/>
      <c r="K42" s="145"/>
      <c r="L42" s="145"/>
      <c r="M42" s="145"/>
      <c r="N42" s="145"/>
      <c r="O42" s="145"/>
    </row>
    <row r="43" spans="1:30" x14ac:dyDescent="0.35">
      <c r="A43" s="145"/>
      <c r="B43" s="145"/>
      <c r="C43" s="145"/>
      <c r="D43" s="145"/>
      <c r="E43" s="145"/>
      <c r="F43" s="145"/>
      <c r="G43" s="102"/>
      <c r="H43" s="145"/>
      <c r="I43" s="145"/>
      <c r="J43" s="145"/>
      <c r="K43" s="145"/>
      <c r="L43" s="145"/>
      <c r="M43" s="145"/>
      <c r="N43" s="145"/>
      <c r="O43" s="145"/>
    </row>
    <row r="44" spans="1:30" x14ac:dyDescent="0.35">
      <c r="A44" s="145"/>
      <c r="B44" s="145"/>
      <c r="C44" s="145"/>
      <c r="D44" s="145"/>
      <c r="E44" s="145"/>
      <c r="F44" s="145"/>
      <c r="G44" s="102"/>
      <c r="H44" s="145"/>
      <c r="I44" s="145"/>
      <c r="J44" s="145"/>
      <c r="K44" s="145"/>
      <c r="L44" s="145"/>
      <c r="M44" s="145"/>
      <c r="N44" s="145"/>
      <c r="O44" s="145"/>
    </row>
    <row r="45" spans="1:30" x14ac:dyDescent="0.35">
      <c r="A45" s="145"/>
      <c r="B45" s="145"/>
      <c r="C45" s="145"/>
      <c r="D45" s="145"/>
      <c r="E45" s="145"/>
      <c r="F45" s="145"/>
      <c r="G45" s="102"/>
      <c r="H45" s="145"/>
      <c r="I45" s="145"/>
      <c r="J45" s="145"/>
      <c r="K45" s="145"/>
      <c r="L45" s="145"/>
      <c r="M45" s="145"/>
      <c r="N45" s="145"/>
      <c r="O45" s="145"/>
    </row>
    <row r="46" spans="1:30" x14ac:dyDescent="0.35">
      <c r="A46" s="145"/>
      <c r="B46" s="145"/>
      <c r="C46" s="145"/>
      <c r="D46" s="145"/>
      <c r="E46" s="145"/>
      <c r="F46" s="145"/>
      <c r="G46" s="102"/>
      <c r="H46" s="145"/>
      <c r="I46" s="145"/>
      <c r="J46" s="145"/>
      <c r="K46" s="145"/>
      <c r="L46" s="145"/>
      <c r="M46" s="145"/>
      <c r="N46" s="145"/>
      <c r="O46" s="145"/>
    </row>
    <row r="47" spans="1:30" x14ac:dyDescent="0.35">
      <c r="A47" s="145"/>
      <c r="B47" s="145"/>
      <c r="C47" s="145"/>
      <c r="D47" s="145"/>
      <c r="E47" s="145"/>
      <c r="F47" s="145"/>
      <c r="G47" s="102"/>
      <c r="H47" s="145"/>
      <c r="I47" s="145"/>
      <c r="J47" s="145"/>
      <c r="K47" s="145"/>
      <c r="L47" s="145"/>
      <c r="M47" s="145"/>
      <c r="N47" s="145"/>
      <c r="O47" s="145"/>
    </row>
    <row r="48" spans="1:30" x14ac:dyDescent="0.35">
      <c r="A48" s="145"/>
      <c r="B48" s="145"/>
      <c r="C48" s="145"/>
      <c r="D48" s="145"/>
      <c r="E48" s="145"/>
      <c r="F48" s="145"/>
      <c r="G48" s="102"/>
      <c r="H48" s="145"/>
      <c r="I48" s="145"/>
      <c r="J48" s="145"/>
      <c r="K48" s="145"/>
      <c r="L48" s="145"/>
      <c r="M48" s="145"/>
      <c r="N48" s="145"/>
      <c r="O48" s="145"/>
    </row>
    <row r="49" spans="1:30" x14ac:dyDescent="0.35">
      <c r="A49" s="145"/>
      <c r="B49" s="145"/>
      <c r="C49" s="145"/>
      <c r="D49" s="145"/>
      <c r="E49" s="145"/>
      <c r="F49" s="145"/>
      <c r="G49" s="102"/>
      <c r="H49" s="145"/>
      <c r="I49" s="145"/>
      <c r="J49" s="145"/>
      <c r="K49" s="145"/>
      <c r="L49" s="145"/>
      <c r="M49" s="145"/>
      <c r="N49" s="145"/>
      <c r="O49" s="145"/>
    </row>
    <row r="50" spans="1:30" x14ac:dyDescent="0.35">
      <c r="A50" s="145"/>
      <c r="B50" s="145"/>
      <c r="C50" s="145"/>
      <c r="D50" s="145"/>
      <c r="E50" s="145"/>
      <c r="F50" s="145"/>
      <c r="G50" s="102"/>
      <c r="H50" s="145"/>
      <c r="I50" s="145"/>
      <c r="J50" s="145"/>
      <c r="K50" s="145"/>
      <c r="L50" s="145"/>
      <c r="M50" s="145"/>
      <c r="N50" s="145"/>
      <c r="O50" s="145"/>
    </row>
    <row r="51" spans="1:30" x14ac:dyDescent="0.35">
      <c r="A51" s="145"/>
      <c r="B51" s="145"/>
      <c r="C51" s="145"/>
      <c r="D51" s="145"/>
      <c r="E51" s="145"/>
      <c r="F51" s="145"/>
      <c r="G51" s="102"/>
      <c r="H51" s="145"/>
      <c r="I51" s="145"/>
      <c r="J51" s="145"/>
      <c r="K51" s="145"/>
      <c r="L51" s="145"/>
      <c r="M51" s="145"/>
      <c r="N51" s="145"/>
      <c r="O51" s="145"/>
      <c r="AD51" s="26"/>
    </row>
    <row r="52" spans="1:30" x14ac:dyDescent="0.35">
      <c r="A52" s="145"/>
      <c r="B52" s="145"/>
      <c r="C52" s="145"/>
      <c r="D52" s="145"/>
      <c r="E52" s="145"/>
      <c r="F52" s="145"/>
      <c r="G52" s="102"/>
      <c r="H52" s="145"/>
      <c r="I52" s="145"/>
      <c r="J52" s="145"/>
      <c r="K52" s="145"/>
      <c r="L52" s="145"/>
      <c r="M52" s="145"/>
      <c r="N52" s="145"/>
      <c r="O52" s="145"/>
    </row>
    <row r="53" spans="1:30" x14ac:dyDescent="0.35">
      <c r="A53" s="145"/>
      <c r="B53" s="145"/>
      <c r="C53" s="145"/>
      <c r="D53" s="145"/>
      <c r="E53" s="145"/>
      <c r="F53" s="145"/>
      <c r="G53" s="102"/>
      <c r="H53" s="145"/>
      <c r="I53" s="145"/>
      <c r="J53" s="145"/>
      <c r="K53" s="145"/>
      <c r="L53" s="145"/>
      <c r="M53" s="145"/>
      <c r="N53" s="145"/>
      <c r="O53" s="145"/>
    </row>
    <row r="54" spans="1:30" x14ac:dyDescent="0.35">
      <c r="A54" s="145"/>
      <c r="B54" s="145"/>
      <c r="C54" s="145"/>
      <c r="D54" s="145"/>
      <c r="E54" s="145"/>
      <c r="F54" s="145"/>
      <c r="G54" s="102"/>
      <c r="H54" s="145"/>
      <c r="I54" s="145"/>
      <c r="J54" s="145"/>
      <c r="K54" s="145"/>
      <c r="L54" s="145"/>
      <c r="M54" s="145"/>
      <c r="N54" s="145"/>
      <c r="O54" s="145"/>
    </row>
    <row r="55" spans="1:30" x14ac:dyDescent="0.35">
      <c r="A55" s="145"/>
      <c r="B55" s="145"/>
      <c r="C55" s="145"/>
      <c r="D55" s="145"/>
      <c r="E55" s="145"/>
      <c r="F55" s="145"/>
      <c r="G55" s="102"/>
      <c r="H55" s="145"/>
      <c r="I55" s="145"/>
      <c r="J55" s="145"/>
      <c r="K55" s="145"/>
      <c r="L55" s="145"/>
      <c r="M55" s="145"/>
      <c r="N55" s="145"/>
      <c r="O55" s="145"/>
    </row>
    <row r="56" spans="1:30" x14ac:dyDescent="0.35">
      <c r="A56" s="145"/>
      <c r="B56" s="145"/>
      <c r="C56" s="145"/>
      <c r="D56" s="145"/>
      <c r="E56" s="145"/>
      <c r="F56" s="145"/>
      <c r="G56" s="102"/>
      <c r="H56" s="145"/>
      <c r="I56" s="145"/>
      <c r="J56" s="145"/>
      <c r="K56" s="145"/>
      <c r="L56" s="145"/>
      <c r="M56" s="145"/>
      <c r="N56" s="145"/>
      <c r="O56" s="145"/>
    </row>
    <row r="57" spans="1:30" x14ac:dyDescent="0.35">
      <c r="A57" s="145"/>
      <c r="B57" s="145"/>
      <c r="C57" s="145"/>
      <c r="D57" s="145"/>
      <c r="E57" s="145"/>
      <c r="F57" s="145"/>
      <c r="G57" s="102"/>
      <c r="H57" s="145"/>
      <c r="I57" s="145"/>
      <c r="J57" s="145"/>
      <c r="K57" s="145"/>
      <c r="L57" s="145"/>
      <c r="M57" s="145"/>
      <c r="N57" s="145"/>
      <c r="O57" s="145"/>
    </row>
    <row r="58" spans="1:30" x14ac:dyDescent="0.35">
      <c r="A58" s="145"/>
      <c r="B58" s="145"/>
      <c r="C58" s="145"/>
      <c r="D58" s="145"/>
      <c r="E58" s="145"/>
      <c r="F58" s="145"/>
      <c r="G58" s="102"/>
      <c r="H58" s="145"/>
      <c r="I58" s="145"/>
      <c r="J58" s="145"/>
      <c r="K58" s="145"/>
      <c r="L58" s="145"/>
      <c r="M58" s="145"/>
      <c r="N58" s="145"/>
      <c r="O58" s="145"/>
    </row>
    <row r="59" spans="1:30" x14ac:dyDescent="0.35">
      <c r="A59" s="145"/>
      <c r="B59" s="145"/>
      <c r="C59" s="145"/>
      <c r="D59" s="145"/>
      <c r="E59" s="145"/>
      <c r="F59" s="145"/>
      <c r="G59" s="102"/>
      <c r="H59" s="145"/>
      <c r="I59" s="145"/>
      <c r="J59" s="145"/>
      <c r="K59" s="145"/>
      <c r="L59" s="145"/>
      <c r="M59" s="145"/>
      <c r="N59" s="145"/>
      <c r="O59" s="145"/>
    </row>
    <row r="60" spans="1:30" x14ac:dyDescent="0.35">
      <c r="A60" s="145"/>
      <c r="B60" s="145"/>
      <c r="C60" s="145"/>
      <c r="D60" s="145"/>
      <c r="E60" s="145"/>
      <c r="F60" s="145"/>
      <c r="G60" s="102"/>
      <c r="H60" s="145"/>
      <c r="I60" s="145"/>
      <c r="J60" s="145"/>
      <c r="K60" s="145"/>
      <c r="L60" s="145"/>
      <c r="M60" s="145"/>
      <c r="N60" s="145"/>
      <c r="O60" s="145"/>
    </row>
    <row r="61" spans="1:30" x14ac:dyDescent="0.35">
      <c r="A61" s="145"/>
      <c r="B61" s="145"/>
      <c r="C61" s="145"/>
      <c r="D61" s="145"/>
      <c r="E61" s="145"/>
      <c r="F61" s="145"/>
      <c r="G61" s="102"/>
      <c r="H61" s="145"/>
      <c r="I61" s="145"/>
      <c r="J61" s="145"/>
      <c r="K61" s="145"/>
      <c r="L61" s="145"/>
      <c r="M61" s="145"/>
      <c r="N61" s="145"/>
      <c r="O61" s="145"/>
    </row>
    <row r="62" spans="1:30" x14ac:dyDescent="0.35">
      <c r="A62" s="145"/>
      <c r="B62" s="145"/>
      <c r="C62" s="145"/>
      <c r="D62" s="145"/>
      <c r="E62" s="145"/>
      <c r="F62" s="145"/>
      <c r="G62" s="102"/>
      <c r="H62" s="145"/>
      <c r="I62" s="145"/>
      <c r="J62" s="145"/>
      <c r="K62" s="145"/>
      <c r="L62" s="145"/>
      <c r="M62" s="145"/>
      <c r="N62" s="145"/>
      <c r="O62" s="145"/>
      <c r="U62" s="3"/>
    </row>
    <row r="63" spans="1:30" x14ac:dyDescent="0.35">
      <c r="A63" s="145"/>
      <c r="B63" s="145"/>
      <c r="C63" s="145"/>
      <c r="D63" s="145"/>
      <c r="E63" s="145"/>
      <c r="F63" s="145"/>
      <c r="G63" s="102"/>
      <c r="H63" s="145"/>
      <c r="I63" s="145"/>
      <c r="J63" s="145"/>
      <c r="K63" s="145"/>
      <c r="L63" s="145"/>
      <c r="M63" s="145"/>
      <c r="N63" s="145"/>
      <c r="O63" s="145"/>
    </row>
    <row r="64" spans="1:30" x14ac:dyDescent="0.35">
      <c r="A64" s="145"/>
      <c r="B64" s="145"/>
      <c r="C64" s="145"/>
      <c r="D64" s="145"/>
      <c r="E64" s="145"/>
      <c r="F64" s="145"/>
      <c r="G64" s="102"/>
      <c r="H64" s="145"/>
      <c r="I64" s="145"/>
      <c r="J64" s="145"/>
      <c r="K64" s="145"/>
      <c r="L64" s="145"/>
      <c r="M64" s="145"/>
      <c r="N64" s="145"/>
      <c r="O64" s="145"/>
    </row>
    <row r="65" spans="1:30" x14ac:dyDescent="0.35">
      <c r="A65" s="145"/>
      <c r="B65" s="145"/>
      <c r="C65" s="145"/>
      <c r="D65" s="145"/>
      <c r="E65" s="145"/>
      <c r="F65" s="145"/>
      <c r="G65" s="102"/>
      <c r="H65" s="145"/>
      <c r="I65" s="145"/>
      <c r="J65" s="145"/>
      <c r="K65" s="145"/>
      <c r="L65" s="145"/>
      <c r="M65" s="145"/>
      <c r="N65" s="145"/>
      <c r="O65" s="145"/>
    </row>
    <row r="66" spans="1:30" x14ac:dyDescent="0.35">
      <c r="A66" s="145"/>
      <c r="B66" s="145"/>
      <c r="C66" s="145"/>
      <c r="D66" s="145"/>
      <c r="E66" s="145"/>
      <c r="F66" s="145"/>
      <c r="G66" s="102"/>
      <c r="H66" s="145"/>
      <c r="I66" s="145"/>
      <c r="J66" s="145"/>
      <c r="K66" s="145"/>
      <c r="L66" s="145"/>
      <c r="M66" s="145"/>
      <c r="N66" s="145"/>
      <c r="O66" s="145"/>
    </row>
    <row r="67" spans="1:30" x14ac:dyDescent="0.35">
      <c r="A67" s="145"/>
      <c r="B67" s="145"/>
      <c r="C67" s="145"/>
      <c r="D67" s="145"/>
      <c r="E67" s="145"/>
      <c r="F67" s="145"/>
      <c r="G67" s="102"/>
      <c r="H67" s="145"/>
      <c r="I67" s="145"/>
      <c r="J67" s="145"/>
      <c r="K67" s="145"/>
      <c r="L67" s="145"/>
      <c r="M67" s="145"/>
      <c r="N67" s="145"/>
      <c r="O67" s="145"/>
    </row>
    <row r="68" spans="1:30" x14ac:dyDescent="0.35">
      <c r="A68" s="145"/>
      <c r="B68" s="145"/>
      <c r="C68" s="145"/>
      <c r="D68" s="145"/>
      <c r="E68" s="145"/>
      <c r="F68" s="145"/>
      <c r="G68" s="102"/>
      <c r="H68" s="145"/>
      <c r="I68" s="145"/>
      <c r="J68" s="145"/>
      <c r="K68" s="145"/>
      <c r="L68" s="145"/>
      <c r="M68" s="145"/>
      <c r="N68" s="145"/>
      <c r="O68" s="145"/>
    </row>
    <row r="69" spans="1:30" x14ac:dyDescent="0.35">
      <c r="A69" s="145"/>
      <c r="B69" s="145"/>
      <c r="C69" s="145"/>
      <c r="D69" s="145"/>
      <c r="E69" s="145"/>
      <c r="F69" s="145"/>
      <c r="G69" s="102"/>
      <c r="H69" s="145"/>
      <c r="I69" s="145"/>
      <c r="J69" s="145"/>
      <c r="K69" s="145"/>
      <c r="L69" s="145"/>
      <c r="M69" s="145"/>
      <c r="N69" s="145"/>
      <c r="O69" s="145"/>
      <c r="AD69" s="26"/>
    </row>
    <row r="70" spans="1:30" x14ac:dyDescent="0.35">
      <c r="A70" s="145"/>
      <c r="B70" s="145"/>
      <c r="C70" s="145"/>
      <c r="D70" s="145"/>
      <c r="E70" s="145"/>
      <c r="F70" s="145"/>
      <c r="G70" s="102"/>
      <c r="H70" s="145"/>
      <c r="I70" s="145"/>
      <c r="J70" s="145"/>
      <c r="K70" s="145"/>
      <c r="L70" s="145"/>
      <c r="M70" s="145"/>
    </row>
    <row r="71" spans="1:30" x14ac:dyDescent="0.35">
      <c r="A71" s="145"/>
      <c r="B71" s="145"/>
      <c r="C71" s="145"/>
      <c r="D71" s="145"/>
      <c r="E71" s="145"/>
      <c r="F71" s="145"/>
      <c r="G71" s="102"/>
      <c r="H71" s="145"/>
      <c r="I71" s="145"/>
      <c r="J71" s="145"/>
      <c r="K71" s="145"/>
      <c r="L71" s="145"/>
      <c r="M71" s="145"/>
      <c r="N71" s="145"/>
      <c r="O71" s="145"/>
    </row>
    <row r="72" spans="1:30" x14ac:dyDescent="0.35">
      <c r="A72" s="145"/>
      <c r="B72" s="145"/>
      <c r="C72" s="145"/>
      <c r="D72" s="145"/>
      <c r="E72" s="145"/>
      <c r="F72" s="145"/>
      <c r="G72" s="102"/>
      <c r="H72" s="145"/>
      <c r="I72" s="145"/>
      <c r="J72" s="145"/>
      <c r="K72" s="145"/>
      <c r="L72" s="145"/>
      <c r="M72" s="145"/>
      <c r="N72" s="145"/>
      <c r="O72" s="145"/>
      <c r="AD72" s="26"/>
    </row>
    <row r="73" spans="1:30" x14ac:dyDescent="0.35">
      <c r="A73" s="145"/>
      <c r="B73" s="145"/>
      <c r="C73" s="145"/>
      <c r="D73" s="145"/>
      <c r="E73" s="145"/>
      <c r="F73" s="145"/>
      <c r="G73" s="102"/>
      <c r="H73" s="145"/>
      <c r="I73" s="145"/>
      <c r="J73" s="145"/>
      <c r="K73" s="145"/>
      <c r="L73" s="145"/>
      <c r="M73" s="145"/>
      <c r="N73" s="145"/>
      <c r="O73" s="145"/>
    </row>
    <row r="74" spans="1:30" x14ac:dyDescent="0.35">
      <c r="A74" s="145"/>
      <c r="B74" s="145"/>
      <c r="C74" s="145"/>
      <c r="D74" s="145"/>
      <c r="E74" s="145"/>
      <c r="F74" s="145"/>
      <c r="G74" s="102"/>
      <c r="H74" s="145"/>
      <c r="I74" s="145"/>
      <c r="J74" s="145"/>
      <c r="K74" s="145"/>
      <c r="L74" s="145"/>
      <c r="M74" s="145"/>
      <c r="N74" s="145"/>
      <c r="O74" s="145"/>
    </row>
    <row r="75" spans="1:30" x14ac:dyDescent="0.35">
      <c r="A75" s="145"/>
      <c r="B75" s="145"/>
      <c r="C75" s="145"/>
      <c r="D75" s="145"/>
      <c r="E75" s="145"/>
      <c r="F75" s="145"/>
      <c r="G75" s="102"/>
      <c r="H75" s="145"/>
      <c r="I75" s="145"/>
      <c r="J75" s="145"/>
      <c r="K75" s="145"/>
      <c r="L75" s="145"/>
      <c r="M75" s="145"/>
    </row>
    <row r="76" spans="1:30" x14ac:dyDescent="0.35">
      <c r="A76" s="145"/>
      <c r="B76" s="145"/>
      <c r="C76" s="145"/>
      <c r="D76" s="145"/>
      <c r="E76" s="145"/>
      <c r="F76" s="145"/>
      <c r="G76" s="102"/>
      <c r="H76" s="145"/>
      <c r="I76" s="145"/>
      <c r="J76" s="145"/>
      <c r="K76" s="145"/>
      <c r="L76" s="145"/>
      <c r="M76" s="145"/>
      <c r="N76" s="145"/>
      <c r="O76" s="145"/>
    </row>
    <row r="77" spans="1:30" x14ac:dyDescent="0.35">
      <c r="A77" s="145"/>
      <c r="B77" s="145"/>
      <c r="C77" s="145"/>
      <c r="D77" s="145"/>
      <c r="E77" s="145"/>
      <c r="F77" s="145"/>
      <c r="G77" s="102"/>
      <c r="H77" s="145"/>
      <c r="I77" s="145"/>
      <c r="J77" s="145"/>
      <c r="K77" s="145"/>
      <c r="L77" s="145"/>
      <c r="M77" s="145"/>
      <c r="N77" s="145"/>
      <c r="O77" s="145"/>
    </row>
    <row r="78" spans="1:30" x14ac:dyDescent="0.35">
      <c r="A78" s="145"/>
      <c r="B78" s="145"/>
      <c r="C78" s="145"/>
      <c r="D78" s="145"/>
      <c r="E78" s="145"/>
      <c r="F78" s="145"/>
      <c r="G78" s="102"/>
      <c r="H78" s="145"/>
      <c r="I78" s="145"/>
      <c r="J78" s="145"/>
      <c r="K78" s="145"/>
      <c r="L78" s="145"/>
      <c r="M78" s="145"/>
      <c r="N78" s="145"/>
      <c r="O78" s="145"/>
    </row>
    <row r="79" spans="1:30" x14ac:dyDescent="0.35">
      <c r="A79" s="145"/>
      <c r="B79" s="145"/>
      <c r="C79" s="145"/>
      <c r="D79" s="145"/>
      <c r="E79" s="145"/>
      <c r="F79" s="145"/>
      <c r="G79" s="102"/>
      <c r="H79" s="145"/>
      <c r="I79" s="145"/>
      <c r="J79" s="145"/>
      <c r="K79" s="145"/>
      <c r="L79" s="145"/>
      <c r="M79" s="145"/>
      <c r="N79" s="145"/>
      <c r="O79" s="145"/>
    </row>
    <row r="80" spans="1:30" x14ac:dyDescent="0.35">
      <c r="A80" s="145"/>
      <c r="B80" s="145"/>
      <c r="C80" s="145"/>
      <c r="D80" s="145"/>
      <c r="E80" s="145"/>
      <c r="F80" s="145"/>
      <c r="G80" s="102"/>
      <c r="H80" s="145"/>
      <c r="I80" s="145"/>
      <c r="J80" s="145"/>
      <c r="K80" s="145"/>
      <c r="L80" s="145"/>
      <c r="M80" s="145"/>
      <c r="N80" s="145"/>
      <c r="O80" s="145"/>
    </row>
    <row r="81" spans="1:21" x14ac:dyDescent="0.35">
      <c r="A81" s="145"/>
      <c r="B81" s="145"/>
      <c r="C81" s="145"/>
      <c r="D81" s="145"/>
      <c r="E81" s="145"/>
      <c r="F81" s="145"/>
      <c r="G81" s="102"/>
      <c r="H81" s="145"/>
      <c r="I81" s="145"/>
      <c r="J81" s="145"/>
      <c r="K81" s="145"/>
      <c r="L81" s="145"/>
      <c r="M81" s="145"/>
      <c r="N81" s="31"/>
      <c r="O81" s="31"/>
    </row>
    <row r="82" spans="1:21" x14ac:dyDescent="0.35">
      <c r="A82" s="145"/>
      <c r="B82" s="145"/>
      <c r="C82" s="145"/>
      <c r="D82" s="145"/>
      <c r="E82" s="145"/>
      <c r="F82" s="145"/>
      <c r="G82" s="102"/>
      <c r="H82" s="145"/>
      <c r="I82" s="145"/>
      <c r="J82" s="145"/>
      <c r="K82" s="145"/>
      <c r="L82" s="145"/>
      <c r="M82" s="145"/>
    </row>
    <row r="83" spans="1:21" x14ac:dyDescent="0.35">
      <c r="A83" s="145"/>
      <c r="B83" s="145"/>
      <c r="C83" s="145"/>
      <c r="D83" s="145"/>
      <c r="E83" s="145"/>
      <c r="F83" s="145"/>
      <c r="G83" s="102"/>
      <c r="H83" s="145"/>
      <c r="I83" s="145"/>
      <c r="J83" s="145"/>
      <c r="K83" s="145"/>
      <c r="L83" s="145"/>
      <c r="M83" s="145"/>
      <c r="N83" s="145"/>
      <c r="O83" s="145"/>
    </row>
    <row r="84" spans="1:21" x14ac:dyDescent="0.35">
      <c r="A84" s="145"/>
      <c r="B84" s="145"/>
      <c r="C84" s="145"/>
      <c r="D84" s="145"/>
      <c r="E84" s="145"/>
      <c r="F84" s="145"/>
      <c r="G84" s="102"/>
      <c r="H84" s="145"/>
      <c r="I84" s="145"/>
      <c r="J84" s="145"/>
      <c r="K84" s="145"/>
      <c r="L84" s="145"/>
      <c r="M84" s="145"/>
      <c r="N84" s="145"/>
      <c r="O84" s="145"/>
    </row>
    <row r="85" spans="1:21" x14ac:dyDescent="0.35">
      <c r="A85" s="145"/>
      <c r="B85" s="145"/>
      <c r="C85" s="145"/>
      <c r="D85" s="145"/>
      <c r="E85" s="145"/>
      <c r="F85" s="145"/>
      <c r="G85" s="102"/>
      <c r="H85" s="145"/>
      <c r="I85" s="145"/>
      <c r="J85" s="145"/>
      <c r="K85" s="145"/>
      <c r="L85" s="145"/>
      <c r="M85" s="145"/>
      <c r="N85" s="145"/>
      <c r="O85" s="145"/>
    </row>
    <row r="86" spans="1:21" x14ac:dyDescent="0.35">
      <c r="A86" s="145"/>
      <c r="B86" s="145"/>
      <c r="C86" s="145"/>
      <c r="D86" s="145"/>
      <c r="E86" s="145"/>
      <c r="F86" s="145"/>
      <c r="G86" s="102"/>
      <c r="H86" s="145"/>
      <c r="I86" s="145"/>
      <c r="J86" s="145"/>
      <c r="K86" s="145"/>
      <c r="L86" s="145"/>
      <c r="M86" s="145"/>
      <c r="N86" s="145"/>
      <c r="O86" s="145"/>
    </row>
    <row r="87" spans="1:21" x14ac:dyDescent="0.35">
      <c r="A87" s="145"/>
      <c r="B87" s="145"/>
      <c r="C87" s="145"/>
      <c r="D87" s="145"/>
      <c r="E87" s="145"/>
      <c r="F87" s="145"/>
      <c r="G87" s="102"/>
      <c r="H87" s="145"/>
      <c r="I87" s="145"/>
      <c r="J87" s="145"/>
      <c r="K87" s="145"/>
      <c r="L87" s="145"/>
      <c r="M87" s="145"/>
      <c r="N87" s="145"/>
      <c r="O87" s="145"/>
    </row>
    <row r="88" spans="1:21" x14ac:dyDescent="0.35">
      <c r="A88" s="145"/>
      <c r="B88" s="145"/>
      <c r="C88" s="145"/>
      <c r="D88" s="145"/>
      <c r="E88" s="145"/>
      <c r="F88" s="145"/>
      <c r="G88" s="102"/>
      <c r="H88" s="145"/>
      <c r="I88" s="145"/>
      <c r="J88" s="145"/>
      <c r="K88" s="145"/>
      <c r="L88" s="145"/>
      <c r="M88" s="145"/>
      <c r="N88" s="145"/>
      <c r="O88" s="145"/>
    </row>
    <row r="89" spans="1:21" x14ac:dyDescent="0.35">
      <c r="A89" s="145"/>
      <c r="B89" s="145"/>
      <c r="C89" s="145"/>
      <c r="D89" s="145"/>
      <c r="E89" s="145"/>
      <c r="F89" s="145"/>
      <c r="G89" s="102"/>
      <c r="H89" s="145"/>
      <c r="I89" s="145"/>
      <c r="J89" s="145"/>
      <c r="K89" s="145"/>
      <c r="L89" s="145"/>
      <c r="M89" s="145"/>
      <c r="N89" s="145"/>
      <c r="O89" s="145"/>
    </row>
    <row r="90" spans="1:21" x14ac:dyDescent="0.35">
      <c r="A90" s="145"/>
      <c r="B90" s="145"/>
      <c r="C90" s="145"/>
      <c r="D90" s="145"/>
      <c r="E90" s="145"/>
      <c r="F90" s="145"/>
      <c r="G90" s="102"/>
      <c r="H90" s="145"/>
      <c r="I90" s="145"/>
      <c r="J90" s="145"/>
      <c r="K90" s="145"/>
      <c r="L90" s="145"/>
      <c r="M90" s="145"/>
      <c r="N90" s="145"/>
      <c r="O90" s="145"/>
    </row>
    <row r="91" spans="1:21" x14ac:dyDescent="0.35">
      <c r="A91" s="145"/>
      <c r="B91" s="145"/>
      <c r="C91" s="145"/>
      <c r="D91" s="145"/>
      <c r="E91" s="145"/>
      <c r="F91" s="145"/>
      <c r="G91" s="102"/>
      <c r="H91" s="145"/>
      <c r="I91" s="145"/>
      <c r="J91" s="145"/>
      <c r="K91" s="145"/>
      <c r="L91" s="145"/>
      <c r="M91" s="145"/>
      <c r="N91" s="145"/>
      <c r="O91" s="145"/>
    </row>
    <row r="92" spans="1:21" x14ac:dyDescent="0.35">
      <c r="A92" s="145"/>
      <c r="B92" s="145"/>
      <c r="C92" s="145"/>
      <c r="D92" s="145"/>
      <c r="E92" s="145"/>
      <c r="F92" s="145"/>
      <c r="G92" s="102"/>
      <c r="H92" s="145"/>
      <c r="I92" s="145"/>
      <c r="J92" s="145"/>
      <c r="K92" s="145"/>
      <c r="L92" s="145"/>
      <c r="M92" s="145"/>
      <c r="N92" s="145"/>
      <c r="O92" s="145"/>
    </row>
    <row r="93" spans="1:21" x14ac:dyDescent="0.35">
      <c r="A93" s="145"/>
      <c r="B93" s="145"/>
      <c r="C93" s="145"/>
      <c r="D93" s="145"/>
      <c r="E93" s="145"/>
      <c r="F93" s="145"/>
      <c r="G93" s="102"/>
      <c r="H93" s="145"/>
      <c r="I93" s="145"/>
      <c r="J93" s="145"/>
      <c r="K93" s="145"/>
      <c r="L93" s="145"/>
      <c r="M93" s="145"/>
      <c r="N93" s="145"/>
      <c r="O93" s="145"/>
    </row>
    <row r="94" spans="1:21" x14ac:dyDescent="0.35">
      <c r="A94" s="145"/>
      <c r="B94" s="145"/>
      <c r="C94" s="145"/>
      <c r="D94" s="145"/>
      <c r="E94" s="145"/>
      <c r="F94" s="145"/>
      <c r="G94" s="102"/>
      <c r="H94" s="145"/>
      <c r="I94" s="145"/>
      <c r="J94" s="145"/>
      <c r="K94" s="145"/>
      <c r="L94" s="145"/>
      <c r="M94" s="145"/>
      <c r="N94" s="145"/>
      <c r="O94" s="145"/>
    </row>
    <row r="95" spans="1:21" x14ac:dyDescent="0.35">
      <c r="A95" s="145"/>
      <c r="B95" s="145"/>
      <c r="C95" s="145"/>
      <c r="D95" s="145"/>
      <c r="E95" s="145"/>
      <c r="F95" s="145"/>
      <c r="G95" s="102"/>
      <c r="H95" s="145"/>
      <c r="I95" s="145"/>
      <c r="J95" s="145"/>
      <c r="K95" s="145"/>
      <c r="L95" s="145"/>
      <c r="M95" s="145"/>
      <c r="N95" s="145"/>
      <c r="O95" s="145"/>
      <c r="U95" s="3"/>
    </row>
    <row r="96" spans="1:21" x14ac:dyDescent="0.35">
      <c r="A96" s="145"/>
      <c r="B96" s="145"/>
      <c r="C96" s="145"/>
      <c r="D96" s="145"/>
      <c r="E96" s="145"/>
      <c r="F96" s="145"/>
      <c r="G96" s="102"/>
      <c r="H96" s="145"/>
      <c r="I96" s="145"/>
      <c r="J96" s="145"/>
      <c r="K96" s="145"/>
      <c r="L96" s="145"/>
      <c r="M96" s="145"/>
      <c r="N96" s="145"/>
      <c r="O96" s="145"/>
    </row>
    <row r="97" spans="1:15" x14ac:dyDescent="0.35">
      <c r="A97" s="145"/>
      <c r="B97" s="145"/>
      <c r="C97" s="145"/>
      <c r="D97" s="145"/>
      <c r="E97" s="145"/>
      <c r="F97" s="145"/>
      <c r="G97" s="102"/>
      <c r="H97" s="145"/>
      <c r="I97" s="145"/>
      <c r="J97" s="145"/>
      <c r="K97" s="145"/>
      <c r="L97" s="145"/>
      <c r="M97" s="145"/>
      <c r="N97" s="145"/>
      <c r="O97" s="145"/>
    </row>
    <row r="98" spans="1:15" x14ac:dyDescent="0.35">
      <c r="A98" s="145"/>
      <c r="B98" s="145"/>
      <c r="C98" s="145"/>
      <c r="D98" s="145"/>
      <c r="E98" s="145"/>
      <c r="F98" s="145"/>
      <c r="G98" s="102"/>
      <c r="H98" s="145"/>
      <c r="I98" s="145"/>
      <c r="J98" s="145"/>
      <c r="K98" s="145"/>
      <c r="L98" s="145"/>
      <c r="M98" s="145"/>
      <c r="N98" s="145"/>
      <c r="O98" s="145"/>
    </row>
    <row r="99" spans="1:15" x14ac:dyDescent="0.35">
      <c r="A99" s="145"/>
      <c r="B99" s="145"/>
      <c r="C99" s="145"/>
      <c r="D99" s="145"/>
      <c r="E99" s="145"/>
      <c r="F99" s="145"/>
      <c r="G99" s="102"/>
      <c r="H99" s="145"/>
      <c r="I99" s="145"/>
      <c r="J99" s="145"/>
      <c r="K99" s="145"/>
      <c r="L99" s="145"/>
      <c r="M99" s="145"/>
      <c r="N99" s="145"/>
      <c r="O99" s="145"/>
    </row>
    <row r="100" spans="1:15" x14ac:dyDescent="0.35">
      <c r="A100" s="145"/>
      <c r="B100" s="145"/>
      <c r="C100" s="145"/>
      <c r="D100" s="145"/>
      <c r="E100" s="145"/>
      <c r="F100" s="145"/>
      <c r="G100" s="102"/>
      <c r="H100" s="145"/>
      <c r="I100" s="145"/>
      <c r="J100" s="145"/>
      <c r="K100" s="145"/>
      <c r="L100" s="145"/>
      <c r="M100" s="145"/>
      <c r="N100" s="145"/>
      <c r="O100" s="145"/>
    </row>
    <row r="101" spans="1:15" x14ac:dyDescent="0.35">
      <c r="A101" s="145"/>
      <c r="B101" s="145"/>
      <c r="C101" s="145"/>
      <c r="D101" s="145"/>
      <c r="E101" s="145"/>
      <c r="F101" s="145"/>
      <c r="G101" s="102"/>
      <c r="H101" s="145"/>
      <c r="I101" s="145"/>
      <c r="J101" s="145"/>
      <c r="K101" s="145"/>
      <c r="L101" s="145"/>
      <c r="M101" s="145"/>
      <c r="N101" s="145"/>
      <c r="O101" s="145"/>
    </row>
    <row r="102" spans="1:15" x14ac:dyDescent="0.35">
      <c r="A102" s="145"/>
      <c r="B102" s="145"/>
      <c r="C102" s="145"/>
      <c r="D102" s="145"/>
      <c r="E102" s="145"/>
      <c r="F102" s="145"/>
      <c r="G102" s="102"/>
      <c r="H102" s="145"/>
      <c r="I102" s="145"/>
      <c r="J102" s="145"/>
      <c r="K102" s="145"/>
      <c r="L102" s="145"/>
      <c r="M102" s="145"/>
      <c r="N102" s="145"/>
      <c r="O102" s="145"/>
    </row>
    <row r="103" spans="1:15" x14ac:dyDescent="0.35">
      <c r="A103" s="145"/>
      <c r="B103" s="145"/>
      <c r="C103" s="145"/>
      <c r="D103" s="145"/>
      <c r="E103" s="145"/>
      <c r="F103" s="145"/>
      <c r="G103" s="102"/>
      <c r="H103" s="145"/>
      <c r="I103" s="145"/>
      <c r="J103" s="145"/>
      <c r="K103" s="145"/>
      <c r="L103" s="145"/>
      <c r="M103" s="145"/>
      <c r="N103" s="145"/>
      <c r="O103" s="145"/>
    </row>
    <row r="104" spans="1:15" x14ac:dyDescent="0.35">
      <c r="A104" s="145"/>
      <c r="B104" s="145"/>
      <c r="C104" s="145"/>
      <c r="D104" s="145"/>
      <c r="E104" s="145"/>
      <c r="F104" s="145"/>
      <c r="G104" s="102"/>
      <c r="H104" s="145"/>
      <c r="I104" s="145"/>
      <c r="J104" s="145"/>
      <c r="K104" s="145"/>
      <c r="L104" s="145"/>
      <c r="M104" s="145"/>
      <c r="N104" s="145"/>
      <c r="O104" s="145"/>
    </row>
    <row r="105" spans="1:15" x14ac:dyDescent="0.35">
      <c r="A105" s="145"/>
      <c r="B105" s="145"/>
      <c r="C105" s="145"/>
      <c r="D105" s="145"/>
      <c r="E105" s="145"/>
      <c r="F105" s="145"/>
      <c r="G105" s="102"/>
      <c r="H105" s="145"/>
      <c r="I105" s="145"/>
      <c r="J105" s="145"/>
      <c r="K105" s="145"/>
      <c r="L105" s="145"/>
      <c r="M105" s="145"/>
      <c r="N105" s="145"/>
      <c r="O105" s="145"/>
    </row>
    <row r="106" spans="1:15" x14ac:dyDescent="0.35">
      <c r="A106" s="145"/>
      <c r="B106" s="145"/>
      <c r="C106" s="145"/>
      <c r="D106" s="145"/>
      <c r="E106" s="145"/>
      <c r="F106" s="145"/>
      <c r="G106" s="102"/>
      <c r="H106" s="145"/>
      <c r="I106" s="145"/>
      <c r="J106" s="145"/>
      <c r="K106" s="145"/>
      <c r="L106" s="145"/>
      <c r="M106" s="145"/>
      <c r="N106" s="145"/>
      <c r="O106" s="145"/>
    </row>
    <row r="107" spans="1:15" x14ac:dyDescent="0.35">
      <c r="A107" s="145"/>
      <c r="B107" s="145"/>
      <c r="C107" s="145"/>
      <c r="D107" s="145"/>
      <c r="E107" s="145"/>
      <c r="F107" s="145"/>
      <c r="G107" s="102"/>
      <c r="H107" s="145"/>
      <c r="I107" s="145"/>
      <c r="J107" s="145"/>
      <c r="K107" s="145"/>
      <c r="L107" s="145"/>
      <c r="M107" s="145"/>
      <c r="N107" s="145"/>
      <c r="O107" s="145"/>
    </row>
    <row r="108" spans="1:15" x14ac:dyDescent="0.35">
      <c r="A108" s="145"/>
      <c r="B108" s="145"/>
      <c r="C108" s="145"/>
      <c r="D108" s="145"/>
      <c r="E108" s="145"/>
      <c r="F108" s="145"/>
      <c r="G108" s="102"/>
      <c r="H108" s="145"/>
      <c r="I108" s="145"/>
      <c r="J108" s="145"/>
      <c r="K108" s="145"/>
      <c r="L108" s="145"/>
      <c r="M108" s="145"/>
      <c r="N108" s="145"/>
      <c r="O108" s="145"/>
    </row>
    <row r="109" spans="1:15" x14ac:dyDescent="0.35">
      <c r="A109" s="145"/>
      <c r="B109" s="145"/>
      <c r="C109" s="145"/>
      <c r="D109" s="145"/>
      <c r="E109" s="145"/>
      <c r="F109" s="145"/>
      <c r="G109" s="102"/>
      <c r="H109" s="145"/>
      <c r="I109" s="145"/>
      <c r="J109" s="145"/>
      <c r="K109" s="145"/>
      <c r="L109" s="145"/>
      <c r="M109" s="145"/>
    </row>
    <row r="110" spans="1:15" x14ac:dyDescent="0.35">
      <c r="A110" s="145"/>
      <c r="B110" s="145"/>
      <c r="C110" s="145"/>
      <c r="D110" s="145"/>
      <c r="E110" s="145"/>
      <c r="F110" s="145"/>
      <c r="G110" s="102"/>
      <c r="H110" s="145"/>
      <c r="I110" s="145"/>
      <c r="J110" s="145"/>
      <c r="K110" s="145"/>
      <c r="L110" s="145"/>
      <c r="M110" s="145"/>
      <c r="N110" s="145"/>
      <c r="O110" s="145"/>
    </row>
    <row r="111" spans="1:15" x14ac:dyDescent="0.35">
      <c r="A111" s="145"/>
      <c r="B111" s="145"/>
      <c r="C111" s="145"/>
      <c r="D111" s="145"/>
      <c r="E111" s="145"/>
      <c r="F111" s="145"/>
      <c r="G111" s="102"/>
      <c r="H111" s="145"/>
      <c r="I111" s="145"/>
      <c r="J111" s="145"/>
      <c r="K111" s="145"/>
      <c r="L111" s="145"/>
      <c r="M111" s="145"/>
      <c r="N111" s="145"/>
      <c r="O111" s="145"/>
    </row>
    <row r="112" spans="1:15" x14ac:dyDescent="0.35">
      <c r="A112" s="145"/>
      <c r="B112" s="145"/>
      <c r="C112" s="145"/>
      <c r="D112" s="145"/>
      <c r="E112" s="145"/>
      <c r="F112" s="145"/>
      <c r="G112" s="102"/>
      <c r="H112" s="145"/>
      <c r="I112" s="145"/>
      <c r="J112" s="145"/>
      <c r="K112" s="145"/>
      <c r="L112" s="145"/>
      <c r="M112" s="145"/>
      <c r="N112" s="145"/>
      <c r="O112" s="145"/>
    </row>
    <row r="113" spans="1:15" x14ac:dyDescent="0.35">
      <c r="A113" s="145"/>
      <c r="B113" s="145"/>
      <c r="C113" s="145"/>
      <c r="D113" s="145"/>
      <c r="E113" s="145"/>
      <c r="F113" s="145"/>
      <c r="G113" s="102"/>
      <c r="H113" s="145"/>
      <c r="I113" s="145"/>
      <c r="J113" s="145"/>
      <c r="K113" s="145"/>
      <c r="L113" s="145"/>
      <c r="M113" s="145"/>
      <c r="N113" s="145"/>
      <c r="O113" s="145"/>
    </row>
    <row r="114" spans="1:15" x14ac:dyDescent="0.35">
      <c r="A114" s="145"/>
      <c r="B114" s="145"/>
      <c r="C114" s="145"/>
      <c r="D114" s="145"/>
      <c r="E114" s="145"/>
      <c r="F114" s="145"/>
      <c r="G114" s="102"/>
      <c r="H114" s="145"/>
      <c r="I114" s="145"/>
      <c r="J114" s="145"/>
      <c r="K114" s="145"/>
      <c r="L114" s="145"/>
      <c r="M114" s="145"/>
      <c r="N114" s="145"/>
      <c r="O114" s="145"/>
    </row>
    <row r="115" spans="1:15" x14ac:dyDescent="0.35">
      <c r="A115" s="145"/>
      <c r="B115" s="145"/>
      <c r="C115" s="145"/>
      <c r="D115" s="145"/>
      <c r="E115" s="145"/>
      <c r="F115" s="145"/>
      <c r="G115" s="102"/>
      <c r="H115" s="145"/>
      <c r="I115" s="145"/>
      <c r="J115" s="145"/>
      <c r="K115" s="145"/>
      <c r="L115" s="145"/>
      <c r="M115" s="145"/>
      <c r="N115" s="145"/>
      <c r="O115" s="145"/>
    </row>
    <row r="116" spans="1:15" x14ac:dyDescent="0.35">
      <c r="A116" s="145"/>
      <c r="B116" s="145"/>
      <c r="C116" s="145"/>
      <c r="D116" s="145"/>
      <c r="E116" s="145"/>
      <c r="F116" s="145"/>
      <c r="G116" s="102"/>
      <c r="H116" s="145"/>
      <c r="I116" s="145"/>
      <c r="J116" s="145"/>
      <c r="K116" s="145"/>
      <c r="L116" s="145"/>
      <c r="M116" s="145"/>
      <c r="N116" s="145"/>
      <c r="O116" s="145"/>
    </row>
    <row r="117" spans="1:15" x14ac:dyDescent="0.35">
      <c r="A117" s="145"/>
      <c r="B117" s="145"/>
      <c r="C117" s="145"/>
      <c r="D117" s="145"/>
      <c r="E117" s="145"/>
      <c r="F117" s="145"/>
      <c r="G117" s="102"/>
      <c r="H117" s="145"/>
      <c r="I117" s="145"/>
      <c r="J117" s="145"/>
      <c r="K117" s="145"/>
      <c r="L117" s="145"/>
      <c r="M117" s="145"/>
      <c r="N117" s="145"/>
      <c r="O117" s="145"/>
    </row>
    <row r="118" spans="1:15" x14ac:dyDescent="0.35">
      <c r="A118" s="145"/>
      <c r="B118" s="145"/>
      <c r="C118" s="145"/>
      <c r="D118" s="145"/>
      <c r="E118" s="145"/>
      <c r="F118" s="145"/>
      <c r="G118" s="102"/>
      <c r="H118" s="145"/>
      <c r="I118" s="145"/>
      <c r="J118" s="145"/>
      <c r="K118" s="145"/>
      <c r="L118" s="145"/>
      <c r="M118" s="145"/>
      <c r="N118" s="145"/>
      <c r="O118" s="145"/>
    </row>
    <row r="119" spans="1:15" x14ac:dyDescent="0.35">
      <c r="A119" s="145"/>
      <c r="B119" s="145"/>
      <c r="C119" s="145"/>
      <c r="D119" s="145"/>
      <c r="E119" s="145"/>
      <c r="F119" s="145"/>
      <c r="G119" s="102"/>
      <c r="H119" s="145"/>
      <c r="I119" s="145"/>
      <c r="J119" s="145"/>
      <c r="K119" s="145"/>
      <c r="L119" s="145"/>
      <c r="M119" s="145"/>
    </row>
    <row r="120" spans="1:15" x14ac:dyDescent="0.35">
      <c r="A120" s="145"/>
      <c r="B120" s="145"/>
      <c r="C120" s="145"/>
      <c r="D120" s="145"/>
      <c r="E120" s="145"/>
      <c r="F120" s="145"/>
      <c r="G120" s="102"/>
      <c r="H120" s="145"/>
      <c r="I120" s="145"/>
      <c r="J120" s="145"/>
      <c r="K120" s="145"/>
      <c r="L120" s="145"/>
      <c r="M120" s="145"/>
      <c r="N120" s="145"/>
      <c r="O120" s="145"/>
    </row>
    <row r="121" spans="1:15" x14ac:dyDescent="0.35">
      <c r="A121" s="145"/>
      <c r="B121" s="145"/>
      <c r="C121" s="145"/>
      <c r="D121" s="145"/>
      <c r="E121" s="145"/>
      <c r="F121" s="145"/>
      <c r="G121" s="102"/>
      <c r="H121" s="145"/>
      <c r="I121" s="145"/>
      <c r="J121" s="145"/>
      <c r="K121" s="145"/>
      <c r="L121" s="145"/>
      <c r="M121" s="145"/>
      <c r="N121" s="145"/>
      <c r="O121" s="145"/>
    </row>
    <row r="122" spans="1:15" x14ac:dyDescent="0.35">
      <c r="A122" s="145"/>
      <c r="B122" s="145"/>
      <c r="C122" s="145"/>
      <c r="D122" s="145"/>
      <c r="E122" s="145"/>
      <c r="F122" s="145"/>
      <c r="G122" s="102"/>
      <c r="H122" s="145"/>
      <c r="I122" s="145"/>
      <c r="J122" s="145"/>
      <c r="K122" s="145"/>
      <c r="L122" s="145"/>
      <c r="M122" s="145"/>
    </row>
    <row r="123" spans="1:15" x14ac:dyDescent="0.35">
      <c r="A123" s="145"/>
      <c r="B123" s="145"/>
      <c r="C123" s="145"/>
      <c r="D123" s="145"/>
      <c r="E123" s="145"/>
      <c r="F123" s="145"/>
      <c r="G123" s="102"/>
      <c r="H123" s="145"/>
      <c r="I123" s="145"/>
      <c r="J123" s="145"/>
      <c r="K123" s="145"/>
      <c r="L123" s="145"/>
      <c r="M123" s="145"/>
      <c r="N123" s="145"/>
      <c r="O123" s="145"/>
    </row>
    <row r="124" spans="1:15" x14ac:dyDescent="0.35">
      <c r="A124" s="145"/>
      <c r="B124" s="145"/>
      <c r="C124" s="145"/>
      <c r="D124" s="145"/>
      <c r="E124" s="145"/>
      <c r="F124" s="145"/>
      <c r="G124" s="102"/>
      <c r="H124" s="145"/>
      <c r="I124" s="145"/>
      <c r="J124" s="145"/>
      <c r="K124" s="145"/>
      <c r="L124" s="145"/>
      <c r="M124" s="145"/>
    </row>
    <row r="125" spans="1:15" x14ac:dyDescent="0.35">
      <c r="A125" s="145"/>
      <c r="B125" s="145"/>
      <c r="C125" s="145"/>
      <c r="D125" s="145"/>
      <c r="E125" s="145"/>
      <c r="F125" s="145"/>
      <c r="G125" s="102"/>
      <c r="H125" s="145"/>
      <c r="I125" s="145"/>
      <c r="J125" s="145"/>
      <c r="K125" s="145"/>
      <c r="L125" s="145"/>
      <c r="M125" s="145"/>
    </row>
    <row r="126" spans="1:15" x14ac:dyDescent="0.35">
      <c r="A126" s="145"/>
      <c r="B126" s="145"/>
      <c r="C126" s="145"/>
      <c r="D126" s="145"/>
      <c r="E126" s="145"/>
      <c r="F126" s="145"/>
      <c r="G126" s="102"/>
      <c r="H126" s="145"/>
      <c r="I126" s="145"/>
      <c r="J126" s="145"/>
      <c r="K126" s="145"/>
      <c r="L126" s="145"/>
      <c r="M126" s="145"/>
      <c r="N126" s="145"/>
      <c r="O126" s="145"/>
    </row>
    <row r="127" spans="1:15" x14ac:dyDescent="0.35">
      <c r="A127" s="145"/>
      <c r="B127" s="145"/>
      <c r="C127" s="145"/>
      <c r="D127" s="145"/>
      <c r="E127" s="145"/>
      <c r="F127" s="145"/>
      <c r="G127" s="102"/>
      <c r="H127" s="145"/>
      <c r="I127" s="145"/>
      <c r="J127" s="145"/>
      <c r="K127" s="145"/>
      <c r="L127" s="145"/>
      <c r="M127" s="145"/>
      <c r="N127" s="145"/>
      <c r="O127" s="145"/>
    </row>
    <row r="128" spans="1:15" x14ac:dyDescent="0.35">
      <c r="A128" s="145"/>
      <c r="B128" s="145"/>
      <c r="C128" s="145"/>
      <c r="D128" s="145"/>
      <c r="E128" s="145"/>
      <c r="F128" s="145"/>
      <c r="G128" s="102"/>
      <c r="H128" s="145"/>
      <c r="I128" s="145"/>
      <c r="J128" s="145"/>
      <c r="K128" s="145"/>
      <c r="L128" s="145"/>
      <c r="M128" s="145"/>
      <c r="N128" s="145"/>
      <c r="O128" s="145"/>
    </row>
    <row r="129" spans="1:15" x14ac:dyDescent="0.35">
      <c r="A129" s="145"/>
      <c r="B129" s="145"/>
      <c r="C129" s="145"/>
      <c r="D129" s="145"/>
      <c r="E129" s="145"/>
      <c r="F129" s="145"/>
      <c r="G129" s="102"/>
      <c r="H129" s="145"/>
      <c r="I129" s="145"/>
      <c r="J129" s="145"/>
      <c r="K129" s="145"/>
      <c r="L129" s="145"/>
      <c r="M129" s="145"/>
      <c r="N129" s="145"/>
      <c r="O129" s="145"/>
    </row>
    <row r="130" spans="1:15" x14ac:dyDescent="0.35">
      <c r="A130" s="145"/>
      <c r="B130" s="145"/>
      <c r="C130" s="145"/>
      <c r="D130" s="145"/>
      <c r="E130" s="145"/>
      <c r="F130" s="145"/>
      <c r="G130" s="102"/>
      <c r="H130" s="145"/>
      <c r="I130" s="145"/>
      <c r="J130" s="145"/>
      <c r="K130" s="145"/>
      <c r="L130" s="145"/>
      <c r="M130" s="145"/>
    </row>
    <row r="131" spans="1:15" x14ac:dyDescent="0.35">
      <c r="A131" s="145"/>
      <c r="B131" s="145"/>
      <c r="C131" s="145"/>
      <c r="D131" s="145"/>
      <c r="E131" s="145"/>
      <c r="F131" s="145"/>
      <c r="G131" s="102"/>
      <c r="H131" s="145"/>
      <c r="I131" s="145"/>
      <c r="J131" s="145"/>
      <c r="K131" s="145"/>
      <c r="L131" s="145"/>
      <c r="M131" s="145"/>
      <c r="N131" s="145"/>
      <c r="O131" s="145"/>
    </row>
    <row r="132" spans="1:15" x14ac:dyDescent="0.35">
      <c r="A132" s="145"/>
      <c r="B132" s="145"/>
      <c r="C132" s="145"/>
      <c r="D132" s="145"/>
      <c r="E132" s="145"/>
      <c r="F132" s="145"/>
      <c r="G132" s="102"/>
      <c r="H132" s="145"/>
      <c r="I132" s="145"/>
      <c r="J132" s="145"/>
      <c r="K132" s="145"/>
      <c r="L132" s="145"/>
      <c r="M132" s="145"/>
      <c r="N132" s="145"/>
      <c r="O132" s="145"/>
    </row>
    <row r="133" spans="1:15" x14ac:dyDescent="0.35">
      <c r="A133" s="145"/>
      <c r="B133" s="145"/>
      <c r="C133" s="145"/>
      <c r="D133" s="145"/>
      <c r="E133" s="145"/>
      <c r="F133" s="145"/>
      <c r="G133" s="102"/>
      <c r="H133" s="145"/>
      <c r="I133" s="145"/>
      <c r="J133" s="145"/>
      <c r="K133" s="145"/>
      <c r="L133" s="145"/>
      <c r="M133" s="145"/>
      <c r="N133" s="145"/>
      <c r="O133" s="145"/>
    </row>
    <row r="134" spans="1:15" x14ac:dyDescent="0.35">
      <c r="A134" s="145"/>
      <c r="B134" s="145"/>
      <c r="C134" s="145"/>
      <c r="D134" s="145"/>
      <c r="E134" s="145"/>
      <c r="F134" s="145"/>
      <c r="G134" s="102"/>
      <c r="H134" s="145"/>
      <c r="I134" s="145"/>
      <c r="J134" s="145"/>
      <c r="K134" s="145"/>
      <c r="L134" s="145"/>
      <c r="M134" s="145"/>
    </row>
    <row r="135" spans="1:15" x14ac:dyDescent="0.35">
      <c r="A135" s="145"/>
      <c r="B135" s="145"/>
      <c r="C135" s="145"/>
      <c r="D135" s="145"/>
      <c r="E135" s="145"/>
      <c r="F135" s="145"/>
      <c r="G135" s="102"/>
      <c r="H135" s="145"/>
      <c r="I135" s="145"/>
      <c r="J135" s="145"/>
      <c r="K135" s="145"/>
      <c r="L135" s="145"/>
      <c r="M135" s="145"/>
      <c r="N135" s="145"/>
      <c r="O135" s="145"/>
    </row>
    <row r="136" spans="1:15" x14ac:dyDescent="0.35">
      <c r="A136" s="145"/>
      <c r="B136" s="145"/>
      <c r="C136" s="145"/>
      <c r="D136" s="145"/>
      <c r="E136" s="145"/>
      <c r="F136" s="145"/>
      <c r="G136" s="102"/>
      <c r="H136" s="145"/>
      <c r="I136" s="145"/>
      <c r="J136" s="145"/>
      <c r="K136" s="145"/>
      <c r="L136" s="145"/>
      <c r="M136" s="145"/>
      <c r="N136" s="145"/>
      <c r="O136" s="145"/>
    </row>
    <row r="137" spans="1:15" x14ac:dyDescent="0.35">
      <c r="A137" s="145"/>
      <c r="B137" s="145"/>
      <c r="C137" s="145"/>
      <c r="D137" s="145"/>
      <c r="E137" s="145"/>
      <c r="F137" s="145"/>
      <c r="G137" s="102"/>
      <c r="H137" s="145"/>
      <c r="I137" s="145"/>
      <c r="J137" s="145"/>
      <c r="K137" s="145"/>
      <c r="L137" s="145"/>
      <c r="M137" s="145"/>
      <c r="N137" s="145"/>
      <c r="O137" s="145"/>
    </row>
    <row r="138" spans="1:15" x14ac:dyDescent="0.35">
      <c r="A138" s="145"/>
      <c r="B138" s="145"/>
      <c r="C138" s="145"/>
      <c r="D138" s="145"/>
      <c r="E138" s="145"/>
      <c r="F138" s="145"/>
      <c r="G138" s="102"/>
      <c r="H138" s="145"/>
      <c r="I138" s="145"/>
      <c r="J138" s="145"/>
      <c r="K138" s="145"/>
      <c r="L138" s="145"/>
      <c r="M138" s="145"/>
      <c r="N138" s="145"/>
      <c r="O138" s="145"/>
    </row>
    <row r="139" spans="1:15" x14ac:dyDescent="0.35">
      <c r="A139" s="145"/>
      <c r="B139" s="145"/>
      <c r="C139" s="145"/>
      <c r="D139" s="145"/>
      <c r="E139" s="145"/>
      <c r="F139" s="145"/>
      <c r="G139" s="102"/>
      <c r="H139" s="145"/>
      <c r="I139" s="145"/>
      <c r="J139" s="145"/>
      <c r="K139" s="145"/>
      <c r="L139" s="145"/>
      <c r="M139" s="145"/>
    </row>
    <row r="140" spans="1:15" x14ac:dyDescent="0.35">
      <c r="A140" s="145"/>
      <c r="B140" s="145"/>
      <c r="C140" s="145"/>
      <c r="D140" s="145"/>
      <c r="E140" s="145"/>
      <c r="F140" s="145"/>
      <c r="G140" s="102"/>
      <c r="H140" s="145"/>
      <c r="I140" s="145"/>
      <c r="J140" s="145"/>
      <c r="K140" s="145"/>
      <c r="L140" s="145"/>
      <c r="M140" s="145"/>
      <c r="N140" s="31"/>
      <c r="O140" s="31"/>
    </row>
    <row r="141" spans="1:15" x14ac:dyDescent="0.35">
      <c r="A141" s="145"/>
      <c r="B141" s="145"/>
      <c r="C141" s="145"/>
      <c r="D141" s="145"/>
      <c r="E141" s="145"/>
      <c r="F141" s="145"/>
      <c r="G141" s="102"/>
      <c r="H141" s="145"/>
      <c r="I141" s="145"/>
      <c r="J141" s="145"/>
      <c r="K141" s="145"/>
      <c r="L141" s="145"/>
      <c r="M141" s="145"/>
      <c r="N141" s="145"/>
      <c r="O141" s="145"/>
    </row>
    <row r="142" spans="1:15" x14ac:dyDescent="0.35">
      <c r="A142" s="145"/>
      <c r="B142" s="145"/>
      <c r="C142" s="145"/>
      <c r="D142" s="145"/>
      <c r="E142" s="145"/>
      <c r="F142" s="145"/>
      <c r="G142" s="102"/>
      <c r="H142" s="145"/>
      <c r="I142" s="145"/>
      <c r="J142" s="145"/>
      <c r="K142" s="145"/>
      <c r="L142" s="145"/>
      <c r="M142" s="145"/>
      <c r="N142" s="145"/>
      <c r="O142" s="145"/>
    </row>
    <row r="143" spans="1:15" x14ac:dyDescent="0.35">
      <c r="A143" s="145"/>
      <c r="B143" s="145"/>
      <c r="C143" s="145"/>
      <c r="D143" s="145"/>
      <c r="E143" s="145"/>
      <c r="F143" s="145"/>
      <c r="G143" s="102"/>
      <c r="H143" s="145"/>
      <c r="I143" s="145"/>
      <c r="J143" s="145"/>
      <c r="K143" s="145"/>
      <c r="L143" s="145"/>
      <c r="M143" s="145"/>
    </row>
    <row r="144" spans="1:15" x14ac:dyDescent="0.35">
      <c r="A144" s="145"/>
      <c r="B144" s="145"/>
      <c r="C144" s="145"/>
      <c r="D144" s="145"/>
      <c r="E144" s="145"/>
      <c r="F144" s="145"/>
      <c r="G144" s="102"/>
      <c r="H144" s="145"/>
      <c r="I144" s="145"/>
      <c r="J144" s="145"/>
      <c r="K144" s="145"/>
      <c r="L144" s="145"/>
      <c r="M144" s="145"/>
      <c r="N144" s="145"/>
      <c r="O144" s="145"/>
    </row>
    <row r="145" spans="1:15" x14ac:dyDescent="0.35">
      <c r="A145" s="145"/>
      <c r="B145" s="145"/>
      <c r="C145" s="145"/>
      <c r="D145" s="145"/>
      <c r="E145" s="145"/>
      <c r="F145" s="145"/>
      <c r="G145" s="102"/>
      <c r="H145" s="145"/>
      <c r="I145" s="145"/>
      <c r="J145" s="145"/>
      <c r="K145" s="145"/>
      <c r="L145" s="145"/>
      <c r="M145" s="145"/>
      <c r="N145" s="145"/>
      <c r="O145" s="145"/>
    </row>
    <row r="146" spans="1:15" x14ac:dyDescent="0.35">
      <c r="A146" s="145"/>
      <c r="B146" s="145"/>
      <c r="C146" s="145"/>
      <c r="D146" s="145"/>
      <c r="E146" s="145"/>
      <c r="F146" s="145"/>
      <c r="G146" s="102"/>
      <c r="H146" s="145"/>
      <c r="I146" s="145"/>
      <c r="J146" s="145"/>
      <c r="K146" s="145"/>
      <c r="L146" s="145"/>
      <c r="M146" s="145"/>
      <c r="N146" s="145"/>
      <c r="O146" s="145"/>
    </row>
    <row r="147" spans="1:15" x14ac:dyDescent="0.35">
      <c r="A147" s="145"/>
      <c r="B147" s="145"/>
      <c r="C147" s="145"/>
      <c r="D147" s="145"/>
      <c r="E147" s="145"/>
      <c r="F147" s="145"/>
      <c r="G147" s="102"/>
      <c r="H147" s="145"/>
      <c r="I147" s="145"/>
      <c r="J147" s="145"/>
      <c r="K147" s="145"/>
      <c r="L147" s="145"/>
      <c r="M147" s="145"/>
      <c r="N147" s="145"/>
      <c r="O147" s="145"/>
    </row>
    <row r="148" spans="1:15" x14ac:dyDescent="0.35">
      <c r="A148" s="145"/>
      <c r="B148" s="145"/>
      <c r="C148" s="145"/>
      <c r="D148" s="145"/>
      <c r="E148" s="145"/>
      <c r="F148" s="145"/>
      <c r="G148" s="102"/>
      <c r="H148" s="145"/>
      <c r="I148" s="145"/>
      <c r="J148" s="145"/>
      <c r="K148" s="145"/>
      <c r="L148" s="145"/>
      <c r="M148" s="145"/>
      <c r="N148" s="145"/>
      <c r="O148" s="145"/>
    </row>
    <row r="149" spans="1:15" x14ac:dyDescent="0.35">
      <c r="A149" s="145"/>
      <c r="B149" s="145"/>
      <c r="C149" s="145"/>
      <c r="D149" s="145"/>
      <c r="E149" s="145"/>
      <c r="F149" s="145"/>
      <c r="G149" s="102"/>
      <c r="H149" s="145"/>
      <c r="I149" s="145"/>
      <c r="J149" s="145"/>
      <c r="K149" s="145"/>
      <c r="L149" s="145"/>
      <c r="M149" s="145"/>
      <c r="N149" s="145"/>
      <c r="O149" s="145"/>
    </row>
    <row r="150" spans="1:15" x14ac:dyDescent="0.35">
      <c r="A150" s="145"/>
      <c r="B150" s="145"/>
      <c r="C150" s="145"/>
      <c r="D150" s="145"/>
      <c r="E150" s="145"/>
      <c r="F150" s="145"/>
      <c r="G150" s="102"/>
      <c r="H150" s="145"/>
      <c r="I150" s="145"/>
      <c r="J150" s="145"/>
      <c r="K150" s="145"/>
      <c r="L150" s="145"/>
      <c r="M150" s="145"/>
      <c r="N150" s="145"/>
      <c r="O150" s="145"/>
    </row>
    <row r="151" spans="1:15" x14ac:dyDescent="0.35">
      <c r="A151" s="145"/>
      <c r="B151" s="145"/>
      <c r="C151" s="145"/>
      <c r="D151" s="145"/>
      <c r="E151" s="145"/>
      <c r="F151" s="145"/>
      <c r="G151" s="102"/>
      <c r="H151" s="145"/>
      <c r="I151" s="145"/>
      <c r="J151" s="145"/>
      <c r="K151" s="145"/>
      <c r="L151" s="145"/>
      <c r="M151" s="145"/>
      <c r="N151" s="145"/>
      <c r="O151" s="145"/>
    </row>
    <row r="152" spans="1:15" x14ac:dyDescent="0.35">
      <c r="A152" s="145"/>
      <c r="B152" s="145"/>
      <c r="C152" s="145"/>
      <c r="D152" s="145"/>
      <c r="E152" s="145"/>
      <c r="F152" s="145"/>
      <c r="G152" s="102"/>
      <c r="H152" s="145"/>
      <c r="I152" s="145"/>
      <c r="J152" s="145"/>
      <c r="K152" s="145"/>
      <c r="L152" s="145"/>
      <c r="M152" s="145"/>
      <c r="N152" s="145"/>
      <c r="O152" s="145"/>
    </row>
    <row r="153" spans="1:15" x14ac:dyDescent="0.35">
      <c r="A153" s="145"/>
      <c r="B153" s="145"/>
      <c r="C153" s="145"/>
      <c r="D153" s="145"/>
      <c r="E153" s="145"/>
      <c r="F153" s="145"/>
      <c r="G153" s="102"/>
      <c r="H153" s="145"/>
      <c r="I153" s="145"/>
      <c r="J153" s="145"/>
      <c r="K153" s="145"/>
      <c r="L153" s="145"/>
      <c r="M153" s="145"/>
      <c r="N153" s="145"/>
      <c r="O153" s="145"/>
    </row>
    <row r="154" spans="1:15" x14ac:dyDescent="0.35">
      <c r="A154" s="145"/>
      <c r="B154" s="145"/>
      <c r="C154" s="145"/>
      <c r="D154" s="145"/>
      <c r="E154" s="145"/>
      <c r="F154" s="145"/>
      <c r="G154" s="102"/>
      <c r="H154" s="145"/>
      <c r="I154" s="145"/>
      <c r="J154" s="145"/>
      <c r="K154" s="145"/>
      <c r="L154" s="145"/>
      <c r="M154" s="145"/>
      <c r="N154" s="145"/>
      <c r="O154" s="145"/>
    </row>
    <row r="155" spans="1:15" x14ac:dyDescent="0.35">
      <c r="A155" s="145"/>
      <c r="B155" s="145"/>
      <c r="C155" s="145"/>
      <c r="D155" s="145"/>
      <c r="E155" s="145"/>
      <c r="F155" s="145"/>
      <c r="G155" s="102"/>
      <c r="H155" s="145"/>
      <c r="I155" s="145"/>
      <c r="J155" s="145"/>
      <c r="K155" s="145"/>
      <c r="L155" s="145"/>
      <c r="M155" s="145"/>
      <c r="N155" s="145"/>
      <c r="O155" s="145"/>
    </row>
    <row r="156" spans="1:15" x14ac:dyDescent="0.35">
      <c r="A156" s="145"/>
      <c r="B156" s="145"/>
      <c r="C156" s="145"/>
      <c r="D156" s="145"/>
      <c r="E156" s="145"/>
      <c r="F156" s="145"/>
      <c r="G156" s="102"/>
      <c r="H156" s="145"/>
      <c r="I156" s="145"/>
      <c r="J156" s="145"/>
      <c r="K156" s="145"/>
      <c r="L156" s="145"/>
      <c r="M156" s="145"/>
      <c r="N156" s="145"/>
      <c r="O156" s="145"/>
    </row>
    <row r="157" spans="1:15" x14ac:dyDescent="0.35">
      <c r="A157" s="145"/>
      <c r="B157" s="145"/>
      <c r="C157" s="145"/>
      <c r="D157" s="145"/>
      <c r="E157" s="145"/>
      <c r="F157" s="145"/>
      <c r="G157" s="102"/>
      <c r="H157" s="145"/>
      <c r="I157" s="145"/>
      <c r="J157" s="145"/>
      <c r="K157" s="145"/>
      <c r="L157" s="145"/>
      <c r="M157" s="145"/>
      <c r="N157" s="145"/>
      <c r="O157" s="145"/>
    </row>
    <row r="158" spans="1:15" x14ac:dyDescent="0.35">
      <c r="A158" s="145"/>
      <c r="B158" s="145"/>
      <c r="C158" s="145"/>
      <c r="D158" s="145"/>
      <c r="E158" s="145"/>
      <c r="F158" s="145"/>
      <c r="G158" s="102"/>
      <c r="H158" s="145"/>
      <c r="I158" s="145"/>
      <c r="J158" s="145"/>
      <c r="K158" s="145"/>
      <c r="L158" s="145"/>
      <c r="M158" s="145"/>
      <c r="N158" s="145"/>
      <c r="O158" s="145"/>
    </row>
    <row r="159" spans="1:15" x14ac:dyDescent="0.35">
      <c r="A159" s="145"/>
      <c r="B159" s="145"/>
      <c r="C159" s="145"/>
      <c r="D159" s="145"/>
      <c r="E159" s="145"/>
      <c r="F159" s="145"/>
      <c r="G159" s="102"/>
      <c r="H159" s="145"/>
      <c r="I159" s="145"/>
      <c r="J159" s="145"/>
      <c r="K159" s="145"/>
      <c r="L159" s="145"/>
      <c r="M159" s="145"/>
      <c r="N159" s="145"/>
      <c r="O159" s="145"/>
    </row>
    <row r="160" spans="1:15" x14ac:dyDescent="0.35">
      <c r="A160" s="145"/>
      <c r="B160" s="145"/>
      <c r="C160" s="145"/>
      <c r="D160" s="145"/>
      <c r="E160" s="145"/>
      <c r="F160" s="145"/>
      <c r="G160" s="102"/>
      <c r="H160" s="145"/>
      <c r="I160" s="145"/>
      <c r="J160" s="145"/>
      <c r="K160" s="145"/>
      <c r="L160" s="145"/>
      <c r="M160" s="145"/>
      <c r="N160" s="145"/>
      <c r="O160" s="145"/>
    </row>
    <row r="161" spans="1:15" x14ac:dyDescent="0.35">
      <c r="A161" s="145"/>
      <c r="B161" s="145"/>
      <c r="C161" s="145"/>
      <c r="D161" s="145"/>
      <c r="E161" s="145"/>
      <c r="F161" s="145"/>
      <c r="G161" s="102"/>
      <c r="H161" s="145"/>
      <c r="I161" s="145"/>
      <c r="J161" s="145"/>
      <c r="K161" s="145"/>
      <c r="L161" s="145"/>
      <c r="M161" s="145"/>
      <c r="N161" s="145"/>
      <c r="O161" s="145"/>
    </row>
    <row r="162" spans="1:15" x14ac:dyDescent="0.35">
      <c r="A162" s="145"/>
      <c r="B162" s="145"/>
      <c r="C162" s="145"/>
      <c r="D162" s="145"/>
      <c r="E162" s="145"/>
      <c r="F162" s="145"/>
      <c r="G162" s="102"/>
      <c r="H162" s="145"/>
      <c r="I162" s="145"/>
      <c r="J162" s="145"/>
      <c r="K162" s="145"/>
      <c r="L162" s="145"/>
      <c r="M162" s="145"/>
      <c r="N162" s="145"/>
      <c r="O162" s="145"/>
    </row>
    <row r="163" spans="1:15" x14ac:dyDescent="0.35">
      <c r="A163" s="145"/>
      <c r="B163" s="145"/>
      <c r="C163" s="145"/>
      <c r="D163" s="145"/>
      <c r="E163" s="145"/>
      <c r="F163" s="145"/>
      <c r="G163" s="102"/>
      <c r="H163" s="145"/>
      <c r="I163" s="145"/>
      <c r="J163" s="145"/>
      <c r="K163" s="145"/>
      <c r="L163" s="145"/>
      <c r="M163" s="145"/>
      <c r="N163" s="145"/>
      <c r="O163" s="145"/>
    </row>
    <row r="164" spans="1:15" x14ac:dyDescent="0.35">
      <c r="A164" s="145"/>
      <c r="B164" s="145"/>
      <c r="C164" s="145"/>
      <c r="D164" s="145"/>
      <c r="E164" s="145"/>
      <c r="F164" s="145"/>
      <c r="G164" s="102"/>
      <c r="H164" s="145"/>
      <c r="I164" s="145"/>
      <c r="J164" s="145"/>
      <c r="K164" s="145"/>
      <c r="L164" s="145"/>
      <c r="M164" s="145"/>
      <c r="N164" s="145"/>
      <c r="O164" s="145"/>
    </row>
    <row r="165" spans="1:15" x14ac:dyDescent="0.35">
      <c r="A165" s="145"/>
      <c r="B165" s="145"/>
      <c r="C165" s="145"/>
      <c r="D165" s="145"/>
      <c r="E165" s="145"/>
      <c r="F165" s="145"/>
      <c r="G165" s="102"/>
      <c r="H165" s="145"/>
      <c r="I165" s="145"/>
      <c r="J165" s="145"/>
      <c r="K165" s="145"/>
      <c r="L165" s="145"/>
      <c r="M165" s="145"/>
      <c r="N165" s="145"/>
      <c r="O165" s="145"/>
    </row>
    <row r="166" spans="1:15" x14ac:dyDescent="0.35">
      <c r="A166" s="145"/>
      <c r="B166" s="145"/>
      <c r="C166" s="145"/>
      <c r="D166" s="145"/>
      <c r="E166" s="145"/>
      <c r="F166" s="145"/>
      <c r="G166" s="102"/>
      <c r="H166" s="145"/>
      <c r="I166" s="145"/>
      <c r="J166" s="145"/>
      <c r="K166" s="145"/>
      <c r="L166" s="145"/>
      <c r="M166" s="145"/>
      <c r="N166" s="145"/>
      <c r="O166" s="145"/>
    </row>
    <row r="167" spans="1:15" x14ac:dyDescent="0.35">
      <c r="A167" s="145"/>
      <c r="B167" s="145"/>
      <c r="C167" s="145"/>
      <c r="D167" s="145"/>
      <c r="E167" s="145"/>
      <c r="F167" s="145"/>
      <c r="G167" s="102"/>
      <c r="H167" s="145"/>
      <c r="I167" s="145"/>
      <c r="J167" s="145"/>
      <c r="K167" s="145"/>
      <c r="L167" s="145"/>
      <c r="M167" s="145"/>
      <c r="N167" s="145"/>
      <c r="O167" s="145"/>
    </row>
    <row r="168" spans="1:15" x14ac:dyDescent="0.35">
      <c r="A168" s="145"/>
      <c r="B168" s="145"/>
      <c r="C168" s="145"/>
      <c r="D168" s="145"/>
      <c r="E168" s="145"/>
      <c r="F168" s="145"/>
      <c r="G168" s="102"/>
      <c r="H168" s="145"/>
      <c r="I168" s="145"/>
      <c r="J168" s="145"/>
      <c r="K168" s="145"/>
      <c r="L168" s="145"/>
      <c r="M168" s="145"/>
      <c r="N168" s="145"/>
      <c r="O168" s="145"/>
    </row>
    <row r="169" spans="1:15" x14ac:dyDescent="0.35">
      <c r="A169" s="145"/>
      <c r="B169" s="145"/>
      <c r="C169" s="145"/>
      <c r="D169" s="145"/>
      <c r="E169" s="145"/>
      <c r="F169" s="145"/>
      <c r="G169" s="102"/>
      <c r="H169" s="145"/>
      <c r="I169" s="145"/>
      <c r="J169" s="145"/>
      <c r="K169" s="145"/>
      <c r="L169" s="145"/>
      <c r="M169" s="145"/>
      <c r="N169" s="145"/>
      <c r="O169" s="145"/>
    </row>
    <row r="170" spans="1:15" x14ac:dyDescent="0.35">
      <c r="A170" s="145"/>
      <c r="B170" s="145"/>
      <c r="C170" s="145"/>
      <c r="D170" s="145"/>
      <c r="E170" s="145"/>
      <c r="F170" s="145"/>
      <c r="G170" s="102"/>
      <c r="H170" s="145"/>
      <c r="I170" s="145"/>
      <c r="J170" s="145"/>
      <c r="K170" s="145"/>
      <c r="L170" s="145"/>
      <c r="M170" s="145"/>
      <c r="N170" s="145"/>
      <c r="O170" s="145"/>
    </row>
    <row r="171" spans="1:15" x14ac:dyDescent="0.35">
      <c r="A171" s="145"/>
      <c r="B171" s="145"/>
      <c r="C171" s="145"/>
      <c r="D171" s="145"/>
      <c r="E171" s="145"/>
      <c r="F171" s="145"/>
      <c r="G171" s="102"/>
      <c r="H171" s="145"/>
      <c r="I171" s="145"/>
      <c r="J171" s="145"/>
      <c r="K171" s="145"/>
      <c r="L171" s="145"/>
      <c r="M171" s="145"/>
      <c r="N171" s="145"/>
      <c r="O171" s="145"/>
    </row>
    <row r="172" spans="1:15" x14ac:dyDescent="0.35">
      <c r="A172" s="145"/>
      <c r="B172" s="145"/>
      <c r="C172" s="145"/>
      <c r="D172" s="145"/>
      <c r="E172" s="145"/>
      <c r="F172" s="145"/>
      <c r="G172" s="102"/>
      <c r="H172" s="145"/>
      <c r="I172" s="145"/>
      <c r="J172" s="145"/>
      <c r="K172" s="145"/>
      <c r="L172" s="145"/>
      <c r="M172" s="145"/>
      <c r="N172" s="145"/>
      <c r="O172" s="145"/>
    </row>
    <row r="173" spans="1:15" x14ac:dyDescent="0.35">
      <c r="A173" s="145"/>
      <c r="B173" s="145"/>
      <c r="C173" s="145"/>
      <c r="D173" s="145"/>
      <c r="E173" s="145"/>
      <c r="F173" s="145"/>
      <c r="G173" s="102"/>
      <c r="H173" s="145"/>
      <c r="I173" s="145"/>
      <c r="J173" s="145"/>
      <c r="K173" s="145"/>
      <c r="L173" s="145"/>
      <c r="M173" s="145"/>
      <c r="N173" s="145"/>
      <c r="O173" s="145"/>
    </row>
    <row r="174" spans="1:15" x14ac:dyDescent="0.35">
      <c r="A174" s="145"/>
      <c r="B174" s="145"/>
      <c r="C174" s="145"/>
      <c r="D174" s="145"/>
      <c r="E174" s="145"/>
      <c r="F174" s="145"/>
      <c r="G174" s="102"/>
      <c r="H174" s="145"/>
      <c r="I174" s="145"/>
      <c r="J174" s="145"/>
      <c r="K174" s="145"/>
      <c r="L174" s="145"/>
      <c r="M174" s="145"/>
      <c r="N174" s="145"/>
      <c r="O174" s="145"/>
    </row>
    <row r="175" spans="1:15" x14ac:dyDescent="0.35">
      <c r="A175" s="145"/>
      <c r="B175" s="145"/>
      <c r="C175" s="145"/>
      <c r="D175" s="145"/>
      <c r="E175" s="145"/>
      <c r="F175" s="145"/>
      <c r="G175" s="102"/>
      <c r="H175" s="145"/>
      <c r="I175" s="145"/>
      <c r="J175" s="145"/>
      <c r="K175" s="145"/>
      <c r="L175" s="145"/>
      <c r="M175" s="145"/>
    </row>
    <row r="176" spans="1:15" x14ac:dyDescent="0.35">
      <c r="A176" s="145"/>
      <c r="B176" s="145"/>
      <c r="C176" s="145"/>
      <c r="D176" s="145"/>
      <c r="E176" s="145"/>
      <c r="F176" s="145"/>
      <c r="G176" s="102"/>
      <c r="H176" s="145"/>
      <c r="I176" s="145"/>
      <c r="J176" s="145"/>
      <c r="K176" s="145"/>
      <c r="L176" s="145"/>
      <c r="M176" s="145"/>
    </row>
    <row r="177" spans="1:15" x14ac:dyDescent="0.35">
      <c r="A177" s="145"/>
      <c r="B177" s="145"/>
      <c r="C177" s="145"/>
      <c r="D177" s="145"/>
      <c r="E177" s="145"/>
      <c r="F177" s="145"/>
      <c r="G177" s="102"/>
      <c r="H177" s="145"/>
      <c r="I177" s="145"/>
      <c r="J177" s="145"/>
      <c r="K177" s="145"/>
      <c r="L177" s="145"/>
      <c r="M177" s="145"/>
    </row>
    <row r="178" spans="1:15" x14ac:dyDescent="0.35">
      <c r="A178" s="145"/>
      <c r="B178" s="145"/>
      <c r="C178" s="145"/>
      <c r="D178" s="145"/>
      <c r="E178" s="145"/>
      <c r="F178" s="145"/>
      <c r="G178" s="102"/>
      <c r="H178" s="145"/>
      <c r="I178" s="145"/>
      <c r="J178" s="145"/>
      <c r="K178" s="145"/>
      <c r="L178" s="145"/>
      <c r="M178" s="145"/>
      <c r="N178" s="145"/>
      <c r="O178" s="145"/>
    </row>
    <row r="179" spans="1:15" x14ac:dyDescent="0.35">
      <c r="A179" s="145"/>
      <c r="B179" s="145"/>
      <c r="C179" s="145"/>
      <c r="D179" s="145"/>
      <c r="E179" s="145"/>
      <c r="F179" s="145"/>
      <c r="G179" s="102"/>
      <c r="H179" s="145"/>
      <c r="I179" s="145"/>
      <c r="J179" s="145"/>
      <c r="K179" s="145"/>
      <c r="L179" s="145"/>
      <c r="M179" s="145"/>
      <c r="N179" s="145"/>
      <c r="O179" s="145"/>
    </row>
    <row r="180" spans="1:15" x14ac:dyDescent="0.35">
      <c r="A180" s="145"/>
      <c r="B180" s="145"/>
      <c r="C180" s="145"/>
      <c r="D180" s="145"/>
      <c r="E180" s="145"/>
      <c r="F180" s="145"/>
      <c r="G180" s="102"/>
      <c r="H180" s="145"/>
      <c r="I180" s="145"/>
      <c r="J180" s="145"/>
      <c r="K180" s="145"/>
      <c r="L180" s="145"/>
      <c r="M180" s="145"/>
      <c r="N180" s="145"/>
      <c r="O180" s="145"/>
    </row>
    <row r="181" spans="1:15" x14ac:dyDescent="0.35">
      <c r="A181" s="145"/>
      <c r="B181" s="145"/>
      <c r="C181" s="145"/>
      <c r="D181" s="145"/>
      <c r="E181" s="145"/>
      <c r="F181" s="145"/>
      <c r="G181" s="102"/>
      <c r="H181" s="145"/>
      <c r="I181" s="145"/>
      <c r="J181" s="145"/>
      <c r="K181" s="145"/>
      <c r="L181" s="145"/>
      <c r="M181" s="145"/>
      <c r="N181" s="145"/>
      <c r="O181" s="145"/>
    </row>
    <row r="182" spans="1:15" x14ac:dyDescent="0.35">
      <c r="A182" s="145"/>
      <c r="B182" s="145"/>
      <c r="C182" s="145"/>
      <c r="D182" s="145"/>
      <c r="E182" s="145"/>
      <c r="F182" s="145"/>
      <c r="G182" s="102"/>
      <c r="H182" s="145"/>
      <c r="I182" s="145"/>
      <c r="J182" s="145"/>
      <c r="K182" s="145"/>
      <c r="L182" s="145"/>
      <c r="M182" s="145"/>
      <c r="N182" s="145"/>
      <c r="O182" s="145"/>
    </row>
    <row r="183" spans="1:15" x14ac:dyDescent="0.35">
      <c r="A183" s="145"/>
      <c r="B183" s="145"/>
      <c r="C183" s="145"/>
      <c r="D183" s="145"/>
      <c r="E183" s="145"/>
      <c r="F183" s="145"/>
      <c r="G183" s="102"/>
      <c r="H183" s="145"/>
      <c r="I183" s="145"/>
      <c r="J183" s="145"/>
      <c r="K183" s="145"/>
      <c r="L183" s="145"/>
      <c r="M183" s="145"/>
      <c r="N183" s="145"/>
      <c r="O183" s="145"/>
    </row>
    <row r="184" spans="1:15" x14ac:dyDescent="0.35">
      <c r="A184" s="145"/>
      <c r="B184" s="145"/>
      <c r="C184" s="145"/>
      <c r="D184" s="145"/>
      <c r="E184" s="145"/>
      <c r="F184" s="145"/>
      <c r="G184" s="102"/>
      <c r="H184" s="145"/>
      <c r="I184" s="145"/>
      <c r="J184" s="145"/>
      <c r="K184" s="145"/>
      <c r="L184" s="145"/>
      <c r="M184" s="145"/>
      <c r="N184" s="145"/>
      <c r="O184" s="145"/>
    </row>
    <row r="185" spans="1:15" x14ac:dyDescent="0.35">
      <c r="A185" s="145"/>
      <c r="B185" s="145"/>
      <c r="C185" s="145"/>
      <c r="D185" s="145"/>
      <c r="E185" s="145"/>
      <c r="F185" s="145"/>
      <c r="G185" s="102"/>
      <c r="H185" s="145"/>
      <c r="I185" s="145"/>
      <c r="J185" s="145"/>
      <c r="K185" s="145"/>
      <c r="L185" s="145"/>
      <c r="M185" s="145"/>
      <c r="N185" s="145"/>
      <c r="O185" s="145"/>
    </row>
    <row r="186" spans="1:15" x14ac:dyDescent="0.35">
      <c r="A186" s="145"/>
      <c r="B186" s="145"/>
      <c r="C186" s="145"/>
      <c r="D186" s="145"/>
      <c r="E186" s="145"/>
      <c r="F186" s="145"/>
      <c r="G186" s="102"/>
      <c r="H186" s="145"/>
      <c r="I186" s="145"/>
      <c r="J186" s="145"/>
      <c r="K186" s="145"/>
      <c r="L186" s="145"/>
      <c r="M186" s="145"/>
      <c r="N186" s="145"/>
      <c r="O186" s="145"/>
    </row>
    <row r="187" spans="1:15" x14ac:dyDescent="0.35">
      <c r="A187" s="145"/>
      <c r="B187" s="145"/>
      <c r="C187" s="145"/>
      <c r="D187" s="145"/>
      <c r="E187" s="145"/>
      <c r="F187" s="145"/>
      <c r="G187" s="102"/>
      <c r="H187" s="145"/>
      <c r="I187" s="145"/>
      <c r="J187" s="145"/>
      <c r="K187" s="145"/>
      <c r="L187" s="145"/>
      <c r="M187" s="145"/>
      <c r="N187" s="145"/>
      <c r="O187" s="145"/>
    </row>
    <row r="188" spans="1:15" x14ac:dyDescent="0.35">
      <c r="A188" s="145"/>
      <c r="B188" s="145"/>
      <c r="C188" s="145"/>
      <c r="D188" s="145"/>
      <c r="E188" s="145"/>
      <c r="F188" s="145"/>
      <c r="G188" s="102"/>
      <c r="H188" s="145"/>
      <c r="I188" s="145"/>
      <c r="J188" s="145"/>
      <c r="K188" s="145"/>
      <c r="L188" s="145"/>
      <c r="M188" s="145"/>
      <c r="N188" s="145"/>
      <c r="O188" s="145"/>
    </row>
    <row r="189" spans="1:15" x14ac:dyDescent="0.35">
      <c r="A189" s="145"/>
      <c r="B189" s="145"/>
      <c r="C189" s="145"/>
      <c r="D189" s="145"/>
      <c r="E189" s="145"/>
      <c r="F189" s="145"/>
      <c r="G189" s="102"/>
      <c r="H189" s="145"/>
      <c r="I189" s="145"/>
      <c r="J189" s="145"/>
      <c r="K189" s="145"/>
      <c r="L189" s="145"/>
      <c r="M189" s="145"/>
      <c r="N189" s="31"/>
      <c r="O189" s="31"/>
    </row>
    <row r="190" spans="1:15" x14ac:dyDescent="0.35">
      <c r="A190" s="145"/>
      <c r="B190" s="145"/>
      <c r="C190" s="145"/>
      <c r="D190" s="145"/>
      <c r="E190" s="145"/>
      <c r="F190" s="145"/>
      <c r="G190" s="102"/>
      <c r="H190" s="145"/>
      <c r="I190" s="145"/>
      <c r="J190" s="145"/>
      <c r="K190" s="145"/>
      <c r="L190" s="145"/>
      <c r="M190" s="145"/>
      <c r="N190" s="145"/>
      <c r="O190" s="145"/>
    </row>
    <row r="191" spans="1:15" x14ac:dyDescent="0.35">
      <c r="A191" s="145"/>
      <c r="B191" s="145"/>
      <c r="C191" s="145"/>
      <c r="D191" s="145"/>
      <c r="E191" s="145"/>
      <c r="F191" s="145"/>
      <c r="G191" s="102"/>
      <c r="H191" s="145"/>
      <c r="I191" s="145"/>
      <c r="J191" s="145"/>
      <c r="K191" s="145"/>
      <c r="L191" s="145"/>
      <c r="M191" s="145"/>
      <c r="N191" s="145"/>
      <c r="O191" s="145"/>
    </row>
    <row r="192" spans="1:15" x14ac:dyDescent="0.35">
      <c r="A192" s="145"/>
      <c r="B192" s="145"/>
      <c r="C192" s="145"/>
      <c r="D192" s="145"/>
      <c r="E192" s="145"/>
      <c r="F192" s="145"/>
      <c r="G192" s="102"/>
      <c r="H192" s="145"/>
      <c r="I192" s="145"/>
      <c r="J192" s="145"/>
      <c r="K192" s="145"/>
      <c r="L192" s="145"/>
      <c r="M192" s="145"/>
      <c r="N192" s="145"/>
      <c r="O192" s="145"/>
    </row>
    <row r="193" spans="1:15" x14ac:dyDescent="0.35">
      <c r="A193" s="145"/>
      <c r="B193" s="145"/>
      <c r="C193" s="145"/>
      <c r="D193" s="145"/>
      <c r="E193" s="145"/>
      <c r="F193" s="145"/>
      <c r="G193" s="102"/>
      <c r="H193" s="145"/>
      <c r="I193" s="145"/>
      <c r="J193" s="145"/>
      <c r="K193" s="145"/>
      <c r="L193" s="145"/>
      <c r="M193" s="145"/>
      <c r="N193" s="145"/>
      <c r="O193" s="145"/>
    </row>
    <row r="194" spans="1:15" x14ac:dyDescent="0.35">
      <c r="A194" s="145"/>
      <c r="B194" s="145"/>
      <c r="C194" s="145"/>
      <c r="D194" s="145"/>
      <c r="E194" s="145"/>
      <c r="F194" s="145"/>
      <c r="G194" s="102"/>
      <c r="H194" s="145"/>
      <c r="I194" s="145"/>
      <c r="J194" s="145"/>
      <c r="K194" s="145"/>
      <c r="L194" s="145"/>
      <c r="M194" s="145"/>
    </row>
    <row r="195" spans="1:15" x14ac:dyDescent="0.35">
      <c r="A195" s="145"/>
      <c r="B195" s="145"/>
      <c r="C195" s="145"/>
      <c r="D195" s="145"/>
      <c r="E195" s="145"/>
      <c r="F195" s="145"/>
      <c r="G195" s="102"/>
      <c r="H195" s="145"/>
      <c r="I195" s="145"/>
      <c r="J195" s="145"/>
      <c r="K195" s="145"/>
      <c r="L195" s="145"/>
      <c r="M195" s="145"/>
    </row>
    <row r="196" spans="1:15" x14ac:dyDescent="0.35">
      <c r="A196" s="145"/>
      <c r="B196" s="145"/>
      <c r="C196" s="145"/>
      <c r="D196" s="145"/>
      <c r="E196" s="145"/>
      <c r="F196" s="145"/>
      <c r="G196" s="102"/>
      <c r="H196" s="145"/>
      <c r="I196" s="145"/>
      <c r="J196" s="145"/>
      <c r="K196" s="145"/>
      <c r="L196" s="145"/>
      <c r="M196" s="145"/>
    </row>
    <row r="197" spans="1:15" x14ac:dyDescent="0.35">
      <c r="A197" s="145"/>
      <c r="B197" s="145"/>
      <c r="C197" s="145"/>
      <c r="D197" s="145"/>
      <c r="E197" s="145"/>
      <c r="F197" s="145"/>
      <c r="G197" s="102"/>
      <c r="H197" s="145"/>
      <c r="I197" s="145"/>
      <c r="J197" s="145"/>
      <c r="K197" s="145"/>
      <c r="L197" s="145"/>
      <c r="M197" s="145"/>
      <c r="N197" s="145"/>
      <c r="O197" s="145"/>
    </row>
    <row r="198" spans="1:15" x14ac:dyDescent="0.35">
      <c r="A198" s="145"/>
      <c r="B198" s="145"/>
      <c r="C198" s="145"/>
      <c r="D198" s="145"/>
      <c r="E198" s="145"/>
      <c r="F198" s="145"/>
      <c r="G198" s="102"/>
      <c r="H198" s="145"/>
      <c r="I198" s="145"/>
      <c r="J198" s="145"/>
      <c r="K198" s="145"/>
      <c r="L198" s="145"/>
      <c r="M198" s="145"/>
      <c r="N198" s="145"/>
      <c r="O198" s="145"/>
    </row>
    <row r="199" spans="1:15" x14ac:dyDescent="0.35">
      <c r="A199" s="145"/>
      <c r="B199" s="145"/>
      <c r="C199" s="145"/>
      <c r="D199" s="145"/>
      <c r="E199" s="145"/>
      <c r="F199" s="145"/>
      <c r="G199" s="102"/>
      <c r="H199" s="145"/>
      <c r="I199" s="145"/>
      <c r="J199" s="145"/>
      <c r="K199" s="145"/>
      <c r="L199" s="145"/>
      <c r="M199" s="145"/>
      <c r="N199" s="145"/>
      <c r="O199" s="145"/>
    </row>
    <row r="200" spans="1:15" x14ac:dyDescent="0.35">
      <c r="A200" s="145"/>
      <c r="B200" s="145"/>
      <c r="C200" s="145"/>
      <c r="D200" s="145"/>
      <c r="E200" s="145"/>
      <c r="F200" s="145"/>
      <c r="G200" s="102"/>
      <c r="H200" s="145"/>
      <c r="I200" s="145"/>
      <c r="J200" s="145"/>
      <c r="K200" s="145"/>
      <c r="L200" s="145"/>
      <c r="M200" s="145"/>
    </row>
    <row r="201" spans="1:15" x14ac:dyDescent="0.35">
      <c r="A201" s="145"/>
      <c r="B201" s="145"/>
      <c r="C201" s="145"/>
      <c r="D201" s="145"/>
      <c r="E201" s="145"/>
      <c r="F201" s="145"/>
      <c r="G201" s="102"/>
      <c r="H201" s="145"/>
      <c r="I201" s="145"/>
      <c r="J201" s="145"/>
      <c r="K201" s="145"/>
      <c r="L201" s="145"/>
      <c r="M201" s="145"/>
      <c r="N201" s="145"/>
      <c r="O201" s="145"/>
    </row>
    <row r="202" spans="1:15" x14ac:dyDescent="0.35">
      <c r="A202" s="145"/>
      <c r="B202" s="145"/>
      <c r="C202" s="145"/>
      <c r="D202" s="145"/>
      <c r="E202" s="145"/>
      <c r="F202" s="145"/>
      <c r="G202" s="102"/>
      <c r="H202" s="145"/>
      <c r="I202" s="145"/>
      <c r="J202" s="145"/>
      <c r="K202" s="145"/>
      <c r="L202" s="145"/>
      <c r="M202" s="145"/>
    </row>
    <row r="203" spans="1:15" x14ac:dyDescent="0.35">
      <c r="A203" s="145"/>
      <c r="B203" s="145"/>
      <c r="C203" s="145"/>
      <c r="D203" s="145"/>
      <c r="E203" s="145"/>
      <c r="F203" s="145"/>
      <c r="G203" s="102"/>
      <c r="H203" s="145"/>
      <c r="I203" s="145"/>
      <c r="J203" s="145"/>
      <c r="K203" s="145"/>
      <c r="L203" s="145"/>
      <c r="M203" s="145"/>
      <c r="N203" s="145"/>
      <c r="O203" s="145"/>
    </row>
    <row r="204" spans="1:15" x14ac:dyDescent="0.35">
      <c r="A204" s="145"/>
      <c r="B204" s="145"/>
      <c r="C204" s="145"/>
      <c r="D204" s="145"/>
      <c r="E204" s="145"/>
      <c r="F204" s="145"/>
      <c r="G204" s="102"/>
      <c r="H204" s="145"/>
      <c r="I204" s="145"/>
      <c r="J204" s="145"/>
      <c r="K204" s="145"/>
      <c r="L204" s="145"/>
      <c r="M204" s="145"/>
      <c r="N204" s="145"/>
      <c r="O204" s="145"/>
    </row>
    <row r="205" spans="1:15" x14ac:dyDescent="0.35">
      <c r="A205" s="145"/>
      <c r="B205" s="145"/>
      <c r="C205" s="145"/>
      <c r="D205" s="145"/>
      <c r="E205" s="145"/>
      <c r="F205" s="145"/>
      <c r="G205" s="102"/>
      <c r="H205" s="145"/>
      <c r="I205" s="145"/>
      <c r="J205" s="145"/>
      <c r="K205" s="145"/>
      <c r="L205" s="145"/>
      <c r="M205" s="145"/>
      <c r="N205" s="145"/>
      <c r="O205" s="145"/>
    </row>
    <row r="206" spans="1:15" x14ac:dyDescent="0.35">
      <c r="A206" s="145"/>
      <c r="B206" s="145"/>
      <c r="C206" s="145"/>
      <c r="D206" s="145"/>
      <c r="E206" s="145"/>
      <c r="F206" s="145"/>
      <c r="G206" s="102"/>
      <c r="H206" s="145"/>
      <c r="I206" s="145"/>
      <c r="J206" s="145"/>
      <c r="K206" s="145"/>
      <c r="L206" s="145"/>
      <c r="M206" s="145"/>
      <c r="N206" s="145"/>
      <c r="O206" s="145"/>
    </row>
    <row r="207" spans="1:15" x14ac:dyDescent="0.35">
      <c r="A207" s="145"/>
      <c r="B207" s="145"/>
      <c r="C207" s="145"/>
      <c r="D207" s="145"/>
      <c r="E207" s="145"/>
      <c r="F207" s="145"/>
      <c r="G207" s="102"/>
      <c r="H207" s="145"/>
      <c r="I207" s="145"/>
      <c r="J207" s="145"/>
      <c r="K207" s="145"/>
      <c r="L207" s="145"/>
      <c r="M207" s="145"/>
      <c r="N207" s="145"/>
      <c r="O207" s="145"/>
    </row>
    <row r="208" spans="1:15" x14ac:dyDescent="0.35">
      <c r="A208" s="145"/>
      <c r="B208" s="145"/>
      <c r="C208" s="145"/>
      <c r="D208" s="145"/>
      <c r="E208" s="145"/>
      <c r="F208" s="145"/>
      <c r="G208" s="102"/>
      <c r="H208" s="145"/>
      <c r="I208" s="145"/>
      <c r="J208" s="145"/>
      <c r="K208" s="145"/>
      <c r="L208" s="145"/>
      <c r="M208" s="145"/>
      <c r="N208" s="145"/>
      <c r="O208" s="145"/>
    </row>
    <row r="209" spans="1:15" x14ac:dyDescent="0.35">
      <c r="A209" s="145"/>
      <c r="B209" s="145"/>
      <c r="C209" s="145"/>
      <c r="D209" s="145"/>
      <c r="E209" s="145"/>
      <c r="F209" s="145"/>
      <c r="G209" s="102"/>
      <c r="H209" s="145"/>
      <c r="I209" s="145"/>
      <c r="J209" s="145"/>
      <c r="K209" s="145"/>
      <c r="L209" s="145"/>
      <c r="M209" s="145"/>
      <c r="N209" s="145"/>
      <c r="O209" s="145"/>
    </row>
    <row r="210" spans="1:15" x14ac:dyDescent="0.35">
      <c r="A210" s="145"/>
      <c r="B210" s="145"/>
      <c r="C210" s="145"/>
      <c r="D210" s="145"/>
      <c r="E210" s="145"/>
      <c r="F210" s="145"/>
      <c r="G210" s="102"/>
      <c r="H210" s="145"/>
      <c r="I210" s="145"/>
      <c r="J210" s="145"/>
      <c r="K210" s="145"/>
      <c r="L210" s="145"/>
      <c r="M210" s="145"/>
      <c r="N210" s="145"/>
      <c r="O210" s="145"/>
    </row>
    <row r="211" spans="1:15" x14ac:dyDescent="0.35">
      <c r="A211" s="145"/>
      <c r="B211" s="145"/>
      <c r="C211" s="145"/>
      <c r="D211" s="145"/>
      <c r="E211" s="145"/>
      <c r="F211" s="145"/>
      <c r="G211" s="102"/>
      <c r="H211" s="145"/>
      <c r="I211" s="145"/>
      <c r="J211" s="145"/>
      <c r="K211" s="145"/>
      <c r="L211" s="145"/>
      <c r="M211" s="145"/>
    </row>
    <row r="212" spans="1:15" x14ac:dyDescent="0.35">
      <c r="A212" s="145"/>
      <c r="B212" s="145"/>
      <c r="C212" s="145"/>
      <c r="D212" s="145"/>
      <c r="E212" s="145"/>
      <c r="F212" s="145"/>
      <c r="G212" s="102"/>
      <c r="H212" s="145"/>
      <c r="I212" s="145"/>
      <c r="J212" s="145"/>
      <c r="K212" s="145"/>
      <c r="L212" s="145"/>
      <c r="M212" s="145"/>
      <c r="N212" s="145"/>
      <c r="O212" s="145"/>
    </row>
    <row r="213" spans="1:15" x14ac:dyDescent="0.35">
      <c r="A213" s="145"/>
      <c r="B213" s="145"/>
      <c r="C213" s="145"/>
      <c r="D213" s="145"/>
      <c r="E213" s="145"/>
      <c r="F213" s="145"/>
      <c r="G213" s="102"/>
      <c r="H213" s="145"/>
      <c r="I213" s="145"/>
      <c r="J213" s="145"/>
      <c r="K213" s="145"/>
      <c r="L213" s="145"/>
      <c r="M213" s="145"/>
      <c r="N213" s="145"/>
      <c r="O213" s="145"/>
    </row>
    <row r="214" spans="1:15" x14ac:dyDescent="0.35">
      <c r="A214" s="145"/>
      <c r="B214" s="145"/>
      <c r="C214" s="145"/>
      <c r="D214" s="145"/>
      <c r="E214" s="145"/>
      <c r="F214" s="145"/>
      <c r="G214" s="102"/>
      <c r="H214" s="145"/>
      <c r="I214" s="145"/>
      <c r="J214" s="145"/>
      <c r="K214" s="145"/>
      <c r="L214" s="145"/>
      <c r="M214" s="145"/>
    </row>
    <row r="215" spans="1:15" x14ac:dyDescent="0.35">
      <c r="A215" s="145"/>
      <c r="B215" s="145"/>
      <c r="C215" s="145"/>
      <c r="D215" s="145"/>
      <c r="E215" s="145"/>
      <c r="F215" s="145"/>
      <c r="G215" s="102"/>
      <c r="H215" s="145"/>
      <c r="I215" s="145"/>
      <c r="J215" s="145"/>
      <c r="K215" s="145"/>
      <c r="L215" s="145"/>
      <c r="M215" s="145"/>
    </row>
    <row r="216" spans="1:15" x14ac:dyDescent="0.35">
      <c r="A216" s="145"/>
      <c r="B216" s="145"/>
      <c r="C216" s="145"/>
      <c r="D216" s="145"/>
      <c r="E216" s="145"/>
      <c r="F216" s="145"/>
      <c r="G216" s="102"/>
      <c r="H216" s="145"/>
      <c r="I216" s="145"/>
      <c r="J216" s="145"/>
      <c r="K216" s="145"/>
      <c r="L216" s="145"/>
      <c r="M216" s="145"/>
      <c r="N216" s="145"/>
      <c r="O216" s="145"/>
    </row>
    <row r="217" spans="1:15" x14ac:dyDescent="0.35">
      <c r="A217" s="145"/>
      <c r="B217" s="145"/>
      <c r="C217" s="145"/>
      <c r="D217" s="145"/>
      <c r="E217" s="145"/>
      <c r="F217" s="145"/>
      <c r="G217" s="102"/>
      <c r="H217" s="145"/>
      <c r="I217" s="145"/>
      <c r="J217" s="145"/>
      <c r="K217" s="145"/>
      <c r="L217" s="145"/>
      <c r="M217" s="145"/>
      <c r="N217" s="145"/>
      <c r="O217" s="145"/>
    </row>
    <row r="218" spans="1:15" x14ac:dyDescent="0.35">
      <c r="A218" s="145"/>
      <c r="B218" s="145"/>
      <c r="C218" s="145"/>
      <c r="D218" s="145"/>
      <c r="E218" s="145"/>
      <c r="F218" s="145"/>
      <c r="G218" s="102"/>
      <c r="H218" s="145"/>
      <c r="I218" s="145"/>
      <c r="J218" s="145"/>
      <c r="K218" s="145"/>
      <c r="L218" s="145"/>
      <c r="M218" s="145"/>
      <c r="N218" s="145"/>
      <c r="O218" s="145"/>
    </row>
    <row r="219" spans="1:15" x14ac:dyDescent="0.35">
      <c r="A219" s="145"/>
      <c r="B219" s="145"/>
      <c r="C219" s="145"/>
      <c r="D219" s="145"/>
      <c r="E219" s="145"/>
      <c r="F219" s="145"/>
      <c r="G219" s="102"/>
      <c r="H219" s="145"/>
      <c r="I219" s="145"/>
      <c r="J219" s="145"/>
      <c r="K219" s="145"/>
      <c r="L219" s="145"/>
      <c r="M219" s="145"/>
      <c r="N219" s="145"/>
      <c r="O219" s="145"/>
    </row>
    <row r="220" spans="1:15" x14ac:dyDescent="0.35">
      <c r="A220" s="145"/>
      <c r="B220" s="145"/>
      <c r="C220" s="145"/>
      <c r="D220" s="145"/>
      <c r="E220" s="145"/>
      <c r="F220" s="145"/>
      <c r="G220" s="102"/>
      <c r="H220" s="145"/>
      <c r="I220" s="145"/>
      <c r="J220" s="145"/>
      <c r="K220" s="145"/>
      <c r="L220" s="145"/>
      <c r="M220" s="145"/>
    </row>
    <row r="221" spans="1:15" x14ac:dyDescent="0.35">
      <c r="A221" s="145"/>
      <c r="B221" s="145"/>
      <c r="C221" s="145"/>
      <c r="D221" s="145"/>
      <c r="E221" s="145"/>
      <c r="F221" s="145"/>
      <c r="G221" s="102"/>
      <c r="H221" s="145"/>
      <c r="I221" s="145"/>
      <c r="J221" s="145"/>
      <c r="K221" s="145"/>
      <c r="L221" s="145"/>
      <c r="M221" s="145"/>
      <c r="N221" s="145"/>
      <c r="O221" s="145"/>
    </row>
    <row r="222" spans="1:15" x14ac:dyDescent="0.35">
      <c r="A222" s="145"/>
      <c r="B222" s="145"/>
      <c r="C222" s="145"/>
      <c r="D222" s="145"/>
      <c r="E222" s="145"/>
      <c r="F222" s="145"/>
      <c r="G222" s="102"/>
      <c r="H222" s="145"/>
      <c r="I222" s="145"/>
      <c r="J222" s="145"/>
      <c r="K222" s="145"/>
      <c r="L222" s="145"/>
      <c r="M222" s="145"/>
      <c r="N222" s="145"/>
      <c r="O222" s="145"/>
    </row>
    <row r="223" spans="1:15" x14ac:dyDescent="0.35">
      <c r="A223" s="145"/>
      <c r="B223" s="145"/>
      <c r="C223" s="145"/>
      <c r="D223" s="145"/>
      <c r="E223" s="145"/>
      <c r="F223" s="145"/>
      <c r="G223" s="102"/>
      <c r="H223" s="145"/>
      <c r="I223" s="145"/>
      <c r="J223" s="145"/>
      <c r="K223" s="145"/>
      <c r="L223" s="145"/>
      <c r="M223" s="145"/>
      <c r="N223" s="145"/>
      <c r="O223" s="145"/>
    </row>
    <row r="224" spans="1:15" x14ac:dyDescent="0.35">
      <c r="A224" s="145"/>
      <c r="B224" s="145"/>
      <c r="C224" s="145"/>
      <c r="D224" s="145"/>
      <c r="E224" s="145"/>
      <c r="F224" s="145"/>
      <c r="G224" s="102"/>
      <c r="H224" s="145"/>
      <c r="I224" s="145"/>
      <c r="J224" s="145"/>
      <c r="K224" s="145"/>
      <c r="L224" s="145"/>
      <c r="M224" s="145"/>
      <c r="N224" s="145"/>
      <c r="O224" s="145"/>
    </row>
    <row r="225" spans="1:15" x14ac:dyDescent="0.35">
      <c r="A225" s="145"/>
      <c r="B225" s="145"/>
      <c r="C225" s="145"/>
      <c r="D225" s="145"/>
      <c r="E225" s="145"/>
      <c r="F225" s="145"/>
      <c r="G225" s="102"/>
      <c r="H225" s="145"/>
      <c r="I225" s="145"/>
      <c r="J225" s="145"/>
      <c r="K225" s="145"/>
      <c r="L225" s="145"/>
      <c r="M225" s="145"/>
      <c r="N225" s="145"/>
      <c r="O225" s="145"/>
    </row>
    <row r="226" spans="1:15" x14ac:dyDescent="0.35">
      <c r="A226" s="145"/>
      <c r="B226" s="145"/>
      <c r="C226" s="145"/>
      <c r="D226" s="145"/>
      <c r="E226" s="145"/>
      <c r="F226" s="145"/>
      <c r="G226" s="102"/>
      <c r="H226" s="145"/>
      <c r="I226" s="145"/>
      <c r="J226" s="145"/>
      <c r="K226" s="145"/>
      <c r="L226" s="145"/>
      <c r="M226" s="145"/>
      <c r="N226" s="145"/>
      <c r="O226" s="145"/>
    </row>
    <row r="227" spans="1:15" x14ac:dyDescent="0.35">
      <c r="A227" s="145"/>
      <c r="B227" s="145"/>
      <c r="C227" s="145"/>
      <c r="D227" s="145"/>
      <c r="E227" s="145"/>
      <c r="F227" s="145"/>
      <c r="G227" s="102"/>
      <c r="H227" s="145"/>
      <c r="I227" s="145"/>
      <c r="J227" s="145"/>
      <c r="K227" s="145"/>
      <c r="L227" s="145"/>
      <c r="M227" s="145"/>
      <c r="N227" s="145"/>
      <c r="O227" s="145"/>
    </row>
    <row r="228" spans="1:15" x14ac:dyDescent="0.35">
      <c r="A228" s="145"/>
      <c r="B228" s="145"/>
      <c r="C228" s="145"/>
      <c r="D228" s="145"/>
      <c r="E228" s="145"/>
      <c r="F228" s="145"/>
      <c r="G228" s="102"/>
      <c r="H228" s="145"/>
      <c r="I228" s="145"/>
      <c r="J228" s="145"/>
      <c r="K228" s="145"/>
      <c r="L228" s="145"/>
      <c r="M228" s="145"/>
      <c r="N228" s="145"/>
      <c r="O228" s="145"/>
    </row>
    <row r="229" spans="1:15" x14ac:dyDescent="0.35">
      <c r="A229" s="145"/>
      <c r="B229" s="145"/>
      <c r="C229" s="145"/>
      <c r="D229" s="145"/>
      <c r="E229" s="145"/>
      <c r="F229" s="145"/>
      <c r="G229" s="102"/>
      <c r="H229" s="145"/>
      <c r="I229" s="145"/>
      <c r="J229" s="145"/>
      <c r="K229" s="145"/>
      <c r="L229" s="145"/>
      <c r="M229" s="145"/>
      <c r="N229" s="145"/>
      <c r="O229" s="145"/>
    </row>
    <row r="230" spans="1:15" x14ac:dyDescent="0.35">
      <c r="A230" s="145"/>
      <c r="B230" s="145"/>
      <c r="C230" s="145"/>
      <c r="D230" s="145"/>
      <c r="E230" s="145"/>
      <c r="F230" s="145"/>
      <c r="G230" s="102"/>
      <c r="H230" s="145"/>
      <c r="I230" s="145"/>
      <c r="J230" s="145"/>
      <c r="K230" s="145"/>
      <c r="L230" s="145"/>
      <c r="M230" s="145"/>
      <c r="N230" s="145"/>
      <c r="O230" s="145"/>
    </row>
    <row r="231" spans="1:15" x14ac:dyDescent="0.35">
      <c r="A231" s="145"/>
      <c r="B231" s="145"/>
      <c r="C231" s="145"/>
      <c r="D231" s="145"/>
      <c r="E231" s="145"/>
      <c r="F231" s="145"/>
      <c r="G231" s="102"/>
      <c r="H231" s="145"/>
      <c r="I231" s="145"/>
      <c r="J231" s="145"/>
      <c r="K231" s="145"/>
      <c r="L231" s="145"/>
      <c r="M231" s="145"/>
      <c r="N231" s="145"/>
      <c r="O231" s="145"/>
    </row>
    <row r="232" spans="1:15" x14ac:dyDescent="0.35">
      <c r="A232" s="145"/>
      <c r="B232" s="145"/>
      <c r="C232" s="145"/>
      <c r="D232" s="145"/>
      <c r="E232" s="145"/>
      <c r="F232" s="145"/>
      <c r="G232" s="102"/>
      <c r="H232" s="145"/>
      <c r="I232" s="145"/>
      <c r="J232" s="145"/>
      <c r="K232" s="145"/>
      <c r="L232" s="145"/>
      <c r="M232" s="145"/>
      <c r="N232" s="145"/>
      <c r="O232" s="145"/>
    </row>
    <row r="233" spans="1:15" x14ac:dyDescent="0.35">
      <c r="A233" s="145"/>
      <c r="B233" s="145"/>
      <c r="C233" s="145"/>
      <c r="D233" s="145"/>
      <c r="E233" s="145"/>
      <c r="F233" s="145"/>
      <c r="G233" s="102"/>
      <c r="H233" s="145"/>
      <c r="I233" s="145"/>
      <c r="J233" s="145"/>
      <c r="K233" s="145"/>
      <c r="L233" s="145"/>
      <c r="M233" s="145"/>
      <c r="N233" s="145"/>
      <c r="O233" s="145"/>
    </row>
    <row r="234" spans="1:15" x14ac:dyDescent="0.35">
      <c r="A234" s="145"/>
      <c r="B234" s="145"/>
      <c r="C234" s="145"/>
      <c r="D234" s="145"/>
      <c r="E234" s="145"/>
      <c r="F234" s="145"/>
      <c r="G234" s="102"/>
      <c r="H234" s="145"/>
      <c r="I234" s="145"/>
      <c r="J234" s="145"/>
      <c r="K234" s="145"/>
      <c r="L234" s="145"/>
      <c r="M234" s="145"/>
      <c r="N234" s="145"/>
      <c r="O234" s="145"/>
    </row>
    <row r="235" spans="1:15" x14ac:dyDescent="0.35">
      <c r="A235" s="145"/>
      <c r="B235" s="145"/>
      <c r="C235" s="145"/>
      <c r="D235" s="145"/>
      <c r="E235" s="145"/>
      <c r="F235" s="145"/>
      <c r="G235" s="102"/>
      <c r="H235" s="145"/>
      <c r="I235" s="145"/>
      <c r="J235" s="145"/>
      <c r="K235" s="145"/>
      <c r="L235" s="145"/>
      <c r="M235" s="145"/>
      <c r="N235" s="145"/>
      <c r="O235" s="145"/>
    </row>
    <row r="236" spans="1:15" x14ac:dyDescent="0.35">
      <c r="A236" s="145"/>
      <c r="B236" s="145"/>
      <c r="C236" s="145"/>
      <c r="D236" s="145"/>
      <c r="E236" s="145"/>
      <c r="F236" s="145"/>
      <c r="G236" s="102"/>
      <c r="H236" s="145"/>
      <c r="I236" s="145"/>
      <c r="J236" s="145"/>
      <c r="K236" s="145"/>
      <c r="L236" s="145"/>
      <c r="M236" s="145"/>
      <c r="N236" s="145"/>
      <c r="O236" s="145"/>
    </row>
    <row r="237" spans="1:15" x14ac:dyDescent="0.35">
      <c r="A237" s="145"/>
      <c r="B237" s="145"/>
      <c r="C237" s="145"/>
      <c r="D237" s="145"/>
      <c r="E237" s="145"/>
      <c r="F237" s="145"/>
      <c r="G237" s="102"/>
      <c r="H237" s="145"/>
      <c r="I237" s="145"/>
      <c r="J237" s="145"/>
      <c r="K237" s="145"/>
      <c r="L237" s="145"/>
      <c r="M237" s="145"/>
    </row>
    <row r="238" spans="1:15" x14ac:dyDescent="0.35">
      <c r="A238" s="145"/>
      <c r="B238" s="145"/>
      <c r="C238" s="145"/>
      <c r="D238" s="145"/>
      <c r="E238" s="145"/>
      <c r="F238" s="145"/>
      <c r="G238" s="102"/>
      <c r="H238" s="145"/>
      <c r="I238" s="145"/>
      <c r="J238" s="145"/>
      <c r="K238" s="145"/>
      <c r="L238" s="145"/>
      <c r="M238" s="145"/>
      <c r="N238" s="145"/>
      <c r="O238" s="145"/>
    </row>
    <row r="239" spans="1:15" x14ac:dyDescent="0.35">
      <c r="A239" s="145"/>
      <c r="B239" s="145"/>
      <c r="C239" s="145"/>
      <c r="D239" s="145"/>
      <c r="E239" s="145"/>
      <c r="F239" s="145"/>
      <c r="G239" s="102"/>
      <c r="H239" s="145"/>
      <c r="I239" s="145"/>
      <c r="J239" s="145"/>
      <c r="K239" s="145"/>
      <c r="L239" s="145"/>
      <c r="M239" s="145"/>
      <c r="N239" s="145"/>
      <c r="O239" s="145"/>
    </row>
    <row r="240" spans="1:15" x14ac:dyDescent="0.35">
      <c r="A240" s="145"/>
      <c r="B240" s="145"/>
      <c r="C240" s="145"/>
      <c r="D240" s="145"/>
      <c r="E240" s="145"/>
      <c r="F240" s="145"/>
      <c r="G240" s="102"/>
      <c r="H240" s="145"/>
      <c r="I240" s="145"/>
      <c r="J240" s="145"/>
      <c r="K240" s="145"/>
      <c r="L240" s="145"/>
      <c r="M240" s="145"/>
    </row>
    <row r="241" spans="1:32" x14ac:dyDescent="0.35">
      <c r="A241" s="145"/>
      <c r="B241" s="145"/>
      <c r="C241" s="145"/>
      <c r="D241" s="145"/>
      <c r="E241" s="145"/>
      <c r="F241" s="145"/>
      <c r="G241" s="102"/>
      <c r="H241" s="145"/>
      <c r="I241" s="145"/>
      <c r="J241" s="145"/>
      <c r="K241" s="145"/>
      <c r="L241" s="145"/>
      <c r="M241" s="145"/>
      <c r="N241" s="145"/>
      <c r="O241" s="145"/>
    </row>
    <row r="242" spans="1:32" x14ac:dyDescent="0.35">
      <c r="A242" s="145"/>
      <c r="B242" s="145"/>
      <c r="C242" s="145"/>
      <c r="D242" s="145"/>
      <c r="E242" s="145"/>
      <c r="F242" s="145"/>
      <c r="G242" s="102"/>
      <c r="H242" s="145"/>
      <c r="I242" s="145"/>
      <c r="J242" s="145"/>
      <c r="K242" s="145"/>
      <c r="L242" s="145"/>
      <c r="M242" s="145"/>
    </row>
    <row r="243" spans="1:32" x14ac:dyDescent="0.35">
      <c r="A243" s="145"/>
      <c r="B243" s="145"/>
      <c r="C243" s="145"/>
      <c r="D243" s="145"/>
      <c r="E243" s="145"/>
      <c r="F243" s="145"/>
      <c r="G243" s="102"/>
      <c r="H243" s="145"/>
      <c r="I243" s="145"/>
      <c r="J243" s="145"/>
      <c r="K243" s="145"/>
      <c r="L243" s="145"/>
      <c r="M243" s="145"/>
      <c r="N243" s="145"/>
      <c r="O243" s="145"/>
    </row>
    <row r="244" spans="1:32" x14ac:dyDescent="0.35">
      <c r="A244" s="145"/>
      <c r="B244" s="145"/>
      <c r="C244" s="145"/>
      <c r="D244" s="145"/>
      <c r="E244" s="145"/>
      <c r="F244" s="145"/>
      <c r="G244" s="102"/>
      <c r="H244" s="145"/>
      <c r="I244" s="145"/>
      <c r="J244" s="145"/>
      <c r="K244" s="145"/>
      <c r="L244" s="145"/>
      <c r="M244" s="145"/>
      <c r="N244" s="145"/>
      <c r="O244" s="145"/>
    </row>
    <row r="245" spans="1:32" x14ac:dyDescent="0.35">
      <c r="A245" s="145"/>
      <c r="B245" s="145"/>
      <c r="C245" s="145"/>
      <c r="D245" s="145"/>
      <c r="E245" s="145"/>
      <c r="F245" s="145"/>
      <c r="G245" s="102"/>
      <c r="H245" s="145"/>
      <c r="I245" s="145"/>
      <c r="J245" s="145"/>
      <c r="K245" s="145"/>
      <c r="L245" s="145"/>
      <c r="M245" s="145"/>
      <c r="N245" s="145"/>
      <c r="O245" s="145"/>
    </row>
    <row r="246" spans="1:32" x14ac:dyDescent="0.35">
      <c r="A246" s="145"/>
      <c r="B246" s="145"/>
      <c r="C246" s="145"/>
      <c r="D246" s="145"/>
      <c r="E246" s="145"/>
      <c r="F246" s="145"/>
      <c r="G246" s="102"/>
      <c r="H246" s="145"/>
      <c r="I246" s="145"/>
      <c r="J246" s="145"/>
      <c r="K246" s="145"/>
      <c r="L246" s="145"/>
      <c r="M246" s="145"/>
      <c r="N246" s="145"/>
      <c r="O246" s="145"/>
    </row>
    <row r="247" spans="1:32" x14ac:dyDescent="0.35">
      <c r="A247" s="145"/>
      <c r="B247" s="145"/>
      <c r="C247" s="145"/>
      <c r="D247" s="145"/>
      <c r="E247" s="145"/>
      <c r="F247" s="145"/>
      <c r="G247" s="102"/>
      <c r="H247" s="145"/>
      <c r="I247" s="145"/>
      <c r="J247" s="145"/>
      <c r="K247" s="145"/>
      <c r="L247" s="145"/>
      <c r="M247" s="145"/>
      <c r="N247" s="145"/>
      <c r="O247" s="145"/>
    </row>
    <row r="248" spans="1:32" x14ac:dyDescent="0.35">
      <c r="A248" s="145"/>
      <c r="B248" s="145"/>
      <c r="C248" s="145"/>
      <c r="D248" s="145"/>
      <c r="E248" s="145"/>
      <c r="F248" s="145"/>
      <c r="G248" s="102"/>
      <c r="H248" s="145"/>
      <c r="I248" s="145"/>
      <c r="J248" s="145"/>
      <c r="K248" s="145"/>
      <c r="L248" s="145"/>
      <c r="M248" s="145"/>
      <c r="N248" s="145"/>
      <c r="O248" s="145"/>
    </row>
    <row r="249" spans="1:32" x14ac:dyDescent="0.35">
      <c r="A249" s="145"/>
      <c r="B249" s="145"/>
      <c r="C249" s="145"/>
      <c r="D249" s="145"/>
      <c r="E249" s="145"/>
      <c r="F249" s="145"/>
      <c r="G249" s="102"/>
      <c r="H249" s="145"/>
      <c r="I249" s="145"/>
      <c r="J249" s="145"/>
      <c r="K249" s="145"/>
      <c r="L249" s="145"/>
      <c r="M249" s="145"/>
      <c r="N249" s="145"/>
      <c r="O249" s="145"/>
    </row>
    <row r="250" spans="1:32" x14ac:dyDescent="0.35">
      <c r="A250" s="145"/>
      <c r="B250" s="145"/>
      <c r="C250" s="145"/>
      <c r="D250" s="145"/>
      <c r="E250" s="145"/>
      <c r="F250" s="145"/>
      <c r="G250" s="102"/>
      <c r="H250" s="145"/>
      <c r="I250" s="145"/>
      <c r="J250" s="145"/>
      <c r="K250" s="145"/>
      <c r="L250" s="145"/>
      <c r="M250" s="145"/>
      <c r="N250" s="145"/>
      <c r="O250" s="145"/>
    </row>
    <row r="251" spans="1:32" x14ac:dyDescent="0.35">
      <c r="A251" s="145"/>
      <c r="B251" s="145"/>
      <c r="C251" s="145"/>
      <c r="D251" s="145"/>
      <c r="E251" s="145"/>
      <c r="F251" s="145"/>
      <c r="G251" s="102"/>
      <c r="H251" s="145"/>
      <c r="I251" s="145"/>
      <c r="J251" s="145"/>
      <c r="K251" s="145"/>
      <c r="L251" s="145"/>
      <c r="M251" s="145"/>
      <c r="N251" s="145"/>
      <c r="O251" s="145"/>
    </row>
    <row r="252" spans="1:32" x14ac:dyDescent="0.35">
      <c r="A252" s="145"/>
      <c r="B252" s="145"/>
      <c r="C252" s="145"/>
      <c r="D252" s="145"/>
      <c r="E252" s="145"/>
      <c r="F252" s="145"/>
      <c r="G252" s="102"/>
      <c r="H252" s="145"/>
      <c r="I252" s="145"/>
      <c r="J252" s="145"/>
      <c r="K252" s="145"/>
      <c r="L252" s="145"/>
      <c r="M252" s="145"/>
      <c r="N252" s="145"/>
      <c r="O252" s="145"/>
    </row>
    <row r="253" spans="1:32" x14ac:dyDescent="0.35">
      <c r="A253" s="145"/>
      <c r="B253" s="145"/>
      <c r="C253" s="145"/>
      <c r="D253" s="145"/>
      <c r="E253" s="145"/>
      <c r="F253" s="145"/>
      <c r="G253" s="102"/>
      <c r="H253" s="145"/>
      <c r="I253" s="145"/>
      <c r="J253" s="145"/>
      <c r="K253" s="145"/>
      <c r="L253" s="145"/>
      <c r="M253" s="145"/>
      <c r="N253" s="145"/>
      <c r="O253" s="145"/>
    </row>
    <row r="254" spans="1:32" x14ac:dyDescent="0.35">
      <c r="A254" s="145"/>
      <c r="B254" s="145"/>
      <c r="C254" s="145"/>
      <c r="D254" s="145"/>
      <c r="E254" s="145"/>
      <c r="F254" s="145"/>
      <c r="G254" s="102"/>
      <c r="H254" s="145"/>
      <c r="I254" s="145"/>
      <c r="J254" s="145"/>
      <c r="K254" s="145"/>
      <c r="L254" s="145"/>
      <c r="M254" s="145"/>
      <c r="N254" s="145"/>
      <c r="O254" s="145"/>
    </row>
    <row r="255" spans="1:32" x14ac:dyDescent="0.35">
      <c r="A255" s="145"/>
      <c r="B255" s="145"/>
      <c r="C255" s="145"/>
      <c r="D255" s="145"/>
      <c r="E255" s="145"/>
      <c r="F255" s="145"/>
      <c r="G255" s="102"/>
      <c r="H255" s="145"/>
      <c r="I255" s="145"/>
      <c r="J255" s="145"/>
      <c r="K255" s="145"/>
      <c r="L255" s="145"/>
      <c r="M255" s="145"/>
      <c r="N255" s="145"/>
      <c r="O255" s="145"/>
    </row>
    <row r="256" spans="1:32" x14ac:dyDescent="0.35">
      <c r="A256" s="145"/>
      <c r="B256" s="145"/>
      <c r="C256" s="145"/>
      <c r="D256" s="145"/>
      <c r="E256" s="145"/>
      <c r="F256" s="145"/>
      <c r="G256" s="102"/>
      <c r="H256" s="145"/>
      <c r="I256" s="145"/>
      <c r="J256" s="145"/>
      <c r="K256" s="145"/>
      <c r="L256" s="145"/>
      <c r="M256" s="145"/>
      <c r="N256" s="145"/>
      <c r="O256" s="145"/>
      <c r="P256" s="79"/>
      <c r="Q256" s="80"/>
      <c r="R256" s="78"/>
      <c r="S256" s="78"/>
      <c r="T256" s="81"/>
      <c r="U256" s="81"/>
      <c r="V256" s="80"/>
      <c r="W256" s="81"/>
      <c r="X256" s="81"/>
      <c r="Y256" s="81"/>
      <c r="Z256" s="81"/>
      <c r="AA256" s="81"/>
      <c r="AB256" s="81"/>
      <c r="AC256" s="81"/>
      <c r="AD256" s="81"/>
      <c r="AE256" s="81"/>
      <c r="AF256" s="81"/>
    </row>
    <row r="257" spans="1:15" x14ac:dyDescent="0.35">
      <c r="A257" s="145"/>
      <c r="B257" s="145"/>
      <c r="C257" s="145"/>
      <c r="D257" s="145"/>
      <c r="E257" s="145"/>
      <c r="F257" s="145"/>
      <c r="G257" s="102"/>
      <c r="H257" s="145"/>
      <c r="I257" s="145"/>
      <c r="J257" s="145"/>
      <c r="K257" s="145"/>
      <c r="L257" s="145"/>
      <c r="M257" s="145"/>
      <c r="N257" s="145"/>
      <c r="O257" s="145"/>
    </row>
    <row r="258" spans="1:15" x14ac:dyDescent="0.35">
      <c r="A258" s="145"/>
      <c r="B258" s="145"/>
      <c r="C258" s="145"/>
      <c r="D258" s="145"/>
      <c r="E258" s="145"/>
      <c r="F258" s="145"/>
      <c r="G258" s="102"/>
      <c r="H258" s="145"/>
      <c r="I258" s="145"/>
      <c r="J258" s="145"/>
      <c r="K258" s="145"/>
      <c r="L258" s="145"/>
      <c r="M258" s="145"/>
      <c r="N258" s="145"/>
      <c r="O258" s="145"/>
    </row>
    <row r="259" spans="1:15" x14ac:dyDescent="0.35">
      <c r="A259" s="145"/>
      <c r="B259" s="145"/>
      <c r="C259" s="145"/>
      <c r="D259" s="145"/>
      <c r="E259" s="145"/>
      <c r="F259" s="145"/>
      <c r="G259" s="102"/>
      <c r="H259" s="145"/>
      <c r="I259" s="145"/>
      <c r="J259" s="145"/>
      <c r="K259" s="145"/>
      <c r="L259" s="145"/>
      <c r="M259" s="145"/>
    </row>
    <row r="260" spans="1:15" x14ac:dyDescent="0.35">
      <c r="A260" s="145"/>
      <c r="B260" s="145"/>
      <c r="C260" s="145"/>
      <c r="D260" s="145"/>
      <c r="E260" s="145"/>
      <c r="F260" s="145"/>
      <c r="G260" s="102"/>
      <c r="H260" s="145"/>
      <c r="I260" s="145"/>
      <c r="J260" s="145"/>
      <c r="K260" s="145"/>
      <c r="L260" s="145"/>
      <c r="M260" s="145"/>
    </row>
    <row r="261" spans="1:15" x14ac:dyDescent="0.35">
      <c r="A261" s="145"/>
      <c r="B261" s="145"/>
      <c r="C261" s="145"/>
      <c r="D261" s="145"/>
      <c r="E261" s="145"/>
      <c r="F261" s="145"/>
      <c r="G261" s="102"/>
      <c r="H261" s="145"/>
      <c r="I261" s="145"/>
      <c r="J261" s="145"/>
      <c r="K261" s="145"/>
      <c r="L261" s="145"/>
      <c r="M261" s="145"/>
      <c r="N261" s="145"/>
      <c r="O261" s="145"/>
    </row>
    <row r="262" spans="1:15" x14ac:dyDescent="0.35">
      <c r="A262" s="145"/>
      <c r="B262" s="145"/>
      <c r="C262" s="145"/>
      <c r="D262" s="145"/>
      <c r="E262" s="145"/>
      <c r="F262" s="145"/>
      <c r="G262" s="102"/>
      <c r="H262" s="145"/>
      <c r="I262" s="145"/>
      <c r="J262" s="145"/>
      <c r="K262" s="145"/>
      <c r="L262" s="145"/>
      <c r="M262" s="145"/>
      <c r="N262" s="31"/>
      <c r="O262" s="31"/>
    </row>
    <row r="263" spans="1:15" x14ac:dyDescent="0.35">
      <c r="A263" s="145"/>
      <c r="B263" s="145"/>
      <c r="C263" s="145"/>
      <c r="D263" s="145"/>
      <c r="E263" s="145"/>
      <c r="F263" s="145"/>
      <c r="G263" s="102"/>
      <c r="H263" s="145"/>
      <c r="I263" s="145"/>
      <c r="J263" s="145"/>
      <c r="K263" s="145"/>
      <c r="L263" s="145"/>
      <c r="M263" s="145"/>
      <c r="N263" s="145"/>
      <c r="O263" s="145"/>
    </row>
    <row r="264" spans="1:15" x14ac:dyDescent="0.35">
      <c r="A264" s="145"/>
      <c r="B264" s="145"/>
      <c r="C264" s="145"/>
      <c r="D264" s="145"/>
      <c r="E264" s="145"/>
      <c r="F264" s="145"/>
      <c r="G264" s="102"/>
      <c r="H264" s="145"/>
      <c r="I264" s="145"/>
      <c r="J264" s="145"/>
      <c r="K264" s="145"/>
      <c r="L264" s="145"/>
      <c r="M264" s="145"/>
      <c r="N264" s="145"/>
      <c r="O264" s="145"/>
    </row>
    <row r="265" spans="1:15" x14ac:dyDescent="0.35">
      <c r="A265" s="145"/>
      <c r="B265" s="145"/>
      <c r="C265" s="145"/>
      <c r="D265" s="145"/>
      <c r="E265" s="145"/>
      <c r="F265" s="145"/>
      <c r="G265" s="102"/>
      <c r="H265" s="145"/>
      <c r="I265" s="145"/>
      <c r="J265" s="145"/>
      <c r="K265" s="145"/>
      <c r="L265" s="145"/>
      <c r="M265" s="145"/>
      <c r="N265" s="145"/>
      <c r="O265" s="145"/>
    </row>
    <row r="266" spans="1:15" x14ac:dyDescent="0.35">
      <c r="A266" s="145"/>
      <c r="B266" s="145"/>
      <c r="C266" s="145"/>
      <c r="D266" s="145"/>
      <c r="E266" s="145"/>
      <c r="F266" s="145"/>
      <c r="G266" s="102"/>
      <c r="H266" s="145"/>
      <c r="I266" s="145"/>
      <c r="J266" s="145"/>
      <c r="K266" s="145"/>
      <c r="L266" s="145"/>
      <c r="M266" s="145"/>
      <c r="N266" s="145"/>
      <c r="O266" s="145"/>
    </row>
    <row r="267" spans="1:15" x14ac:dyDescent="0.35">
      <c r="A267" s="145"/>
      <c r="B267" s="145"/>
      <c r="C267" s="145"/>
      <c r="D267" s="145"/>
      <c r="E267" s="145"/>
      <c r="F267" s="145"/>
      <c r="G267" s="102"/>
      <c r="H267" s="145"/>
      <c r="I267" s="145"/>
      <c r="J267" s="145"/>
      <c r="K267" s="145"/>
      <c r="L267" s="145"/>
      <c r="M267" s="145"/>
      <c r="N267" s="145"/>
      <c r="O267" s="145"/>
    </row>
    <row r="268" spans="1:15" x14ac:dyDescent="0.35">
      <c r="A268" s="145"/>
      <c r="B268" s="145"/>
      <c r="C268" s="145"/>
      <c r="D268" s="145"/>
      <c r="E268" s="145"/>
      <c r="F268" s="145"/>
      <c r="G268" s="102"/>
      <c r="H268" s="145"/>
      <c r="I268" s="145"/>
      <c r="J268" s="145"/>
      <c r="K268" s="145"/>
      <c r="L268" s="145"/>
      <c r="M268" s="145"/>
      <c r="N268" s="145"/>
      <c r="O268" s="145"/>
    </row>
    <row r="269" spans="1:15" x14ac:dyDescent="0.35">
      <c r="A269" s="145"/>
      <c r="B269" s="145"/>
      <c r="C269" s="145"/>
      <c r="D269" s="145"/>
      <c r="E269" s="145"/>
      <c r="F269" s="145"/>
      <c r="G269" s="102"/>
      <c r="H269" s="145"/>
      <c r="I269" s="145"/>
      <c r="J269" s="145"/>
      <c r="K269" s="145"/>
      <c r="L269" s="145"/>
      <c r="M269" s="145"/>
    </row>
    <row r="270" spans="1:15" x14ac:dyDescent="0.35">
      <c r="A270" s="145"/>
      <c r="B270" s="145"/>
      <c r="C270" s="145"/>
      <c r="D270" s="145"/>
      <c r="E270" s="145"/>
      <c r="F270" s="145"/>
      <c r="G270" s="102"/>
      <c r="H270" s="145"/>
      <c r="I270" s="145"/>
      <c r="J270" s="145"/>
      <c r="K270" s="145"/>
      <c r="L270" s="145"/>
      <c r="M270" s="145"/>
    </row>
    <row r="271" spans="1:15" x14ac:dyDescent="0.35">
      <c r="A271" s="145"/>
      <c r="B271" s="145"/>
      <c r="C271" s="145"/>
      <c r="D271" s="145"/>
      <c r="E271" s="145"/>
      <c r="F271" s="145"/>
      <c r="G271" s="102"/>
      <c r="H271" s="145"/>
      <c r="I271" s="145"/>
      <c r="J271" s="145"/>
      <c r="K271" s="145"/>
      <c r="L271" s="145"/>
      <c r="M271" s="145"/>
    </row>
    <row r="272" spans="1:15" x14ac:dyDescent="0.35">
      <c r="A272" s="145"/>
      <c r="B272" s="145"/>
      <c r="C272" s="145"/>
      <c r="D272" s="145"/>
      <c r="E272" s="145"/>
      <c r="F272" s="145"/>
      <c r="G272" s="102"/>
      <c r="H272" s="145"/>
      <c r="I272" s="145"/>
      <c r="J272" s="145"/>
      <c r="K272" s="145"/>
      <c r="L272" s="145"/>
      <c r="M272" s="145"/>
      <c r="N272" s="145"/>
      <c r="O272" s="145"/>
    </row>
    <row r="273" spans="1:21" x14ac:dyDescent="0.35">
      <c r="A273" s="145"/>
      <c r="B273" s="145"/>
      <c r="C273" s="145"/>
      <c r="D273" s="145"/>
      <c r="E273" s="145"/>
      <c r="F273" s="145"/>
      <c r="G273" s="102"/>
      <c r="H273" s="145"/>
      <c r="I273" s="145"/>
      <c r="J273" s="145"/>
      <c r="K273" s="145"/>
      <c r="L273" s="145"/>
      <c r="M273" s="145"/>
      <c r="N273" s="145"/>
      <c r="O273" s="145"/>
    </row>
    <row r="274" spans="1:21" x14ac:dyDescent="0.35">
      <c r="A274" s="145"/>
      <c r="B274" s="145"/>
      <c r="C274" s="145"/>
      <c r="D274" s="145"/>
      <c r="E274" s="145"/>
      <c r="F274" s="145"/>
      <c r="G274" s="102"/>
      <c r="H274" s="145"/>
      <c r="I274" s="145"/>
      <c r="J274" s="145"/>
      <c r="K274" s="145"/>
      <c r="L274" s="145"/>
      <c r="M274" s="145"/>
      <c r="N274" s="145"/>
      <c r="O274" s="145"/>
    </row>
    <row r="275" spans="1:21" x14ac:dyDescent="0.35">
      <c r="A275" s="145"/>
      <c r="B275" s="145"/>
      <c r="C275" s="145"/>
      <c r="D275" s="145"/>
      <c r="E275" s="145"/>
      <c r="F275" s="145"/>
      <c r="G275" s="102"/>
      <c r="H275" s="145"/>
      <c r="I275" s="145"/>
      <c r="J275" s="145"/>
      <c r="K275" s="145"/>
      <c r="L275" s="145"/>
      <c r="M275" s="145"/>
      <c r="N275" s="145"/>
      <c r="O275" s="145"/>
    </row>
    <row r="276" spans="1:21" x14ac:dyDescent="0.35">
      <c r="A276" s="145"/>
      <c r="B276" s="145"/>
      <c r="C276" s="145"/>
      <c r="D276" s="145"/>
      <c r="E276" s="145"/>
      <c r="F276" s="145"/>
      <c r="G276" s="102"/>
      <c r="H276" s="145"/>
      <c r="I276" s="145"/>
      <c r="J276" s="145"/>
      <c r="K276" s="145"/>
      <c r="L276" s="145"/>
      <c r="M276" s="145"/>
    </row>
    <row r="277" spans="1:21" x14ac:dyDescent="0.35">
      <c r="A277" s="145"/>
      <c r="B277" s="145"/>
      <c r="C277" s="145"/>
      <c r="D277" s="145"/>
      <c r="E277" s="145"/>
      <c r="F277" s="145"/>
      <c r="G277" s="102"/>
      <c r="H277" s="145"/>
      <c r="I277" s="145"/>
      <c r="J277" s="145"/>
      <c r="K277" s="145"/>
      <c r="L277" s="145"/>
      <c r="M277" s="145"/>
      <c r="N277" s="145"/>
      <c r="O277" s="145"/>
    </row>
    <row r="278" spans="1:21" x14ac:dyDescent="0.35">
      <c r="A278" s="145"/>
      <c r="B278" s="145"/>
      <c r="C278" s="145"/>
      <c r="D278" s="145"/>
      <c r="E278" s="145"/>
      <c r="F278" s="145"/>
      <c r="G278" s="102"/>
      <c r="H278" s="145"/>
      <c r="I278" s="145"/>
      <c r="J278" s="145"/>
      <c r="K278" s="145"/>
      <c r="L278" s="145"/>
      <c r="M278" s="145"/>
      <c r="N278" s="145"/>
      <c r="O278" s="145"/>
      <c r="U278" s="3"/>
    </row>
    <row r="279" spans="1:21" x14ac:dyDescent="0.35">
      <c r="A279" s="145"/>
      <c r="B279" s="145"/>
      <c r="C279" s="145"/>
      <c r="D279" s="145"/>
      <c r="E279" s="145"/>
      <c r="F279" s="145"/>
      <c r="G279" s="102"/>
      <c r="H279" s="145"/>
      <c r="I279" s="145"/>
      <c r="J279" s="145"/>
      <c r="K279" s="145"/>
      <c r="L279" s="145"/>
      <c r="M279" s="145"/>
      <c r="N279" s="145"/>
      <c r="O279" s="145"/>
    </row>
    <row r="280" spans="1:21" x14ac:dyDescent="0.35">
      <c r="A280" s="145"/>
      <c r="B280" s="145"/>
      <c r="C280" s="145"/>
      <c r="D280" s="145"/>
      <c r="E280" s="145"/>
      <c r="F280" s="145"/>
      <c r="G280" s="102"/>
      <c r="H280" s="145"/>
      <c r="I280" s="145"/>
      <c r="J280" s="145"/>
      <c r="K280" s="145"/>
      <c r="L280" s="145"/>
      <c r="M280" s="145"/>
      <c r="N280" s="145"/>
      <c r="O280" s="145"/>
    </row>
    <row r="281" spans="1:21" x14ac:dyDescent="0.35">
      <c r="A281" s="145"/>
      <c r="B281" s="145"/>
      <c r="C281" s="145"/>
      <c r="D281" s="145"/>
      <c r="E281" s="145"/>
      <c r="F281" s="145"/>
      <c r="G281" s="102"/>
      <c r="H281" s="145"/>
      <c r="I281" s="145"/>
      <c r="J281" s="145"/>
      <c r="K281" s="145"/>
      <c r="L281" s="145"/>
      <c r="M281" s="145"/>
      <c r="N281" s="145"/>
      <c r="O281" s="145"/>
    </row>
    <row r="282" spans="1:21" x14ac:dyDescent="0.35">
      <c r="A282" s="145"/>
      <c r="B282" s="145"/>
      <c r="C282" s="145"/>
      <c r="D282" s="145"/>
      <c r="E282" s="145"/>
      <c r="F282" s="145"/>
      <c r="G282" s="102"/>
      <c r="H282" s="145"/>
      <c r="I282" s="145"/>
      <c r="J282" s="145"/>
      <c r="K282" s="145"/>
      <c r="L282" s="145"/>
      <c r="M282" s="145"/>
      <c r="N282" s="145"/>
      <c r="O282" s="145"/>
    </row>
    <row r="283" spans="1:21" x14ac:dyDescent="0.35">
      <c r="A283" s="145"/>
      <c r="B283" s="145"/>
      <c r="C283" s="145"/>
      <c r="D283" s="145"/>
      <c r="E283" s="145"/>
      <c r="F283" s="145"/>
      <c r="G283" s="102"/>
      <c r="H283" s="145"/>
      <c r="I283" s="145"/>
      <c r="J283" s="145"/>
      <c r="K283" s="145"/>
      <c r="L283" s="145"/>
      <c r="M283" s="145"/>
      <c r="N283" s="145"/>
      <c r="O283" s="145"/>
    </row>
    <row r="284" spans="1:21" x14ac:dyDescent="0.35">
      <c r="A284" s="145"/>
      <c r="B284" s="145"/>
      <c r="C284" s="145"/>
      <c r="D284" s="145"/>
      <c r="E284" s="145"/>
      <c r="F284" s="145"/>
      <c r="G284" s="102"/>
      <c r="H284" s="145"/>
      <c r="I284" s="145"/>
      <c r="J284" s="145"/>
      <c r="K284" s="145"/>
      <c r="L284" s="145"/>
      <c r="M284" s="145"/>
      <c r="N284" s="145"/>
      <c r="O284" s="145"/>
    </row>
    <row r="285" spans="1:21" x14ac:dyDescent="0.35">
      <c r="A285" s="145"/>
      <c r="B285" s="145"/>
      <c r="C285" s="145"/>
      <c r="D285" s="145"/>
      <c r="E285" s="145"/>
      <c r="F285" s="145"/>
      <c r="G285" s="102"/>
      <c r="H285" s="145"/>
      <c r="I285" s="145"/>
      <c r="J285" s="145"/>
      <c r="K285" s="145"/>
      <c r="L285" s="145"/>
      <c r="M285" s="145"/>
      <c r="N285" s="31"/>
      <c r="O285" s="31"/>
    </row>
    <row r="286" spans="1:21" x14ac:dyDescent="0.35">
      <c r="A286" s="145"/>
      <c r="B286" s="145"/>
      <c r="C286" s="145"/>
      <c r="D286" s="145"/>
      <c r="E286" s="145"/>
      <c r="F286" s="145"/>
      <c r="G286" s="102"/>
      <c r="H286" s="145"/>
      <c r="I286" s="145"/>
      <c r="J286" s="145"/>
      <c r="K286" s="145"/>
      <c r="L286" s="145"/>
      <c r="M286" s="145"/>
      <c r="N286" s="145"/>
      <c r="O286" s="145"/>
    </row>
    <row r="287" spans="1:21" x14ac:dyDescent="0.35">
      <c r="A287" s="145"/>
      <c r="B287" s="145"/>
      <c r="C287" s="145"/>
      <c r="D287" s="145"/>
      <c r="E287" s="145"/>
      <c r="F287" s="145"/>
      <c r="G287" s="102"/>
      <c r="H287" s="145"/>
      <c r="I287" s="145"/>
      <c r="J287" s="145"/>
      <c r="K287" s="145"/>
      <c r="L287" s="145"/>
      <c r="M287" s="145"/>
    </row>
    <row r="288" spans="1:21" x14ac:dyDescent="0.35">
      <c r="A288" s="145"/>
      <c r="B288" s="145"/>
      <c r="C288" s="145"/>
      <c r="D288" s="145"/>
      <c r="E288" s="145"/>
      <c r="F288" s="145"/>
      <c r="G288" s="102"/>
      <c r="H288" s="145"/>
      <c r="I288" s="145"/>
      <c r="J288" s="145"/>
      <c r="K288" s="145"/>
      <c r="L288" s="145"/>
      <c r="M288" s="145"/>
    </row>
    <row r="289" spans="1:15" x14ac:dyDescent="0.35">
      <c r="A289" s="145"/>
      <c r="B289" s="145"/>
      <c r="C289" s="145"/>
      <c r="D289" s="145"/>
      <c r="E289" s="145"/>
      <c r="F289" s="145"/>
      <c r="G289" s="102"/>
      <c r="H289" s="145"/>
      <c r="I289" s="145"/>
      <c r="J289" s="145"/>
      <c r="K289" s="145"/>
      <c r="L289" s="145"/>
      <c r="M289" s="145"/>
    </row>
    <row r="290" spans="1:15" x14ac:dyDescent="0.35">
      <c r="A290" s="145"/>
      <c r="B290" s="145"/>
      <c r="C290" s="145"/>
      <c r="D290" s="145"/>
      <c r="E290" s="145"/>
      <c r="F290" s="145"/>
      <c r="G290" s="102"/>
      <c r="H290" s="145"/>
      <c r="I290" s="145"/>
      <c r="J290" s="145"/>
      <c r="K290" s="145"/>
      <c r="L290" s="145"/>
      <c r="M290" s="145"/>
      <c r="N290" s="145"/>
      <c r="O290" s="145"/>
    </row>
    <row r="291" spans="1:15" x14ac:dyDescent="0.35">
      <c r="A291" s="145"/>
      <c r="B291" s="145"/>
      <c r="C291" s="145"/>
      <c r="D291" s="145"/>
      <c r="E291" s="145"/>
      <c r="F291" s="145"/>
      <c r="G291" s="102"/>
      <c r="H291" s="145"/>
      <c r="I291" s="145"/>
      <c r="J291" s="145"/>
      <c r="K291" s="145"/>
      <c r="L291" s="145"/>
      <c r="M291" s="145"/>
      <c r="N291" s="145"/>
      <c r="O291" s="145"/>
    </row>
    <row r="292" spans="1:15" x14ac:dyDescent="0.35">
      <c r="A292" s="145"/>
      <c r="B292" s="145"/>
      <c r="C292" s="145"/>
      <c r="D292" s="145"/>
      <c r="E292" s="145"/>
      <c r="F292" s="145"/>
      <c r="G292" s="102"/>
      <c r="H292" s="145"/>
      <c r="I292" s="145"/>
      <c r="J292" s="145"/>
      <c r="K292" s="145"/>
      <c r="L292" s="145"/>
      <c r="M292" s="145"/>
      <c r="N292" s="145"/>
      <c r="O292" s="145"/>
    </row>
    <row r="293" spans="1:15" x14ac:dyDescent="0.35">
      <c r="A293" s="145"/>
      <c r="B293" s="145"/>
      <c r="C293" s="145"/>
      <c r="D293" s="145"/>
      <c r="E293" s="145"/>
      <c r="F293" s="145"/>
      <c r="G293" s="102"/>
      <c r="H293" s="145"/>
      <c r="I293" s="145"/>
      <c r="J293" s="145"/>
      <c r="K293" s="145"/>
      <c r="L293" s="145"/>
      <c r="M293" s="145"/>
      <c r="N293" s="145"/>
      <c r="O293" s="145"/>
    </row>
    <row r="294" spans="1:15" x14ac:dyDescent="0.35">
      <c r="A294" s="145"/>
      <c r="B294" s="145"/>
      <c r="C294" s="145"/>
      <c r="D294" s="145"/>
      <c r="E294" s="145"/>
      <c r="F294" s="145"/>
      <c r="G294" s="102"/>
      <c r="H294" s="145"/>
      <c r="I294" s="145"/>
      <c r="J294" s="145"/>
      <c r="K294" s="145"/>
      <c r="L294" s="145"/>
      <c r="M294" s="145"/>
      <c r="N294" s="145"/>
      <c r="O294" s="145"/>
    </row>
    <row r="295" spans="1:15" x14ac:dyDescent="0.35">
      <c r="A295" s="145"/>
      <c r="B295" s="145"/>
      <c r="C295" s="145"/>
      <c r="D295" s="145"/>
      <c r="E295" s="145"/>
      <c r="F295" s="145"/>
      <c r="G295" s="102"/>
      <c r="H295" s="145"/>
      <c r="I295" s="145"/>
      <c r="J295" s="145"/>
      <c r="K295" s="145"/>
      <c r="L295" s="145"/>
      <c r="M295" s="145"/>
      <c r="N295" s="145"/>
      <c r="O295" s="145"/>
    </row>
    <row r="296" spans="1:15" x14ac:dyDescent="0.35">
      <c r="A296" s="145"/>
      <c r="B296" s="145"/>
      <c r="C296" s="145"/>
      <c r="D296" s="145"/>
      <c r="E296" s="145"/>
      <c r="F296" s="145"/>
      <c r="G296" s="102"/>
      <c r="H296" s="145"/>
      <c r="I296" s="145"/>
      <c r="J296" s="145"/>
      <c r="K296" s="145"/>
      <c r="L296" s="145"/>
      <c r="M296" s="145"/>
      <c r="N296" s="145"/>
      <c r="O296" s="145"/>
    </row>
    <row r="297" spans="1:15" x14ac:dyDescent="0.35">
      <c r="A297" s="145"/>
      <c r="B297" s="145"/>
      <c r="C297" s="145"/>
      <c r="D297" s="145"/>
      <c r="E297" s="145"/>
      <c r="F297" s="145"/>
      <c r="G297" s="102"/>
      <c r="H297" s="145"/>
      <c r="I297" s="145"/>
      <c r="J297" s="145"/>
      <c r="K297" s="145"/>
      <c r="L297" s="145"/>
      <c r="M297" s="145"/>
      <c r="N297" s="145"/>
      <c r="O297" s="145"/>
    </row>
    <row r="298" spans="1:15" x14ac:dyDescent="0.35">
      <c r="A298" s="145"/>
      <c r="B298" s="145"/>
      <c r="C298" s="145"/>
      <c r="D298" s="145"/>
      <c r="E298" s="145"/>
      <c r="F298" s="145"/>
      <c r="G298" s="102"/>
      <c r="H298" s="145"/>
      <c r="I298" s="145"/>
      <c r="J298" s="145"/>
      <c r="K298" s="145"/>
      <c r="L298" s="145"/>
      <c r="M298" s="145"/>
      <c r="N298" s="145"/>
      <c r="O298" s="145"/>
    </row>
    <row r="299" spans="1:15" x14ac:dyDescent="0.35">
      <c r="A299" s="145"/>
      <c r="B299" s="145"/>
      <c r="C299" s="145"/>
      <c r="D299" s="145"/>
      <c r="E299" s="145"/>
      <c r="F299" s="145"/>
      <c r="G299" s="102"/>
      <c r="H299" s="145"/>
      <c r="I299" s="145"/>
      <c r="J299" s="145"/>
      <c r="K299" s="145"/>
      <c r="L299" s="145"/>
      <c r="M299" s="145"/>
      <c r="N299" s="145"/>
      <c r="O299" s="145"/>
    </row>
    <row r="300" spans="1:15" x14ac:dyDescent="0.35">
      <c r="A300" s="145"/>
      <c r="B300" s="145"/>
      <c r="C300" s="145"/>
      <c r="D300" s="145"/>
      <c r="E300" s="145"/>
      <c r="F300" s="145"/>
      <c r="G300" s="102"/>
      <c r="H300" s="145"/>
      <c r="I300" s="145"/>
      <c r="J300" s="145"/>
      <c r="K300" s="145"/>
      <c r="L300" s="145"/>
      <c r="M300" s="145"/>
      <c r="N300" s="145"/>
      <c r="O300" s="145"/>
    </row>
    <row r="301" spans="1:15" x14ac:dyDescent="0.35">
      <c r="A301" s="145"/>
      <c r="B301" s="145"/>
      <c r="C301" s="145"/>
      <c r="D301" s="145"/>
      <c r="E301" s="145"/>
      <c r="F301" s="145"/>
      <c r="G301" s="102"/>
      <c r="H301" s="145"/>
      <c r="I301" s="145"/>
      <c r="J301" s="145"/>
      <c r="K301" s="145"/>
      <c r="L301" s="145"/>
      <c r="M301" s="145"/>
    </row>
    <row r="302" spans="1:15" x14ac:dyDescent="0.35">
      <c r="A302" s="145"/>
      <c r="B302" s="145"/>
      <c r="C302" s="145"/>
      <c r="D302" s="145"/>
      <c r="E302" s="145"/>
      <c r="F302" s="145"/>
      <c r="G302" s="102"/>
      <c r="H302" s="145"/>
      <c r="I302" s="145"/>
      <c r="J302" s="145"/>
      <c r="K302" s="145"/>
      <c r="L302" s="145"/>
      <c r="M302" s="145"/>
      <c r="N302" s="145"/>
      <c r="O302" s="145"/>
    </row>
    <row r="303" spans="1:15" x14ac:dyDescent="0.35">
      <c r="A303" s="145"/>
      <c r="B303" s="145"/>
      <c r="C303" s="145"/>
      <c r="D303" s="145"/>
      <c r="E303" s="145"/>
      <c r="F303" s="145"/>
      <c r="G303" s="102"/>
      <c r="H303" s="145"/>
      <c r="I303" s="145"/>
      <c r="J303" s="145"/>
      <c r="K303" s="145"/>
      <c r="L303" s="145"/>
      <c r="M303" s="145"/>
      <c r="N303" s="145"/>
      <c r="O303" s="145"/>
    </row>
    <row r="304" spans="1:15" x14ac:dyDescent="0.35">
      <c r="A304" s="145"/>
      <c r="B304" s="145"/>
      <c r="C304" s="145"/>
      <c r="D304" s="145"/>
      <c r="E304" s="145"/>
      <c r="F304" s="145"/>
      <c r="G304" s="102"/>
      <c r="H304" s="145"/>
      <c r="I304" s="145"/>
      <c r="J304" s="145"/>
      <c r="K304" s="145"/>
      <c r="L304" s="145"/>
      <c r="M304" s="145"/>
    </row>
    <row r="305" spans="1:32" x14ac:dyDescent="0.35">
      <c r="A305" s="145"/>
      <c r="B305" s="145"/>
      <c r="C305" s="145"/>
      <c r="D305" s="145"/>
      <c r="E305" s="145"/>
      <c r="F305" s="145"/>
      <c r="G305" s="102"/>
      <c r="H305" s="145"/>
      <c r="I305" s="145"/>
      <c r="J305" s="145"/>
      <c r="K305" s="145"/>
      <c r="L305" s="145"/>
      <c r="M305" s="145"/>
      <c r="N305" s="145"/>
      <c r="O305" s="145"/>
    </row>
    <row r="306" spans="1:32" x14ac:dyDescent="0.35">
      <c r="A306" s="145"/>
      <c r="B306" s="145"/>
      <c r="C306" s="145"/>
      <c r="D306" s="145"/>
      <c r="E306" s="145"/>
      <c r="F306" s="145"/>
      <c r="G306" s="102"/>
      <c r="H306" s="145"/>
      <c r="I306" s="145"/>
      <c r="J306" s="145"/>
      <c r="K306" s="145"/>
      <c r="L306" s="145"/>
      <c r="M306" s="145"/>
      <c r="N306" s="145"/>
      <c r="O306" s="145"/>
    </row>
    <row r="307" spans="1:32" x14ac:dyDescent="0.35">
      <c r="A307" s="145"/>
      <c r="B307" s="145"/>
      <c r="C307" s="145"/>
      <c r="D307" s="145"/>
      <c r="E307" s="145"/>
      <c r="F307" s="145"/>
      <c r="G307" s="102"/>
      <c r="H307" s="145"/>
      <c r="I307" s="145"/>
      <c r="J307" s="145"/>
      <c r="K307" s="145"/>
      <c r="L307" s="145"/>
      <c r="M307" s="145"/>
      <c r="N307" s="145"/>
      <c r="O307" s="145"/>
    </row>
    <row r="308" spans="1:32" x14ac:dyDescent="0.35">
      <c r="A308" s="145"/>
      <c r="B308" s="145"/>
      <c r="C308" s="145"/>
      <c r="D308" s="145"/>
      <c r="E308" s="145"/>
      <c r="F308" s="145"/>
      <c r="G308" s="102"/>
      <c r="H308" s="145"/>
      <c r="I308" s="145"/>
      <c r="J308" s="145"/>
      <c r="K308" s="145"/>
      <c r="L308" s="145"/>
      <c r="M308" s="145"/>
      <c r="N308" s="145"/>
      <c r="O308" s="145"/>
    </row>
    <row r="309" spans="1:32" x14ac:dyDescent="0.35">
      <c r="A309" s="145"/>
      <c r="B309" s="145"/>
      <c r="C309" s="145"/>
      <c r="D309" s="145"/>
      <c r="E309" s="145"/>
      <c r="F309" s="145"/>
      <c r="G309" s="102"/>
      <c r="H309" s="145"/>
      <c r="I309" s="145"/>
      <c r="J309" s="145"/>
      <c r="K309" s="145"/>
      <c r="L309" s="145"/>
      <c r="M309" s="145"/>
      <c r="N309" s="145"/>
      <c r="O309" s="145"/>
    </row>
    <row r="310" spans="1:32" x14ac:dyDescent="0.35">
      <c r="A310" s="145"/>
      <c r="B310" s="145"/>
      <c r="C310" s="145"/>
      <c r="D310" s="145"/>
      <c r="E310" s="145"/>
      <c r="F310" s="145"/>
      <c r="G310" s="102"/>
      <c r="H310" s="145"/>
      <c r="I310" s="145"/>
      <c r="J310" s="145"/>
      <c r="K310" s="145"/>
      <c r="L310" s="145"/>
      <c r="M310" s="145"/>
      <c r="N310" s="145"/>
      <c r="O310" s="145"/>
    </row>
    <row r="311" spans="1:32" x14ac:dyDescent="0.35">
      <c r="A311" s="145"/>
      <c r="B311" s="145"/>
      <c r="C311" s="145"/>
      <c r="D311" s="145"/>
      <c r="E311" s="145"/>
      <c r="F311" s="145"/>
      <c r="G311" s="102"/>
      <c r="H311" s="145"/>
      <c r="I311" s="145"/>
      <c r="J311" s="145"/>
      <c r="K311" s="145"/>
      <c r="L311" s="145"/>
      <c r="M311" s="145"/>
      <c r="N311" s="145"/>
      <c r="O311" s="145"/>
    </row>
    <row r="312" spans="1:32" s="81" customFormat="1" x14ac:dyDescent="0.35">
      <c r="A312" s="145"/>
      <c r="B312" s="145"/>
      <c r="C312" s="145"/>
      <c r="D312" s="145"/>
      <c r="E312" s="145"/>
      <c r="F312" s="145"/>
      <c r="G312" s="102"/>
      <c r="H312" s="145"/>
      <c r="I312" s="145"/>
      <c r="J312" s="145"/>
      <c r="K312" s="145"/>
      <c r="L312" s="145"/>
      <c r="M312" s="145"/>
      <c r="N312"/>
      <c r="O312"/>
      <c r="P312" s="5"/>
      <c r="Q312" s="3"/>
      <c r="R312" s="48"/>
      <c r="S312" s="48"/>
      <c r="T312"/>
      <c r="U312"/>
      <c r="V312" s="3"/>
      <c r="W312"/>
      <c r="X312"/>
      <c r="Y312"/>
      <c r="Z312"/>
      <c r="AA312"/>
      <c r="AB312"/>
      <c r="AC312"/>
      <c r="AD312"/>
      <c r="AE312"/>
      <c r="AF312"/>
    </row>
    <row r="313" spans="1:32" x14ac:dyDescent="0.35">
      <c r="A313" s="145"/>
      <c r="B313" s="145"/>
      <c r="C313" s="145"/>
      <c r="D313" s="145"/>
      <c r="E313" s="145"/>
      <c r="F313" s="145"/>
      <c r="G313" s="102"/>
      <c r="H313" s="145"/>
      <c r="I313" s="145"/>
      <c r="J313" s="145"/>
      <c r="K313" s="145"/>
      <c r="L313" s="145"/>
      <c r="M313" s="145"/>
      <c r="N313" s="145"/>
      <c r="O313" s="145"/>
    </row>
    <row r="314" spans="1:32" x14ac:dyDescent="0.35">
      <c r="A314" s="145"/>
      <c r="B314" s="145"/>
      <c r="C314" s="145"/>
      <c r="D314" s="145"/>
      <c r="E314" s="145"/>
      <c r="F314" s="145"/>
      <c r="G314" s="102"/>
      <c r="H314" s="145"/>
      <c r="I314" s="145"/>
      <c r="J314" s="145"/>
      <c r="K314" s="145"/>
      <c r="L314" s="145"/>
      <c r="M314" s="145"/>
      <c r="N314" s="145"/>
      <c r="O314" s="145"/>
    </row>
    <row r="315" spans="1:32" x14ac:dyDescent="0.35">
      <c r="A315" s="145"/>
      <c r="B315" s="145"/>
      <c r="C315" s="145"/>
      <c r="D315" s="145"/>
      <c r="E315" s="145"/>
      <c r="F315" s="145"/>
      <c r="G315" s="102"/>
      <c r="H315" s="145"/>
      <c r="I315" s="145"/>
      <c r="J315" s="145"/>
      <c r="K315" s="145"/>
      <c r="L315" s="145"/>
      <c r="M315" s="145"/>
      <c r="N315" s="145"/>
      <c r="O315" s="145"/>
    </row>
    <row r="316" spans="1:32" x14ac:dyDescent="0.35">
      <c r="A316" s="145"/>
      <c r="B316" s="145"/>
      <c r="C316" s="145"/>
      <c r="D316" s="145"/>
      <c r="E316" s="145"/>
      <c r="F316" s="145"/>
      <c r="G316" s="102"/>
      <c r="H316" s="145"/>
      <c r="I316" s="145"/>
      <c r="J316" s="145"/>
      <c r="K316" s="145"/>
      <c r="L316" s="145"/>
      <c r="M316" s="145"/>
    </row>
    <row r="317" spans="1:32" x14ac:dyDescent="0.35">
      <c r="A317" s="145"/>
      <c r="B317" s="145"/>
      <c r="C317" s="145"/>
      <c r="D317" s="145"/>
      <c r="E317" s="145"/>
      <c r="F317" s="145"/>
      <c r="G317" s="102"/>
      <c r="H317" s="145"/>
      <c r="I317" s="145"/>
      <c r="J317" s="145"/>
      <c r="K317" s="145"/>
      <c r="L317" s="145"/>
      <c r="M317" s="145"/>
      <c r="N317" s="145"/>
      <c r="O317" s="145"/>
    </row>
    <row r="318" spans="1:32" x14ac:dyDescent="0.35">
      <c r="A318" s="145"/>
      <c r="B318" s="145"/>
      <c r="C318" s="145"/>
      <c r="D318" s="145"/>
      <c r="E318" s="145"/>
      <c r="F318" s="145"/>
      <c r="G318" s="102"/>
      <c r="H318" s="145"/>
      <c r="I318" s="145"/>
      <c r="J318" s="145"/>
      <c r="K318" s="145"/>
      <c r="L318" s="145"/>
      <c r="M318" s="145"/>
      <c r="N318" s="145"/>
      <c r="O318" s="145"/>
    </row>
    <row r="319" spans="1:32" x14ac:dyDescent="0.35">
      <c r="A319" s="145"/>
      <c r="B319" s="145"/>
      <c r="C319" s="145"/>
      <c r="D319" s="145"/>
      <c r="E319" s="145"/>
      <c r="F319" s="145"/>
      <c r="G319" s="102"/>
      <c r="H319" s="145"/>
      <c r="I319" s="145"/>
      <c r="J319" s="145"/>
      <c r="K319" s="145"/>
      <c r="L319" s="145"/>
      <c r="M319" s="145"/>
      <c r="N319" s="145"/>
      <c r="O319" s="145"/>
    </row>
    <row r="320" spans="1:32" x14ac:dyDescent="0.35">
      <c r="A320" s="145"/>
      <c r="B320" s="145"/>
      <c r="C320" s="145"/>
      <c r="D320" s="145"/>
      <c r="E320" s="145"/>
      <c r="F320" s="145"/>
      <c r="G320" s="102"/>
      <c r="H320" s="145"/>
      <c r="I320" s="145"/>
      <c r="J320" s="145"/>
      <c r="K320" s="145"/>
      <c r="L320" s="145"/>
      <c r="M320" s="145"/>
      <c r="N320" s="145"/>
      <c r="O320" s="145"/>
    </row>
    <row r="321" spans="1:15" x14ac:dyDescent="0.35">
      <c r="A321" s="145"/>
      <c r="B321" s="145"/>
      <c r="C321" s="145"/>
      <c r="D321" s="145"/>
      <c r="E321" s="145"/>
      <c r="F321" s="145"/>
      <c r="G321" s="102"/>
      <c r="H321" s="145"/>
      <c r="I321" s="145"/>
      <c r="J321" s="145"/>
      <c r="K321" s="145"/>
      <c r="L321" s="145"/>
      <c r="M321" s="145"/>
      <c r="N321" s="145"/>
      <c r="O321" s="145"/>
    </row>
    <row r="322" spans="1:15" x14ac:dyDescent="0.35">
      <c r="A322" s="145"/>
      <c r="B322" s="145"/>
      <c r="C322" s="145"/>
      <c r="D322" s="145"/>
      <c r="E322" s="145"/>
      <c r="F322" s="145"/>
      <c r="G322" s="102"/>
      <c r="H322" s="145"/>
      <c r="I322" s="145"/>
      <c r="J322" s="145"/>
      <c r="K322" s="145"/>
      <c r="L322" s="145"/>
      <c r="M322" s="145"/>
      <c r="N322" s="145"/>
      <c r="O322" s="145"/>
    </row>
    <row r="323" spans="1:15" x14ac:dyDescent="0.35">
      <c r="A323" s="145"/>
      <c r="B323" s="145"/>
      <c r="C323" s="145"/>
      <c r="D323" s="145"/>
      <c r="E323" s="145"/>
      <c r="F323" s="145"/>
      <c r="G323" s="102"/>
      <c r="H323" s="145"/>
      <c r="I323" s="145"/>
      <c r="J323" s="145"/>
      <c r="K323" s="145"/>
      <c r="L323" s="145"/>
      <c r="M323" s="145"/>
      <c r="N323" s="145"/>
      <c r="O323" s="145"/>
    </row>
    <row r="324" spans="1:15" x14ac:dyDescent="0.35">
      <c r="A324" s="145"/>
      <c r="B324" s="145"/>
      <c r="C324" s="145"/>
      <c r="D324" s="145"/>
      <c r="E324" s="145"/>
      <c r="F324" s="145"/>
      <c r="G324" s="102"/>
      <c r="H324" s="145"/>
      <c r="I324" s="145"/>
      <c r="J324" s="145"/>
      <c r="K324" s="145"/>
      <c r="L324" s="145"/>
      <c r="M324" s="145"/>
      <c r="N324" s="145"/>
      <c r="O324" s="145"/>
    </row>
    <row r="325" spans="1:15" x14ac:dyDescent="0.35">
      <c r="A325" s="145"/>
      <c r="B325" s="145"/>
      <c r="C325" s="145"/>
      <c r="D325" s="145"/>
      <c r="E325" s="145"/>
      <c r="F325" s="145"/>
      <c r="G325" s="102"/>
      <c r="H325" s="145"/>
      <c r="I325" s="145"/>
      <c r="J325" s="145"/>
      <c r="K325" s="145"/>
      <c r="L325" s="145"/>
      <c r="M325" s="145"/>
      <c r="N325" s="145"/>
      <c r="O325" s="145"/>
    </row>
    <row r="326" spans="1:15" x14ac:dyDescent="0.35">
      <c r="A326" s="145"/>
      <c r="B326" s="145"/>
      <c r="C326" s="145"/>
      <c r="D326" s="145"/>
      <c r="E326" s="145"/>
      <c r="F326" s="145"/>
      <c r="G326" s="102"/>
      <c r="H326" s="145"/>
      <c r="I326" s="145"/>
      <c r="J326" s="145"/>
      <c r="K326" s="145"/>
      <c r="L326" s="145"/>
      <c r="M326" s="145"/>
    </row>
    <row r="327" spans="1:15" x14ac:dyDescent="0.35">
      <c r="A327" s="145"/>
      <c r="B327" s="145"/>
      <c r="C327" s="145"/>
      <c r="D327" s="145"/>
      <c r="E327" s="145"/>
      <c r="F327" s="145"/>
      <c r="G327" s="102"/>
      <c r="H327" s="145"/>
      <c r="I327" s="145"/>
      <c r="J327" s="145"/>
      <c r="K327" s="145"/>
      <c r="L327" s="145"/>
      <c r="M327" s="145"/>
      <c r="N327" s="145"/>
      <c r="O327" s="145"/>
    </row>
    <row r="328" spans="1:15" x14ac:dyDescent="0.35">
      <c r="A328" s="145"/>
      <c r="B328" s="145"/>
      <c r="C328" s="145"/>
      <c r="D328" s="145"/>
      <c r="E328" s="145"/>
      <c r="F328" s="145"/>
      <c r="G328" s="102"/>
      <c r="H328" s="145"/>
      <c r="I328" s="145"/>
      <c r="J328" s="145"/>
      <c r="K328" s="145"/>
      <c r="L328" s="145"/>
      <c r="M328" s="145"/>
      <c r="N328" s="145"/>
      <c r="O328" s="145"/>
    </row>
    <row r="329" spans="1:15" x14ac:dyDescent="0.35">
      <c r="A329" s="145"/>
      <c r="B329" s="145"/>
      <c r="C329" s="145"/>
      <c r="D329" s="145"/>
      <c r="E329" s="145"/>
      <c r="F329" s="145"/>
      <c r="G329" s="102"/>
      <c r="H329" s="145"/>
      <c r="I329" s="145"/>
      <c r="J329" s="145"/>
      <c r="K329" s="145"/>
      <c r="L329" s="145"/>
      <c r="M329" s="145"/>
      <c r="N329" s="145"/>
      <c r="O329" s="145"/>
    </row>
    <row r="330" spans="1:15" x14ac:dyDescent="0.35">
      <c r="A330" s="145"/>
      <c r="B330" s="145"/>
      <c r="C330" s="145"/>
      <c r="D330" s="145"/>
      <c r="E330" s="145"/>
      <c r="F330" s="145"/>
      <c r="G330" s="102"/>
      <c r="H330" s="145"/>
      <c r="I330" s="145"/>
      <c r="J330" s="145"/>
      <c r="K330" s="145"/>
      <c r="L330" s="145"/>
      <c r="M330" s="145"/>
      <c r="N330" s="145"/>
      <c r="O330" s="145"/>
    </row>
    <row r="331" spans="1:15" x14ac:dyDescent="0.35">
      <c r="A331" s="145"/>
      <c r="B331" s="145"/>
      <c r="C331" s="145"/>
      <c r="D331" s="145"/>
      <c r="E331" s="145"/>
      <c r="F331" s="145"/>
      <c r="G331" s="102"/>
      <c r="H331" s="145"/>
      <c r="I331" s="145"/>
      <c r="J331" s="145"/>
      <c r="K331" s="145"/>
      <c r="L331" s="145"/>
      <c r="M331" s="145"/>
      <c r="N331" s="145"/>
      <c r="O331" s="145"/>
    </row>
    <row r="332" spans="1:15" x14ac:dyDescent="0.35">
      <c r="A332" s="145"/>
      <c r="B332" s="145"/>
      <c r="C332" s="145"/>
      <c r="D332" s="145"/>
      <c r="E332" s="145"/>
      <c r="F332" s="145"/>
      <c r="G332" s="102"/>
      <c r="H332" s="145"/>
      <c r="I332" s="145"/>
      <c r="J332" s="145"/>
      <c r="K332" s="145"/>
      <c r="L332" s="145"/>
      <c r="M332" s="145"/>
      <c r="N332" s="145"/>
      <c r="O332" s="145"/>
    </row>
    <row r="333" spans="1:15" x14ac:dyDescent="0.35">
      <c r="A333" s="145"/>
      <c r="B333" s="145"/>
      <c r="C333" s="145"/>
      <c r="D333" s="145"/>
      <c r="E333" s="145"/>
      <c r="F333" s="145"/>
      <c r="G333" s="102"/>
      <c r="H333" s="145"/>
      <c r="I333" s="145"/>
      <c r="J333" s="145"/>
      <c r="K333" s="145"/>
      <c r="L333" s="145"/>
      <c r="M333" s="145"/>
      <c r="N333" s="145"/>
      <c r="O333" s="145"/>
    </row>
    <row r="334" spans="1:15" x14ac:dyDescent="0.35">
      <c r="A334" s="145"/>
      <c r="B334" s="145"/>
      <c r="C334" s="145"/>
      <c r="D334" s="145"/>
      <c r="E334" s="145"/>
      <c r="F334" s="145"/>
      <c r="G334" s="102"/>
      <c r="H334" s="145"/>
      <c r="I334" s="145"/>
      <c r="J334" s="145"/>
      <c r="K334" s="145"/>
      <c r="L334" s="145"/>
      <c r="M334" s="145"/>
      <c r="N334" s="145"/>
      <c r="O334" s="145"/>
    </row>
    <row r="335" spans="1:15" x14ac:dyDescent="0.35">
      <c r="A335" s="145"/>
      <c r="B335" s="145"/>
      <c r="C335" s="145"/>
      <c r="D335" s="145"/>
      <c r="E335" s="145"/>
      <c r="F335" s="145"/>
      <c r="G335" s="102"/>
      <c r="H335" s="145"/>
      <c r="I335" s="145"/>
      <c r="J335" s="145"/>
      <c r="K335" s="145"/>
      <c r="L335" s="145"/>
      <c r="M335" s="145"/>
      <c r="N335" s="145"/>
      <c r="O335" s="145"/>
    </row>
    <row r="336" spans="1:15" x14ac:dyDescent="0.35">
      <c r="A336" s="145"/>
      <c r="B336" s="145"/>
      <c r="C336" s="145"/>
      <c r="D336" s="145"/>
      <c r="E336" s="145"/>
      <c r="F336" s="145"/>
      <c r="G336" s="102"/>
      <c r="H336" s="145"/>
      <c r="I336" s="145"/>
      <c r="J336" s="145"/>
      <c r="K336" s="145"/>
      <c r="L336" s="145"/>
      <c r="M336" s="145"/>
      <c r="N336" s="145"/>
      <c r="O336" s="145"/>
    </row>
    <row r="337" spans="1:15" x14ac:dyDescent="0.35">
      <c r="A337" s="145"/>
      <c r="B337" s="145"/>
      <c r="C337" s="145"/>
      <c r="D337" s="145"/>
      <c r="E337" s="145"/>
      <c r="F337" s="145"/>
      <c r="G337" s="102"/>
      <c r="H337" s="145"/>
      <c r="I337" s="145"/>
      <c r="J337" s="145"/>
      <c r="K337" s="145"/>
      <c r="L337" s="145"/>
      <c r="M337" s="145"/>
      <c r="N337" s="145"/>
      <c r="O337" s="145"/>
    </row>
    <row r="338" spans="1:15" x14ac:dyDescent="0.35">
      <c r="A338" s="145"/>
      <c r="B338" s="145"/>
      <c r="C338" s="145"/>
      <c r="D338" s="145"/>
      <c r="E338" s="145"/>
      <c r="F338" s="145"/>
      <c r="G338" s="102"/>
      <c r="H338" s="145"/>
      <c r="I338" s="145"/>
      <c r="J338" s="145"/>
      <c r="K338" s="145"/>
      <c r="L338" s="145"/>
      <c r="M338" s="145"/>
      <c r="N338" s="145"/>
      <c r="O338" s="145"/>
    </row>
    <row r="339" spans="1:15" x14ac:dyDescent="0.35">
      <c r="A339" s="145"/>
      <c r="B339" s="145"/>
      <c r="C339" s="145"/>
      <c r="D339" s="145"/>
      <c r="E339" s="145"/>
      <c r="F339" s="145"/>
      <c r="G339" s="102"/>
      <c r="H339" s="145"/>
      <c r="I339" s="145"/>
      <c r="J339" s="145"/>
      <c r="K339" s="145"/>
      <c r="L339" s="145"/>
      <c r="M339" s="145"/>
      <c r="N339" s="145"/>
      <c r="O339" s="145"/>
    </row>
    <row r="340" spans="1:15" x14ac:dyDescent="0.35">
      <c r="A340" s="145"/>
      <c r="B340" s="145"/>
      <c r="C340" s="145"/>
      <c r="D340" s="145"/>
      <c r="E340" s="145"/>
      <c r="F340" s="145"/>
      <c r="G340" s="102"/>
      <c r="H340" s="145"/>
      <c r="I340" s="145"/>
      <c r="J340" s="145"/>
      <c r="K340" s="145"/>
      <c r="L340" s="145"/>
      <c r="M340" s="145"/>
      <c r="N340" s="145"/>
      <c r="O340" s="145"/>
    </row>
    <row r="341" spans="1:15" x14ac:dyDescent="0.35">
      <c r="A341" s="145"/>
      <c r="B341" s="145"/>
      <c r="C341" s="145"/>
      <c r="D341" s="145"/>
      <c r="E341" s="145"/>
      <c r="F341" s="145"/>
      <c r="G341" s="102"/>
      <c r="H341" s="145"/>
      <c r="I341" s="145"/>
      <c r="J341" s="145"/>
      <c r="K341" s="145"/>
      <c r="L341" s="145"/>
      <c r="M341" s="145"/>
      <c r="N341" s="145"/>
      <c r="O341" s="145"/>
    </row>
    <row r="342" spans="1:15" x14ac:dyDescent="0.35">
      <c r="A342" s="145"/>
      <c r="B342" s="145"/>
      <c r="C342" s="145"/>
      <c r="D342" s="145"/>
      <c r="E342" s="145"/>
      <c r="F342" s="145"/>
      <c r="G342" s="102"/>
      <c r="H342" s="145"/>
      <c r="I342" s="145"/>
      <c r="J342" s="145"/>
      <c r="K342" s="145"/>
      <c r="L342" s="145"/>
      <c r="M342" s="145"/>
      <c r="N342" s="145"/>
      <c r="O342" s="145"/>
    </row>
    <row r="343" spans="1:15" x14ac:dyDescent="0.35">
      <c r="A343" s="145"/>
      <c r="B343" s="145"/>
      <c r="C343" s="145"/>
      <c r="D343" s="145"/>
      <c r="E343" s="145"/>
      <c r="F343" s="145"/>
      <c r="G343" s="102"/>
      <c r="H343" s="145"/>
      <c r="I343" s="145"/>
      <c r="J343" s="145"/>
      <c r="K343" s="145"/>
      <c r="L343" s="145"/>
      <c r="M343" s="145"/>
      <c r="N343" s="145"/>
      <c r="O343" s="145"/>
    </row>
    <row r="344" spans="1:15" x14ac:dyDescent="0.35">
      <c r="A344" s="145"/>
      <c r="B344" s="145"/>
      <c r="C344" s="145"/>
      <c r="D344" s="145"/>
      <c r="E344" s="145"/>
      <c r="F344" s="145"/>
      <c r="G344" s="102"/>
      <c r="H344" s="145"/>
      <c r="I344" s="145"/>
      <c r="J344" s="145"/>
      <c r="K344" s="145"/>
      <c r="L344" s="145"/>
      <c r="M344" s="145"/>
      <c r="N344" s="145"/>
      <c r="O344" s="145"/>
    </row>
    <row r="345" spans="1:15" x14ac:dyDescent="0.35">
      <c r="A345" s="145"/>
      <c r="B345" s="145"/>
      <c r="C345" s="145"/>
      <c r="D345" s="145"/>
      <c r="E345" s="145"/>
      <c r="F345" s="145"/>
      <c r="G345" s="102"/>
      <c r="H345" s="145"/>
      <c r="I345" s="145"/>
      <c r="J345" s="145"/>
      <c r="K345" s="145"/>
      <c r="L345" s="145"/>
      <c r="M345" s="145"/>
      <c r="N345" s="145"/>
      <c r="O345" s="145"/>
    </row>
    <row r="346" spans="1:15" x14ac:dyDescent="0.35">
      <c r="A346" s="145"/>
      <c r="B346" s="145"/>
      <c r="C346" s="145"/>
      <c r="D346" s="145"/>
      <c r="E346" s="145"/>
      <c r="F346" s="145"/>
      <c r="G346" s="102"/>
      <c r="H346" s="145"/>
      <c r="I346" s="145"/>
      <c r="J346" s="145"/>
      <c r="K346" s="145"/>
      <c r="L346" s="145"/>
      <c r="M346" s="145"/>
      <c r="N346" s="145"/>
      <c r="O346" s="145"/>
    </row>
    <row r="347" spans="1:15" x14ac:dyDescent="0.35">
      <c r="A347" s="145"/>
      <c r="B347" s="145"/>
      <c r="C347" s="145"/>
      <c r="D347" s="145"/>
      <c r="E347" s="145"/>
      <c r="F347" s="145"/>
      <c r="G347" s="102"/>
      <c r="H347" s="145"/>
      <c r="I347" s="145"/>
      <c r="J347" s="145"/>
      <c r="K347" s="145"/>
      <c r="L347" s="145"/>
      <c r="M347" s="145"/>
      <c r="N347" s="145"/>
      <c r="O347" s="145"/>
    </row>
    <row r="348" spans="1:15" x14ac:dyDescent="0.35">
      <c r="A348" s="145"/>
      <c r="B348" s="145"/>
      <c r="C348" s="145"/>
      <c r="D348" s="145"/>
      <c r="E348" s="145"/>
      <c r="F348" s="145"/>
      <c r="G348" s="102"/>
      <c r="H348" s="145"/>
      <c r="I348" s="145"/>
      <c r="J348" s="145"/>
      <c r="K348" s="145"/>
      <c r="L348" s="145"/>
      <c r="M348" s="145"/>
      <c r="N348" s="145"/>
      <c r="O348" s="145"/>
    </row>
    <row r="349" spans="1:15" x14ac:dyDescent="0.35">
      <c r="A349" s="145"/>
      <c r="B349" s="145"/>
      <c r="C349" s="145"/>
      <c r="D349" s="145"/>
      <c r="E349" s="145"/>
      <c r="F349" s="145"/>
      <c r="G349" s="102"/>
      <c r="H349" s="145"/>
      <c r="I349" s="145"/>
      <c r="J349" s="145"/>
      <c r="K349" s="145"/>
      <c r="L349" s="145"/>
      <c r="M349" s="145"/>
      <c r="N349" s="145"/>
      <c r="O349" s="145"/>
    </row>
    <row r="350" spans="1:15" x14ac:dyDescent="0.35">
      <c r="A350" s="145"/>
      <c r="B350" s="145"/>
      <c r="C350" s="145"/>
      <c r="D350" s="145"/>
      <c r="E350" s="145"/>
      <c r="F350" s="145"/>
      <c r="G350" s="102"/>
      <c r="H350" s="145"/>
      <c r="I350" s="145"/>
      <c r="J350" s="145"/>
      <c r="K350" s="145"/>
      <c r="L350" s="145"/>
      <c r="M350" s="145"/>
      <c r="N350" s="145"/>
      <c r="O350" s="145"/>
    </row>
    <row r="351" spans="1:15" x14ac:dyDescent="0.35">
      <c r="A351" s="145"/>
      <c r="B351" s="145"/>
      <c r="C351" s="145"/>
      <c r="D351" s="145"/>
      <c r="E351" s="145"/>
      <c r="F351" s="145"/>
      <c r="G351" s="102"/>
      <c r="H351" s="145"/>
      <c r="I351" s="145"/>
      <c r="J351" s="145"/>
      <c r="K351" s="145"/>
      <c r="L351" s="145"/>
      <c r="M351" s="145"/>
      <c r="N351" s="145"/>
      <c r="O351" s="145"/>
    </row>
    <row r="352" spans="1:15" x14ac:dyDescent="0.35">
      <c r="A352" s="145"/>
      <c r="B352" s="145"/>
      <c r="C352" s="145"/>
      <c r="D352" s="145"/>
      <c r="E352" s="145"/>
      <c r="F352" s="145"/>
      <c r="G352" s="102"/>
      <c r="H352" s="145"/>
      <c r="I352" s="145"/>
      <c r="J352" s="145"/>
      <c r="K352" s="145"/>
      <c r="L352" s="145"/>
      <c r="M352" s="145"/>
      <c r="N352" s="145"/>
      <c r="O352" s="145"/>
    </row>
    <row r="353" spans="1:15" x14ac:dyDescent="0.35">
      <c r="A353" s="145"/>
      <c r="B353" s="145"/>
      <c r="C353" s="145"/>
      <c r="D353" s="145"/>
      <c r="E353" s="145"/>
      <c r="F353" s="145"/>
      <c r="G353" s="102"/>
      <c r="H353" s="145"/>
      <c r="I353" s="145"/>
      <c r="J353" s="145"/>
      <c r="K353" s="145"/>
      <c r="L353" s="145"/>
      <c r="M353" s="145"/>
      <c r="N353" s="145"/>
      <c r="O353" s="145"/>
    </row>
    <row r="354" spans="1:15" x14ac:dyDescent="0.35">
      <c r="A354" s="145"/>
      <c r="B354" s="145"/>
      <c r="C354" s="145"/>
      <c r="D354" s="145"/>
      <c r="E354" s="145"/>
      <c r="F354" s="145"/>
      <c r="G354" s="102"/>
      <c r="H354" s="145"/>
      <c r="I354" s="145"/>
      <c r="J354" s="145"/>
      <c r="K354" s="145"/>
      <c r="L354" s="145"/>
      <c r="M354" s="145"/>
      <c r="N354" s="145"/>
      <c r="O354" s="145"/>
    </row>
    <row r="355" spans="1:15" x14ac:dyDescent="0.35">
      <c r="A355" s="145"/>
      <c r="B355" s="145"/>
      <c r="C355" s="145"/>
      <c r="D355" s="145"/>
      <c r="E355" s="145"/>
      <c r="F355" s="145"/>
      <c r="G355" s="102"/>
      <c r="H355" s="145"/>
      <c r="I355" s="145"/>
      <c r="J355" s="145"/>
      <c r="K355" s="145"/>
      <c r="L355" s="145"/>
      <c r="M355" s="145"/>
      <c r="N355" s="145"/>
      <c r="O355" s="145"/>
    </row>
    <row r="356" spans="1:15" x14ac:dyDescent="0.35">
      <c r="A356" s="145"/>
      <c r="B356" s="145"/>
      <c r="C356" s="145"/>
      <c r="D356" s="145"/>
      <c r="E356" s="145"/>
      <c r="F356" s="145"/>
      <c r="G356" s="102"/>
      <c r="H356" s="145"/>
      <c r="I356" s="145"/>
      <c r="J356" s="145"/>
      <c r="K356" s="145"/>
      <c r="L356" s="145"/>
      <c r="M356" s="145"/>
      <c r="N356" s="145"/>
      <c r="O356" s="145"/>
    </row>
    <row r="357" spans="1:15" x14ac:dyDescent="0.35">
      <c r="A357" s="145"/>
      <c r="B357" s="145"/>
      <c r="C357" s="145"/>
      <c r="D357" s="145"/>
      <c r="E357" s="145"/>
      <c r="F357" s="145"/>
      <c r="G357" s="102"/>
      <c r="H357" s="145"/>
      <c r="I357" s="145"/>
      <c r="J357" s="145"/>
      <c r="K357" s="145"/>
      <c r="L357" s="145"/>
      <c r="M357" s="145"/>
      <c r="N357" s="145"/>
      <c r="O357" s="145"/>
    </row>
    <row r="358" spans="1:15" x14ac:dyDescent="0.35">
      <c r="A358" s="145"/>
      <c r="B358" s="145"/>
      <c r="C358" s="145"/>
      <c r="D358" s="145"/>
      <c r="E358" s="145"/>
      <c r="F358" s="145"/>
      <c r="G358" s="102"/>
      <c r="H358" s="145"/>
      <c r="I358" s="145"/>
      <c r="J358" s="145"/>
      <c r="K358" s="145"/>
      <c r="L358" s="145"/>
      <c r="M358" s="145"/>
      <c r="N358" s="145"/>
      <c r="O358" s="145"/>
    </row>
    <row r="359" spans="1:15" x14ac:dyDescent="0.35">
      <c r="A359" s="145"/>
      <c r="B359" s="145"/>
      <c r="C359" s="145"/>
      <c r="D359" s="145"/>
      <c r="E359" s="145"/>
      <c r="F359" s="145"/>
      <c r="G359" s="102"/>
      <c r="H359" s="145"/>
      <c r="I359" s="145"/>
      <c r="J359" s="145"/>
      <c r="K359" s="145"/>
      <c r="L359" s="145"/>
      <c r="M359" s="145"/>
      <c r="N359" s="145"/>
      <c r="O359" s="145"/>
    </row>
    <row r="360" spans="1:15" x14ac:dyDescent="0.35">
      <c r="A360" s="145"/>
      <c r="B360" s="145"/>
      <c r="C360" s="145"/>
      <c r="D360" s="145"/>
      <c r="E360" s="145"/>
      <c r="F360" s="145"/>
      <c r="G360" s="102"/>
      <c r="H360" s="145"/>
      <c r="I360" s="145"/>
      <c r="J360" s="145"/>
      <c r="K360" s="145"/>
      <c r="L360" s="145"/>
      <c r="M360" s="145"/>
      <c r="N360" s="145"/>
      <c r="O360" s="145"/>
    </row>
    <row r="361" spans="1:15" x14ac:dyDescent="0.35">
      <c r="A361" s="145"/>
      <c r="B361" s="145"/>
      <c r="C361" s="145"/>
      <c r="D361" s="145"/>
      <c r="E361" s="145"/>
      <c r="F361" s="145"/>
      <c r="G361" s="102"/>
      <c r="H361" s="145"/>
      <c r="I361" s="145"/>
      <c r="J361" s="145"/>
      <c r="K361" s="145"/>
      <c r="L361" s="145"/>
      <c r="M361" s="145"/>
      <c r="N361" s="145"/>
      <c r="O361" s="145"/>
    </row>
    <row r="362" spans="1:15" x14ac:dyDescent="0.35">
      <c r="A362" s="145"/>
      <c r="B362" s="145"/>
      <c r="C362" s="145"/>
      <c r="D362" s="145"/>
      <c r="E362" s="145"/>
      <c r="F362" s="145"/>
      <c r="G362" s="102"/>
      <c r="H362" s="145"/>
      <c r="I362" s="145"/>
      <c r="J362" s="145"/>
      <c r="K362" s="145"/>
      <c r="L362" s="145"/>
      <c r="M362" s="145"/>
    </row>
    <row r="363" spans="1:15" x14ac:dyDescent="0.35">
      <c r="A363" s="145"/>
      <c r="B363" s="145"/>
      <c r="C363" s="145"/>
      <c r="D363" s="145"/>
      <c r="E363" s="145"/>
      <c r="F363" s="145"/>
      <c r="G363" s="102"/>
      <c r="H363" s="145"/>
      <c r="I363" s="145"/>
      <c r="J363" s="145"/>
      <c r="K363" s="145"/>
      <c r="L363" s="145"/>
      <c r="M363" s="145"/>
      <c r="N363" s="145"/>
      <c r="O363" s="145"/>
    </row>
    <row r="364" spans="1:15" x14ac:dyDescent="0.35">
      <c r="A364" s="145"/>
      <c r="B364" s="145"/>
      <c r="C364" s="145"/>
      <c r="D364" s="145"/>
      <c r="E364" s="145"/>
      <c r="F364" s="145"/>
      <c r="G364" s="102"/>
      <c r="H364" s="145"/>
      <c r="I364" s="145"/>
      <c r="J364" s="145"/>
      <c r="K364" s="145"/>
      <c r="L364" s="145"/>
      <c r="M364" s="145"/>
    </row>
    <row r="365" spans="1:15" x14ac:dyDescent="0.35">
      <c r="A365" s="145"/>
      <c r="B365" s="145"/>
      <c r="C365" s="145"/>
      <c r="D365" s="145"/>
      <c r="E365" s="145"/>
      <c r="F365" s="145"/>
      <c r="G365" s="102"/>
      <c r="H365" s="145"/>
      <c r="I365" s="145"/>
      <c r="J365" s="145"/>
      <c r="K365" s="145"/>
      <c r="L365" s="145"/>
      <c r="M365" s="145"/>
      <c r="N365" s="145"/>
      <c r="O365" s="145"/>
    </row>
    <row r="366" spans="1:15" x14ac:dyDescent="0.35">
      <c r="A366" s="145"/>
      <c r="B366" s="145"/>
      <c r="C366" s="145"/>
      <c r="D366" s="145"/>
      <c r="E366" s="145"/>
      <c r="F366" s="145"/>
      <c r="G366" s="102"/>
      <c r="H366" s="145"/>
      <c r="I366" s="145"/>
      <c r="J366" s="145"/>
      <c r="K366" s="145"/>
      <c r="L366" s="145"/>
      <c r="M366" s="145"/>
      <c r="N366" s="145"/>
      <c r="O366" s="145"/>
    </row>
    <row r="367" spans="1:15" x14ac:dyDescent="0.35">
      <c r="A367" s="145"/>
      <c r="B367" s="145"/>
      <c r="C367" s="145"/>
      <c r="D367" s="145"/>
      <c r="E367" s="145"/>
      <c r="F367" s="145"/>
      <c r="G367" s="102"/>
      <c r="H367" s="145"/>
      <c r="I367" s="145"/>
      <c r="J367" s="145"/>
      <c r="K367" s="145"/>
      <c r="L367" s="145"/>
      <c r="M367" s="145"/>
      <c r="N367" s="145"/>
      <c r="O367" s="145"/>
    </row>
    <row r="368" spans="1:15" x14ac:dyDescent="0.35">
      <c r="A368" s="145"/>
      <c r="B368" s="145"/>
      <c r="C368" s="145"/>
      <c r="D368" s="145"/>
      <c r="E368" s="145"/>
      <c r="F368" s="145"/>
      <c r="G368" s="102"/>
      <c r="H368" s="145"/>
      <c r="I368" s="145"/>
      <c r="J368" s="145"/>
      <c r="K368" s="145"/>
      <c r="L368" s="145"/>
      <c r="M368" s="145"/>
      <c r="N368" s="145"/>
      <c r="O368" s="145"/>
    </row>
    <row r="369" spans="1:15" x14ac:dyDescent="0.35">
      <c r="A369" s="145"/>
      <c r="B369" s="145"/>
      <c r="C369" s="145"/>
      <c r="D369" s="145"/>
      <c r="E369" s="145"/>
      <c r="F369" s="145"/>
      <c r="G369" s="102"/>
      <c r="H369" s="145"/>
      <c r="I369" s="145"/>
      <c r="J369" s="145"/>
      <c r="K369" s="145"/>
      <c r="L369" s="145"/>
      <c r="M369" s="145"/>
      <c r="N369" s="145"/>
      <c r="O369" s="145"/>
    </row>
    <row r="370" spans="1:15" x14ac:dyDescent="0.35">
      <c r="A370" s="145"/>
      <c r="B370" s="145"/>
      <c r="C370" s="145"/>
      <c r="D370" s="145"/>
      <c r="E370" s="145"/>
      <c r="F370" s="145"/>
      <c r="G370" s="102"/>
      <c r="H370" s="145"/>
      <c r="I370" s="145"/>
      <c r="J370" s="145"/>
      <c r="K370" s="145"/>
      <c r="L370" s="145"/>
      <c r="M370" s="145"/>
      <c r="N370" s="145"/>
      <c r="O370" s="145"/>
    </row>
    <row r="371" spans="1:15" x14ac:dyDescent="0.35">
      <c r="A371" s="145"/>
      <c r="B371" s="145"/>
      <c r="C371" s="145"/>
      <c r="D371" s="145"/>
      <c r="E371" s="145"/>
      <c r="F371" s="145"/>
      <c r="G371" s="102"/>
      <c r="H371" s="145"/>
      <c r="I371" s="145"/>
      <c r="J371" s="145"/>
      <c r="K371" s="145"/>
      <c r="L371" s="145"/>
      <c r="M371" s="145"/>
      <c r="N371" s="145"/>
      <c r="O371" s="145"/>
    </row>
    <row r="372" spans="1:15" x14ac:dyDescent="0.35">
      <c r="A372" s="145"/>
      <c r="B372" s="145"/>
      <c r="C372" s="145"/>
      <c r="D372" s="145"/>
      <c r="E372" s="145"/>
      <c r="F372" s="145"/>
      <c r="G372" s="102"/>
      <c r="H372" s="145"/>
      <c r="I372" s="145"/>
      <c r="J372" s="145"/>
      <c r="K372" s="145"/>
      <c r="L372" s="145"/>
      <c r="M372" s="145"/>
      <c r="N372" s="145"/>
      <c r="O372" s="145"/>
    </row>
    <row r="373" spans="1:15" x14ac:dyDescent="0.35">
      <c r="A373" s="145"/>
      <c r="B373" s="145"/>
      <c r="C373" s="145"/>
      <c r="D373" s="145"/>
      <c r="E373" s="145"/>
      <c r="F373" s="145"/>
      <c r="G373" s="102"/>
      <c r="H373" s="145"/>
      <c r="I373" s="145"/>
      <c r="J373" s="145"/>
      <c r="K373" s="145"/>
      <c r="L373" s="145"/>
      <c r="M373" s="145"/>
      <c r="N373" s="145"/>
      <c r="O373" s="145"/>
    </row>
    <row r="374" spans="1:15" x14ac:dyDescent="0.35">
      <c r="A374" s="145"/>
      <c r="B374" s="145"/>
      <c r="C374" s="145"/>
      <c r="D374" s="145"/>
      <c r="E374" s="145"/>
      <c r="F374" s="145"/>
      <c r="G374" s="102"/>
      <c r="H374" s="145"/>
      <c r="I374" s="145"/>
      <c r="J374" s="145"/>
      <c r="K374" s="145"/>
      <c r="L374" s="145"/>
      <c r="M374" s="145"/>
      <c r="N374" s="145"/>
      <c r="O374" s="145"/>
    </row>
    <row r="375" spans="1:15" x14ac:dyDescent="0.35">
      <c r="A375" s="145"/>
      <c r="B375" s="145"/>
      <c r="C375" s="145"/>
      <c r="D375" s="145"/>
      <c r="E375" s="145"/>
      <c r="F375" s="145"/>
      <c r="G375" s="102"/>
      <c r="H375" s="145"/>
      <c r="I375" s="145"/>
      <c r="J375" s="145"/>
      <c r="K375" s="145"/>
      <c r="L375" s="145"/>
      <c r="M375" s="145"/>
      <c r="N375" s="145"/>
      <c r="O375" s="145"/>
    </row>
    <row r="376" spans="1:15" x14ac:dyDescent="0.35">
      <c r="A376" s="145"/>
      <c r="B376" s="145"/>
      <c r="C376" s="145"/>
      <c r="D376" s="145"/>
      <c r="E376" s="145"/>
      <c r="F376" s="145"/>
      <c r="G376" s="102"/>
      <c r="H376" s="145"/>
      <c r="I376" s="145"/>
      <c r="J376" s="145"/>
      <c r="K376" s="145"/>
      <c r="L376" s="145"/>
      <c r="M376" s="145"/>
      <c r="N376" s="145"/>
      <c r="O376" s="145"/>
    </row>
    <row r="377" spans="1:15" x14ac:dyDescent="0.35">
      <c r="A377" s="145"/>
      <c r="B377" s="145"/>
      <c r="C377" s="145"/>
      <c r="D377" s="145"/>
      <c r="E377" s="145"/>
      <c r="F377" s="145"/>
      <c r="G377" s="102"/>
      <c r="H377" s="145"/>
      <c r="I377" s="145"/>
      <c r="J377" s="145"/>
      <c r="K377" s="145"/>
      <c r="L377" s="145"/>
      <c r="M377" s="145"/>
      <c r="N377" s="145"/>
      <c r="O377" s="145"/>
    </row>
    <row r="378" spans="1:15" x14ac:dyDescent="0.35">
      <c r="A378" s="145"/>
      <c r="B378" s="145"/>
      <c r="C378" s="145"/>
      <c r="D378" s="145"/>
      <c r="E378" s="145"/>
      <c r="F378" s="145"/>
      <c r="G378" s="102"/>
      <c r="H378" s="145"/>
      <c r="I378" s="145"/>
      <c r="J378" s="145"/>
      <c r="K378" s="145"/>
      <c r="L378" s="145"/>
      <c r="M378" s="145"/>
      <c r="N378" s="145"/>
      <c r="O378" s="145"/>
    </row>
    <row r="379" spans="1:15" x14ac:dyDescent="0.35">
      <c r="A379" s="145"/>
      <c r="B379" s="145"/>
      <c r="C379" s="145"/>
      <c r="D379" s="145"/>
      <c r="E379" s="145"/>
      <c r="F379" s="145"/>
      <c r="G379" s="102"/>
      <c r="H379" s="145"/>
      <c r="I379" s="145"/>
      <c r="J379" s="145"/>
      <c r="K379" s="145"/>
      <c r="L379" s="145"/>
      <c r="M379" s="145"/>
      <c r="N379" s="145"/>
      <c r="O379" s="145"/>
    </row>
    <row r="380" spans="1:15" x14ac:dyDescent="0.35">
      <c r="A380" s="145"/>
      <c r="B380" s="145"/>
      <c r="C380" s="145"/>
      <c r="D380" s="145"/>
      <c r="E380" s="145"/>
      <c r="F380" s="145"/>
      <c r="G380" s="102"/>
      <c r="H380" s="145"/>
      <c r="I380" s="145"/>
      <c r="J380" s="145"/>
      <c r="K380" s="145"/>
      <c r="L380" s="145"/>
      <c r="M380" s="145"/>
      <c r="N380" s="145"/>
      <c r="O380" s="145"/>
    </row>
    <row r="381" spans="1:15" x14ac:dyDescent="0.35">
      <c r="A381" s="145"/>
      <c r="B381" s="145"/>
      <c r="C381" s="145"/>
      <c r="D381" s="145"/>
      <c r="E381" s="145"/>
      <c r="F381" s="145"/>
      <c r="G381" s="102"/>
      <c r="H381" s="145"/>
      <c r="I381" s="145"/>
      <c r="J381" s="145"/>
      <c r="K381" s="145"/>
      <c r="L381" s="145"/>
      <c r="M381" s="145"/>
      <c r="N381" s="145"/>
      <c r="O381" s="145"/>
    </row>
    <row r="382" spans="1:15" x14ac:dyDescent="0.35">
      <c r="A382" s="145"/>
      <c r="B382" s="145"/>
      <c r="C382" s="145"/>
      <c r="D382" s="145"/>
      <c r="E382" s="145"/>
      <c r="F382" s="145"/>
      <c r="G382" s="102"/>
      <c r="H382" s="145"/>
      <c r="I382" s="145"/>
      <c r="J382" s="145"/>
      <c r="K382" s="145"/>
      <c r="L382" s="145"/>
      <c r="M382" s="145"/>
      <c r="N382" s="145"/>
      <c r="O382" s="145"/>
    </row>
    <row r="383" spans="1:15" x14ac:dyDescent="0.35">
      <c r="A383" s="145"/>
      <c r="B383" s="145"/>
      <c r="C383" s="145"/>
      <c r="D383" s="145"/>
      <c r="E383" s="145"/>
      <c r="F383" s="145"/>
      <c r="G383" s="102"/>
      <c r="H383" s="145"/>
      <c r="I383" s="145"/>
      <c r="J383" s="145"/>
      <c r="K383" s="145"/>
      <c r="L383" s="145"/>
      <c r="M383" s="145"/>
      <c r="N383" s="145"/>
      <c r="O383" s="145"/>
    </row>
    <row r="384" spans="1:15" x14ac:dyDescent="0.35">
      <c r="A384" s="145"/>
      <c r="B384" s="145"/>
      <c r="C384" s="145"/>
      <c r="D384" s="145"/>
      <c r="E384" s="145"/>
      <c r="F384" s="145"/>
      <c r="G384" s="102"/>
      <c r="H384" s="145"/>
      <c r="I384" s="145"/>
      <c r="J384" s="145"/>
      <c r="K384" s="145"/>
      <c r="L384" s="145"/>
      <c r="M384" s="145"/>
      <c r="N384" s="145"/>
      <c r="O384" s="145"/>
    </row>
    <row r="385" spans="1:15" x14ac:dyDescent="0.35">
      <c r="A385" s="145"/>
      <c r="B385" s="145"/>
      <c r="C385" s="145"/>
      <c r="D385" s="145"/>
      <c r="E385" s="145"/>
      <c r="F385" s="145"/>
      <c r="G385" s="102"/>
      <c r="H385" s="145"/>
      <c r="I385" s="145"/>
      <c r="J385" s="145"/>
      <c r="K385" s="145"/>
      <c r="L385" s="145"/>
      <c r="M385" s="145"/>
      <c r="N385" s="145"/>
      <c r="O385" s="145"/>
    </row>
    <row r="386" spans="1:15" x14ac:dyDescent="0.35">
      <c r="A386" s="145"/>
      <c r="B386" s="145"/>
      <c r="C386" s="145"/>
      <c r="D386" s="145"/>
      <c r="E386" s="145"/>
      <c r="F386" s="145"/>
      <c r="G386" s="102"/>
      <c r="H386" s="145"/>
      <c r="I386" s="145"/>
      <c r="J386" s="145"/>
      <c r="K386" s="145"/>
      <c r="L386" s="145"/>
      <c r="M386" s="145"/>
      <c r="N386" s="145"/>
      <c r="O386" s="145"/>
    </row>
    <row r="387" spans="1:15" x14ac:dyDescent="0.35">
      <c r="A387" s="145"/>
      <c r="B387" s="145"/>
      <c r="C387" s="145"/>
      <c r="D387" s="145"/>
      <c r="E387" s="145"/>
      <c r="F387" s="145"/>
      <c r="G387" s="102"/>
      <c r="H387" s="145"/>
      <c r="I387" s="145"/>
      <c r="J387" s="145"/>
      <c r="K387" s="145"/>
      <c r="L387" s="145"/>
      <c r="M387" s="145"/>
      <c r="N387" s="145"/>
      <c r="O387" s="145"/>
    </row>
    <row r="388" spans="1:15" x14ac:dyDescent="0.35">
      <c r="A388" s="145"/>
      <c r="B388" s="145"/>
      <c r="C388" s="145"/>
      <c r="D388" s="145"/>
      <c r="E388" s="145"/>
      <c r="F388" s="145"/>
      <c r="G388" s="102"/>
      <c r="H388" s="145"/>
      <c r="I388" s="145"/>
      <c r="J388" s="145"/>
      <c r="K388" s="145"/>
      <c r="L388" s="145"/>
      <c r="M388" s="145"/>
      <c r="N388" s="145"/>
      <c r="O388" s="145"/>
    </row>
    <row r="389" spans="1:15" x14ac:dyDescent="0.35">
      <c r="A389" s="145"/>
      <c r="B389" s="145"/>
      <c r="C389" s="145"/>
      <c r="D389" s="145"/>
      <c r="E389" s="145"/>
      <c r="F389" s="145"/>
      <c r="G389" s="102"/>
      <c r="H389" s="145"/>
      <c r="I389" s="145"/>
      <c r="J389" s="145"/>
      <c r="K389" s="145"/>
      <c r="L389" s="145"/>
      <c r="M389" s="145"/>
    </row>
    <row r="390" spans="1:15" x14ac:dyDescent="0.35">
      <c r="A390" s="145"/>
      <c r="B390" s="145"/>
      <c r="C390" s="145"/>
      <c r="D390" s="145"/>
      <c r="E390" s="145"/>
      <c r="F390" s="145"/>
      <c r="G390" s="102"/>
      <c r="H390" s="145"/>
      <c r="I390" s="145"/>
      <c r="J390" s="145"/>
      <c r="K390" s="145"/>
      <c r="L390" s="145"/>
      <c r="M390" s="145"/>
    </row>
    <row r="391" spans="1:15" x14ac:dyDescent="0.35">
      <c r="A391" s="145"/>
      <c r="B391" s="145"/>
      <c r="C391" s="145"/>
      <c r="D391" s="145"/>
      <c r="E391" s="145"/>
      <c r="F391" s="145"/>
      <c r="G391" s="102"/>
      <c r="H391" s="145"/>
      <c r="I391" s="145"/>
      <c r="J391" s="145"/>
      <c r="K391" s="145"/>
      <c r="L391" s="145"/>
      <c r="M391" s="145"/>
      <c r="N391" s="145"/>
      <c r="O391" s="145"/>
    </row>
    <row r="392" spans="1:15" x14ac:dyDescent="0.35">
      <c r="A392" s="145"/>
      <c r="B392" s="145"/>
      <c r="C392" s="145"/>
      <c r="D392" s="145"/>
      <c r="E392" s="145"/>
      <c r="F392" s="145"/>
      <c r="G392" s="102"/>
      <c r="H392" s="145"/>
      <c r="I392" s="145"/>
      <c r="J392" s="145"/>
      <c r="K392" s="145"/>
      <c r="L392" s="145"/>
      <c r="M392" s="145"/>
      <c r="N392" s="145"/>
      <c r="O392" s="145"/>
    </row>
    <row r="393" spans="1:15" x14ac:dyDescent="0.35">
      <c r="A393" s="145"/>
      <c r="B393" s="145"/>
      <c r="C393" s="145"/>
      <c r="D393" s="145"/>
      <c r="E393" s="145"/>
      <c r="F393" s="145"/>
      <c r="G393" s="102"/>
      <c r="H393" s="145"/>
      <c r="I393" s="145"/>
      <c r="J393" s="145"/>
      <c r="K393" s="145"/>
      <c r="L393" s="145"/>
      <c r="M393" s="145"/>
      <c r="N393" s="145"/>
      <c r="O393" s="145"/>
    </row>
    <row r="394" spans="1:15" x14ac:dyDescent="0.35">
      <c r="A394" s="145"/>
      <c r="B394" s="145"/>
      <c r="C394" s="145"/>
      <c r="D394" s="145"/>
      <c r="E394" s="145"/>
      <c r="F394" s="145"/>
      <c r="G394" s="102"/>
      <c r="H394" s="145"/>
      <c r="I394" s="145"/>
      <c r="J394" s="145"/>
      <c r="K394" s="145"/>
      <c r="L394" s="145"/>
      <c r="M394" s="145"/>
      <c r="N394" s="145"/>
      <c r="O394" s="145"/>
    </row>
    <row r="395" spans="1:15" x14ac:dyDescent="0.35">
      <c r="A395" s="145"/>
      <c r="B395" s="145"/>
      <c r="C395" s="145"/>
      <c r="D395" s="145"/>
      <c r="E395" s="145"/>
      <c r="F395" s="145"/>
      <c r="G395" s="102"/>
      <c r="H395" s="145"/>
      <c r="I395" s="145"/>
      <c r="J395" s="145"/>
      <c r="K395" s="145"/>
      <c r="L395" s="145"/>
      <c r="M395" s="145"/>
      <c r="N395" s="145"/>
      <c r="O395" s="145"/>
    </row>
    <row r="396" spans="1:15" x14ac:dyDescent="0.35">
      <c r="A396" s="145"/>
      <c r="B396" s="145"/>
      <c r="C396" s="145"/>
      <c r="D396" s="145"/>
      <c r="E396" s="145"/>
      <c r="F396" s="145"/>
      <c r="G396" s="102"/>
      <c r="H396" s="145"/>
      <c r="I396" s="145"/>
      <c r="J396" s="145"/>
      <c r="K396" s="145"/>
      <c r="L396" s="145"/>
      <c r="M396" s="145"/>
      <c r="N396" s="145"/>
      <c r="O396" s="145"/>
    </row>
    <row r="397" spans="1:15" x14ac:dyDescent="0.35">
      <c r="A397" s="145"/>
      <c r="B397" s="145"/>
      <c r="C397" s="145"/>
      <c r="D397" s="145"/>
      <c r="E397" s="145"/>
      <c r="F397" s="145"/>
      <c r="G397" s="102"/>
      <c r="H397" s="145"/>
      <c r="I397" s="145"/>
      <c r="J397" s="145"/>
      <c r="K397" s="145"/>
      <c r="L397" s="145"/>
      <c r="M397" s="145"/>
      <c r="N397" s="145"/>
      <c r="O397" s="145"/>
    </row>
    <row r="398" spans="1:15" x14ac:dyDescent="0.35">
      <c r="A398" s="145"/>
      <c r="B398" s="145"/>
      <c r="C398" s="145"/>
      <c r="D398" s="145"/>
      <c r="E398" s="145"/>
      <c r="F398" s="145"/>
      <c r="G398" s="102"/>
      <c r="H398" s="145"/>
      <c r="I398" s="145"/>
      <c r="J398" s="145"/>
      <c r="K398" s="145"/>
      <c r="L398" s="145"/>
      <c r="M398" s="145"/>
      <c r="N398" s="145"/>
      <c r="O398" s="145"/>
    </row>
    <row r="399" spans="1:15" x14ac:dyDescent="0.35">
      <c r="A399" s="145"/>
      <c r="B399" s="145"/>
      <c r="C399" s="145"/>
      <c r="D399" s="145"/>
      <c r="E399" s="145"/>
      <c r="F399" s="145"/>
      <c r="G399" s="102"/>
      <c r="H399" s="145"/>
      <c r="I399" s="145"/>
      <c r="J399" s="145"/>
      <c r="K399" s="145"/>
      <c r="L399" s="145"/>
      <c r="M399" s="145"/>
      <c r="N399" s="145"/>
      <c r="O399" s="145"/>
    </row>
    <row r="400" spans="1:15" x14ac:dyDescent="0.35">
      <c r="A400" s="145"/>
      <c r="B400" s="145"/>
      <c r="C400" s="145"/>
      <c r="D400" s="145"/>
      <c r="E400" s="145"/>
      <c r="F400" s="145"/>
      <c r="G400" s="102"/>
      <c r="H400" s="145"/>
      <c r="I400" s="145"/>
      <c r="J400" s="145"/>
      <c r="K400" s="145"/>
      <c r="L400" s="145"/>
      <c r="M400" s="145"/>
      <c r="N400" s="145"/>
      <c r="O400" s="145"/>
    </row>
    <row r="401" spans="1:15" x14ac:dyDescent="0.35">
      <c r="A401" s="145"/>
      <c r="B401" s="145"/>
      <c r="C401" s="145"/>
      <c r="D401" s="145"/>
      <c r="E401" s="145"/>
      <c r="F401" s="145"/>
      <c r="G401" s="102"/>
      <c r="H401" s="145"/>
      <c r="I401" s="145"/>
      <c r="J401" s="145"/>
      <c r="K401" s="145"/>
      <c r="L401" s="145"/>
      <c r="M401" s="145"/>
      <c r="N401" s="145"/>
      <c r="O401" s="145"/>
    </row>
    <row r="402" spans="1:15" x14ac:dyDescent="0.35">
      <c r="A402" s="145"/>
      <c r="B402" s="145"/>
      <c r="C402" s="145"/>
      <c r="D402" s="145"/>
      <c r="E402" s="145"/>
      <c r="F402" s="145"/>
      <c r="G402" s="102"/>
      <c r="H402" s="145"/>
      <c r="I402" s="145"/>
      <c r="J402" s="145"/>
      <c r="K402" s="145"/>
      <c r="L402" s="145"/>
      <c r="M402" s="145"/>
      <c r="N402" s="145"/>
      <c r="O402" s="145"/>
    </row>
    <row r="403" spans="1:15" x14ac:dyDescent="0.35">
      <c r="A403" s="145"/>
      <c r="B403" s="145"/>
      <c r="C403" s="145"/>
      <c r="D403" s="145"/>
      <c r="E403" s="145"/>
      <c r="F403" s="145"/>
      <c r="G403" s="102"/>
      <c r="H403" s="145"/>
      <c r="I403" s="145"/>
      <c r="J403" s="145"/>
      <c r="K403" s="145"/>
      <c r="L403" s="145"/>
      <c r="M403" s="145"/>
      <c r="N403" s="145"/>
      <c r="O403" s="145"/>
    </row>
    <row r="404" spans="1:15" x14ac:dyDescent="0.35">
      <c r="A404" s="145"/>
      <c r="B404" s="145"/>
      <c r="C404" s="145"/>
      <c r="D404" s="145"/>
      <c r="E404" s="145"/>
      <c r="F404" s="145"/>
      <c r="G404" s="102"/>
      <c r="H404" s="145"/>
      <c r="I404" s="145"/>
      <c r="J404" s="145"/>
      <c r="K404" s="145"/>
      <c r="L404" s="145"/>
      <c r="M404" s="145"/>
      <c r="N404" s="145"/>
      <c r="O404" s="145"/>
    </row>
    <row r="405" spans="1:15" x14ac:dyDescent="0.35">
      <c r="A405" s="145"/>
      <c r="B405" s="145"/>
      <c r="C405" s="145"/>
      <c r="D405" s="145"/>
      <c r="E405" s="145"/>
      <c r="F405" s="145"/>
      <c r="G405" s="102"/>
      <c r="H405" s="145"/>
      <c r="I405" s="145"/>
      <c r="J405" s="145"/>
      <c r="K405" s="145"/>
      <c r="L405" s="145"/>
      <c r="M405" s="145"/>
      <c r="N405" s="145"/>
      <c r="O405" s="145"/>
    </row>
    <row r="406" spans="1:15" x14ac:dyDescent="0.35">
      <c r="A406" s="145"/>
      <c r="B406" s="145"/>
      <c r="C406" s="145"/>
      <c r="D406" s="145"/>
      <c r="E406" s="145"/>
      <c r="F406" s="145"/>
      <c r="G406" s="102"/>
      <c r="H406" s="145"/>
      <c r="I406" s="145"/>
      <c r="J406" s="145"/>
      <c r="K406" s="145"/>
      <c r="L406" s="145"/>
      <c r="M406" s="145"/>
      <c r="N406" s="145"/>
      <c r="O406" s="145"/>
    </row>
    <row r="407" spans="1:15" x14ac:dyDescent="0.35">
      <c r="A407" s="145"/>
      <c r="B407" s="145"/>
      <c r="C407" s="145"/>
      <c r="D407" s="145"/>
      <c r="E407" s="145"/>
      <c r="F407" s="145"/>
      <c r="G407" s="102"/>
      <c r="H407" s="145"/>
      <c r="I407" s="145"/>
      <c r="J407" s="145"/>
      <c r="K407" s="145"/>
      <c r="L407" s="145"/>
      <c r="M407" s="145"/>
      <c r="N407" s="145"/>
      <c r="O407" s="145"/>
    </row>
    <row r="408" spans="1:15" x14ac:dyDescent="0.35">
      <c r="A408" s="145"/>
      <c r="B408" s="145"/>
      <c r="C408" s="145"/>
      <c r="D408" s="145"/>
      <c r="E408" s="145"/>
      <c r="F408" s="145"/>
      <c r="G408" s="102"/>
      <c r="H408" s="145"/>
      <c r="I408" s="145"/>
      <c r="J408" s="145"/>
      <c r="K408" s="145"/>
      <c r="L408" s="145"/>
      <c r="M408" s="145"/>
      <c r="N408" s="145"/>
      <c r="O408" s="145"/>
    </row>
    <row r="409" spans="1:15" x14ac:dyDescent="0.35">
      <c r="A409" s="145"/>
      <c r="B409" s="145"/>
      <c r="C409" s="145"/>
      <c r="D409" s="145"/>
      <c r="E409" s="145"/>
      <c r="F409" s="145"/>
      <c r="G409" s="102"/>
      <c r="H409" s="145"/>
      <c r="I409" s="145"/>
      <c r="J409" s="145"/>
      <c r="K409" s="145"/>
      <c r="L409" s="145"/>
      <c r="M409" s="145"/>
      <c r="N409" s="145"/>
      <c r="O409" s="145"/>
    </row>
    <row r="410" spans="1:15" x14ac:dyDescent="0.35">
      <c r="A410" s="145"/>
      <c r="B410" s="145"/>
      <c r="C410" s="145"/>
      <c r="D410" s="145"/>
      <c r="E410" s="145"/>
      <c r="F410" s="145"/>
      <c r="G410" s="102"/>
      <c r="H410" s="145"/>
      <c r="I410" s="145"/>
      <c r="J410" s="145"/>
      <c r="K410" s="145"/>
      <c r="L410" s="145"/>
      <c r="M410" s="145"/>
      <c r="N410" s="145"/>
      <c r="O410" s="145"/>
    </row>
    <row r="411" spans="1:15" x14ac:dyDescent="0.35">
      <c r="A411" s="145"/>
      <c r="B411" s="145"/>
      <c r="C411" s="145"/>
      <c r="D411" s="145"/>
      <c r="E411" s="145"/>
      <c r="F411" s="145"/>
      <c r="G411" s="102"/>
      <c r="H411" s="145"/>
      <c r="I411" s="145"/>
      <c r="J411" s="145"/>
      <c r="K411" s="145"/>
      <c r="L411" s="145"/>
      <c r="M411" s="145"/>
      <c r="N411" s="145"/>
      <c r="O411" s="145"/>
    </row>
    <row r="412" spans="1:15" x14ac:dyDescent="0.35">
      <c r="A412" s="145"/>
      <c r="B412" s="145"/>
      <c r="C412" s="145"/>
      <c r="D412" s="145"/>
      <c r="E412" s="145"/>
      <c r="F412" s="145"/>
      <c r="G412" s="102"/>
      <c r="H412" s="145"/>
      <c r="I412" s="145"/>
      <c r="J412" s="145"/>
      <c r="K412" s="145"/>
      <c r="L412" s="145"/>
      <c r="M412" s="145"/>
      <c r="N412" s="145"/>
      <c r="O412" s="145"/>
    </row>
    <row r="413" spans="1:15" x14ac:dyDescent="0.35">
      <c r="A413" s="145"/>
      <c r="B413" s="145"/>
      <c r="C413" s="145"/>
      <c r="D413" s="145"/>
      <c r="E413" s="145"/>
      <c r="F413" s="145"/>
      <c r="G413" s="102"/>
      <c r="H413" s="145"/>
      <c r="I413" s="145"/>
      <c r="J413" s="145"/>
      <c r="K413" s="145"/>
      <c r="L413" s="145"/>
      <c r="M413" s="145"/>
    </row>
    <row r="414" spans="1:15" x14ac:dyDescent="0.35">
      <c r="A414" s="145"/>
      <c r="B414" s="145"/>
      <c r="C414" s="145"/>
      <c r="D414" s="145"/>
      <c r="E414" s="145"/>
      <c r="F414" s="145"/>
      <c r="G414" s="102"/>
      <c r="H414" s="145"/>
      <c r="I414" s="145"/>
      <c r="J414" s="145"/>
      <c r="K414" s="145"/>
      <c r="L414" s="145"/>
      <c r="M414" s="145"/>
      <c r="N414" s="31"/>
      <c r="O414" s="31"/>
    </row>
    <row r="415" spans="1:15" x14ac:dyDescent="0.35">
      <c r="A415" s="145"/>
      <c r="B415" s="145"/>
      <c r="C415" s="145"/>
      <c r="D415" s="145"/>
      <c r="E415" s="145"/>
      <c r="F415" s="145"/>
      <c r="G415" s="102"/>
      <c r="H415" s="145"/>
      <c r="I415" s="145"/>
      <c r="J415" s="145"/>
      <c r="K415" s="145"/>
      <c r="L415" s="145"/>
      <c r="M415" s="145"/>
      <c r="N415" s="145"/>
      <c r="O415" s="145"/>
    </row>
    <row r="416" spans="1:15" x14ac:dyDescent="0.35">
      <c r="A416" s="145"/>
      <c r="B416" s="145"/>
      <c r="C416" s="145"/>
      <c r="D416" s="145"/>
      <c r="E416" s="145"/>
      <c r="F416" s="145"/>
      <c r="G416" s="102"/>
      <c r="H416" s="145"/>
      <c r="I416" s="145"/>
      <c r="J416" s="145"/>
      <c r="K416" s="145"/>
      <c r="L416" s="145"/>
      <c r="M416" s="145"/>
      <c r="N416" s="145"/>
      <c r="O416" s="145"/>
    </row>
    <row r="417" spans="1:15" x14ac:dyDescent="0.35">
      <c r="A417" s="145"/>
      <c r="B417" s="145"/>
      <c r="C417" s="145"/>
      <c r="D417" s="145"/>
      <c r="E417" s="145"/>
      <c r="F417" s="145"/>
      <c r="G417" s="102"/>
      <c r="H417" s="145"/>
      <c r="I417" s="145"/>
      <c r="J417" s="145"/>
      <c r="K417" s="145"/>
      <c r="L417" s="145"/>
      <c r="M417" s="145"/>
      <c r="N417" s="145"/>
      <c r="O417" s="145"/>
    </row>
    <row r="418" spans="1:15" x14ac:dyDescent="0.35">
      <c r="A418" s="145"/>
      <c r="B418" s="145"/>
      <c r="C418" s="145"/>
      <c r="D418" s="145"/>
      <c r="E418" s="145"/>
      <c r="F418" s="145"/>
      <c r="G418" s="102"/>
      <c r="H418" s="145"/>
      <c r="I418" s="145"/>
      <c r="J418" s="145"/>
      <c r="K418" s="145"/>
      <c r="L418" s="145"/>
      <c r="M418" s="145"/>
      <c r="N418" s="145"/>
      <c r="O418" s="145"/>
    </row>
    <row r="419" spans="1:15" x14ac:dyDescent="0.35">
      <c r="A419" s="145"/>
      <c r="B419" s="145"/>
      <c r="C419" s="145"/>
      <c r="D419" s="145"/>
      <c r="E419" s="145"/>
      <c r="F419" s="145"/>
      <c r="G419" s="102"/>
      <c r="H419" s="145"/>
      <c r="I419" s="145"/>
      <c r="J419" s="145"/>
      <c r="K419" s="145"/>
      <c r="L419" s="145"/>
      <c r="M419" s="145"/>
      <c r="N419" s="145"/>
      <c r="O419" s="145"/>
    </row>
    <row r="420" spans="1:15" x14ac:dyDescent="0.35">
      <c r="A420" s="145"/>
      <c r="B420" s="145"/>
      <c r="C420" s="145"/>
      <c r="D420" s="145"/>
      <c r="E420" s="145"/>
      <c r="F420" s="145"/>
      <c r="G420" s="102"/>
      <c r="H420" s="145"/>
      <c r="I420" s="145"/>
      <c r="J420" s="145"/>
      <c r="K420" s="145"/>
      <c r="L420" s="145"/>
      <c r="M420" s="145"/>
      <c r="N420" s="145"/>
      <c r="O420" s="145"/>
    </row>
    <row r="421" spans="1:15" x14ac:dyDescent="0.35">
      <c r="A421" s="145"/>
      <c r="B421" s="145"/>
      <c r="C421" s="145"/>
      <c r="D421" s="145"/>
      <c r="E421" s="145"/>
      <c r="F421" s="145"/>
      <c r="G421" s="102"/>
      <c r="H421" s="145"/>
      <c r="I421" s="145"/>
      <c r="J421" s="145"/>
      <c r="K421" s="145"/>
      <c r="L421" s="145"/>
      <c r="M421" s="145"/>
      <c r="N421" s="145"/>
      <c r="O421" s="145"/>
    </row>
    <row r="422" spans="1:15" x14ac:dyDescent="0.35">
      <c r="A422" s="145"/>
      <c r="B422" s="145"/>
      <c r="C422" s="145"/>
      <c r="D422" s="145"/>
      <c r="E422" s="145"/>
      <c r="F422" s="145"/>
      <c r="G422" s="102"/>
      <c r="H422" s="145"/>
      <c r="I422" s="145"/>
      <c r="J422" s="145"/>
      <c r="K422" s="145"/>
      <c r="L422" s="145"/>
      <c r="M422" s="145"/>
      <c r="N422" s="145"/>
      <c r="O422" s="145"/>
    </row>
    <row r="423" spans="1:15" x14ac:dyDescent="0.35">
      <c r="A423" s="145"/>
      <c r="B423" s="145"/>
      <c r="C423" s="145"/>
      <c r="D423" s="145"/>
      <c r="E423" s="145"/>
      <c r="F423" s="145"/>
      <c r="G423" s="102"/>
      <c r="H423" s="145"/>
      <c r="I423" s="145"/>
      <c r="J423" s="145"/>
      <c r="K423" s="145"/>
      <c r="L423" s="145"/>
      <c r="M423" s="145"/>
    </row>
    <row r="424" spans="1:15" x14ac:dyDescent="0.35">
      <c r="A424" s="145"/>
      <c r="B424" s="145"/>
      <c r="C424" s="145"/>
      <c r="D424" s="145"/>
      <c r="E424" s="145"/>
      <c r="F424" s="145"/>
      <c r="G424" s="102"/>
      <c r="H424" s="145"/>
      <c r="I424" s="145"/>
      <c r="J424" s="145"/>
      <c r="K424" s="145"/>
      <c r="L424" s="145"/>
      <c r="M424" s="145"/>
      <c r="N424" s="145"/>
      <c r="O424" s="145"/>
    </row>
    <row r="425" spans="1:15" x14ac:dyDescent="0.35">
      <c r="A425" s="145"/>
      <c r="B425" s="145"/>
      <c r="C425" s="145"/>
      <c r="D425" s="145"/>
      <c r="E425" s="145"/>
      <c r="F425" s="145"/>
      <c r="G425" s="102"/>
      <c r="H425" s="145"/>
      <c r="I425" s="145"/>
      <c r="J425" s="145"/>
      <c r="K425" s="145"/>
      <c r="L425" s="145"/>
      <c r="M425" s="145"/>
    </row>
    <row r="426" spans="1:15" x14ac:dyDescent="0.35">
      <c r="A426" s="145"/>
      <c r="B426" s="145"/>
      <c r="C426" s="145"/>
      <c r="D426" s="145"/>
      <c r="E426" s="145"/>
      <c r="F426" s="145"/>
      <c r="G426" s="102"/>
      <c r="H426" s="145"/>
      <c r="I426" s="145"/>
      <c r="J426" s="145"/>
      <c r="K426" s="145"/>
      <c r="L426" s="145"/>
      <c r="M426" s="145"/>
      <c r="N426" s="145"/>
      <c r="O426" s="145"/>
    </row>
    <row r="427" spans="1:15" x14ac:dyDescent="0.35">
      <c r="A427" s="145"/>
      <c r="B427" s="145"/>
      <c r="C427" s="145"/>
      <c r="D427" s="145"/>
      <c r="E427" s="145"/>
      <c r="F427" s="145"/>
      <c r="G427" s="102"/>
      <c r="H427" s="145"/>
      <c r="I427" s="145"/>
      <c r="J427" s="145"/>
      <c r="K427" s="145"/>
      <c r="L427" s="145"/>
      <c r="M427" s="145"/>
    </row>
    <row r="428" spans="1:15" x14ac:dyDescent="0.35">
      <c r="A428" s="145"/>
      <c r="B428" s="145"/>
      <c r="C428" s="145"/>
      <c r="D428" s="145"/>
      <c r="E428" s="145"/>
      <c r="F428" s="145"/>
      <c r="G428" s="102"/>
      <c r="H428" s="145"/>
      <c r="I428" s="145"/>
      <c r="J428" s="145"/>
      <c r="K428" s="145"/>
      <c r="L428" s="145"/>
      <c r="M428" s="145"/>
      <c r="N428" s="145"/>
      <c r="O428" s="145"/>
    </row>
    <row r="429" spans="1:15" x14ac:dyDescent="0.35">
      <c r="A429" s="145"/>
      <c r="B429" s="145"/>
      <c r="C429" s="145"/>
      <c r="D429" s="145"/>
      <c r="E429" s="145"/>
      <c r="F429" s="145"/>
      <c r="G429" s="102"/>
      <c r="H429" s="145"/>
      <c r="I429" s="145"/>
      <c r="J429" s="145"/>
      <c r="K429" s="145"/>
      <c r="L429" s="145"/>
      <c r="M429" s="145"/>
      <c r="N429" s="31"/>
      <c r="O429" s="31"/>
    </row>
    <row r="430" spans="1:15" x14ac:dyDescent="0.35">
      <c r="A430" s="145"/>
      <c r="B430" s="145"/>
      <c r="C430" s="145"/>
      <c r="D430" s="145"/>
      <c r="E430" s="145"/>
      <c r="F430" s="145"/>
      <c r="G430" s="102"/>
      <c r="H430" s="145"/>
      <c r="I430" s="145"/>
      <c r="J430" s="145"/>
      <c r="K430" s="145"/>
      <c r="L430" s="145"/>
      <c r="M430" s="145"/>
    </row>
    <row r="431" spans="1:15" x14ac:dyDescent="0.35">
      <c r="A431" s="145"/>
      <c r="B431" s="145"/>
      <c r="C431" s="145"/>
      <c r="D431" s="145"/>
      <c r="E431" s="145"/>
      <c r="F431" s="145"/>
      <c r="G431" s="102"/>
      <c r="H431" s="145"/>
      <c r="I431" s="145"/>
      <c r="J431" s="145"/>
      <c r="K431" s="145"/>
      <c r="L431" s="145"/>
      <c r="M431" s="145"/>
      <c r="N431" s="145"/>
      <c r="O431" s="145"/>
    </row>
    <row r="432" spans="1:15" x14ac:dyDescent="0.35">
      <c r="A432" s="145"/>
      <c r="B432" s="145"/>
      <c r="C432" s="145"/>
      <c r="D432" s="145"/>
      <c r="E432" s="145"/>
      <c r="F432" s="145"/>
      <c r="G432" s="102"/>
      <c r="H432" s="145"/>
      <c r="I432" s="145"/>
      <c r="J432" s="145"/>
      <c r="K432" s="145"/>
      <c r="L432" s="145"/>
      <c r="M432" s="145"/>
      <c r="N432" s="145"/>
      <c r="O432" s="145"/>
    </row>
    <row r="433" spans="1:15" x14ac:dyDescent="0.35">
      <c r="A433" s="145"/>
      <c r="B433" s="145"/>
      <c r="C433" s="145"/>
      <c r="D433" s="145"/>
      <c r="E433" s="145"/>
      <c r="F433" s="145"/>
      <c r="G433" s="102"/>
      <c r="H433" s="145"/>
      <c r="I433" s="145"/>
      <c r="J433" s="145"/>
      <c r="K433" s="145"/>
      <c r="L433" s="145"/>
      <c r="M433" s="145"/>
      <c r="N433" s="145"/>
      <c r="O433" s="145"/>
    </row>
    <row r="434" spans="1:15" x14ac:dyDescent="0.35">
      <c r="A434" s="145"/>
      <c r="B434" s="145"/>
      <c r="C434" s="145"/>
      <c r="D434" s="145"/>
      <c r="E434" s="145"/>
      <c r="F434" s="145"/>
      <c r="G434" s="102"/>
      <c r="H434" s="145"/>
      <c r="I434" s="145"/>
      <c r="J434" s="145"/>
      <c r="K434" s="145"/>
      <c r="L434" s="145"/>
      <c r="M434" s="145"/>
      <c r="N434" s="145"/>
      <c r="O434" s="145"/>
    </row>
    <row r="435" spans="1:15" x14ac:dyDescent="0.35">
      <c r="A435" s="145"/>
      <c r="B435" s="145"/>
      <c r="C435" s="145"/>
      <c r="D435" s="145"/>
      <c r="E435" s="145"/>
      <c r="F435" s="145"/>
      <c r="G435" s="102"/>
      <c r="H435" s="145"/>
      <c r="I435" s="145"/>
      <c r="J435" s="145"/>
      <c r="K435" s="145"/>
      <c r="L435" s="145"/>
      <c r="M435" s="145"/>
      <c r="N435" s="145"/>
      <c r="O435" s="145"/>
    </row>
    <row r="436" spans="1:15" x14ac:dyDescent="0.35">
      <c r="A436" s="145"/>
      <c r="B436" s="145"/>
      <c r="C436" s="145"/>
      <c r="D436" s="145"/>
      <c r="E436" s="145"/>
      <c r="F436" s="145"/>
      <c r="G436" s="102"/>
      <c r="H436" s="145"/>
      <c r="I436" s="145"/>
      <c r="J436" s="145"/>
      <c r="K436" s="145"/>
      <c r="L436" s="145"/>
      <c r="M436" s="145"/>
      <c r="N436" s="145"/>
      <c r="O436" s="145"/>
    </row>
    <row r="437" spans="1:15" x14ac:dyDescent="0.35">
      <c r="A437" s="145"/>
      <c r="B437" s="145"/>
      <c r="C437" s="145"/>
      <c r="D437" s="145"/>
      <c r="E437" s="145"/>
      <c r="F437" s="145"/>
      <c r="G437" s="102"/>
      <c r="H437" s="145"/>
      <c r="I437" s="145"/>
      <c r="J437" s="145"/>
      <c r="K437" s="145"/>
      <c r="L437" s="145"/>
      <c r="M437" s="145"/>
      <c r="N437" s="145"/>
      <c r="O437" s="145"/>
    </row>
    <row r="438" spans="1:15" x14ac:dyDescent="0.35">
      <c r="A438" s="145"/>
      <c r="B438" s="145"/>
      <c r="C438" s="145"/>
      <c r="D438" s="145"/>
      <c r="E438" s="145"/>
      <c r="F438" s="145"/>
      <c r="G438" s="102"/>
      <c r="H438" s="145"/>
      <c r="I438" s="145"/>
      <c r="J438" s="145"/>
      <c r="K438" s="145"/>
      <c r="L438" s="145"/>
      <c r="M438" s="145"/>
      <c r="N438" s="145"/>
      <c r="O438" s="145"/>
    </row>
    <row r="439" spans="1:15" x14ac:dyDescent="0.35">
      <c r="A439" s="145"/>
      <c r="B439" s="145"/>
      <c r="C439" s="145"/>
      <c r="D439" s="145"/>
      <c r="E439" s="145"/>
      <c r="F439" s="145"/>
      <c r="G439" s="102"/>
      <c r="H439" s="145"/>
      <c r="I439" s="145"/>
      <c r="J439" s="145"/>
      <c r="K439" s="145"/>
      <c r="L439" s="145"/>
      <c r="M439" s="145"/>
      <c r="N439" s="145"/>
      <c r="O439" s="145"/>
    </row>
    <row r="440" spans="1:15" x14ac:dyDescent="0.35">
      <c r="A440" s="145"/>
      <c r="B440" s="145"/>
      <c r="C440" s="145"/>
      <c r="D440" s="145"/>
      <c r="E440" s="145"/>
      <c r="F440" s="145"/>
      <c r="G440" s="102"/>
      <c r="H440" s="145"/>
      <c r="I440" s="145"/>
      <c r="J440" s="145"/>
      <c r="K440" s="145"/>
      <c r="L440" s="145"/>
      <c r="M440" s="145"/>
      <c r="N440" s="145"/>
      <c r="O440" s="145"/>
    </row>
    <row r="441" spans="1:15" x14ac:dyDescent="0.35">
      <c r="A441" s="145"/>
      <c r="B441" s="145"/>
      <c r="C441" s="145"/>
      <c r="D441" s="145"/>
      <c r="E441" s="145"/>
      <c r="F441" s="145"/>
      <c r="G441" s="102"/>
      <c r="H441" s="145"/>
      <c r="I441" s="145"/>
      <c r="J441" s="145"/>
      <c r="K441" s="145"/>
      <c r="L441" s="145"/>
      <c r="M441" s="145"/>
      <c r="N441" s="145"/>
      <c r="O441" s="145"/>
    </row>
    <row r="442" spans="1:15" x14ac:dyDescent="0.35">
      <c r="A442" s="145"/>
      <c r="B442" s="145"/>
      <c r="C442" s="145"/>
      <c r="D442" s="145"/>
      <c r="E442" s="145"/>
      <c r="F442" s="145"/>
      <c r="G442" s="102"/>
      <c r="H442" s="145"/>
      <c r="I442" s="145"/>
      <c r="J442" s="145"/>
      <c r="K442" s="145"/>
      <c r="L442" s="145"/>
      <c r="M442" s="145"/>
      <c r="N442" s="145"/>
      <c r="O442" s="145"/>
    </row>
    <row r="443" spans="1:15" x14ac:dyDescent="0.35">
      <c r="A443" s="145"/>
      <c r="B443" s="145"/>
      <c r="C443" s="145"/>
      <c r="D443" s="145"/>
      <c r="E443" s="145"/>
      <c r="F443" s="145"/>
      <c r="G443" s="102"/>
      <c r="H443" s="145"/>
      <c r="I443" s="145"/>
      <c r="J443" s="145"/>
      <c r="K443" s="145"/>
      <c r="L443" s="145"/>
      <c r="M443" s="145"/>
      <c r="N443" s="145"/>
      <c r="O443" s="145"/>
    </row>
    <row r="444" spans="1:15" x14ac:dyDescent="0.35">
      <c r="A444" s="145"/>
      <c r="B444" s="145"/>
      <c r="C444" s="145"/>
      <c r="D444" s="145"/>
      <c r="E444" s="145"/>
      <c r="F444" s="145"/>
      <c r="G444" s="102"/>
      <c r="H444" s="145"/>
      <c r="I444" s="145"/>
      <c r="J444" s="145"/>
      <c r="K444" s="145"/>
      <c r="L444" s="145"/>
      <c r="M444" s="145"/>
      <c r="N444" s="145"/>
      <c r="O444" s="145"/>
    </row>
    <row r="445" spans="1:15" x14ac:dyDescent="0.35">
      <c r="A445" s="145"/>
      <c r="B445" s="145"/>
      <c r="C445" s="145"/>
      <c r="D445" s="145"/>
      <c r="E445" s="145"/>
      <c r="F445" s="145"/>
      <c r="G445" s="102"/>
      <c r="H445" s="145"/>
      <c r="I445" s="145"/>
      <c r="J445" s="145"/>
      <c r="K445" s="145"/>
      <c r="L445" s="145"/>
      <c r="M445" s="145"/>
      <c r="N445" s="145"/>
      <c r="O445" s="145"/>
    </row>
    <row r="446" spans="1:15" x14ac:dyDescent="0.35">
      <c r="A446" s="145"/>
      <c r="B446" s="145"/>
      <c r="C446" s="145"/>
      <c r="D446" s="145"/>
      <c r="E446" s="145"/>
      <c r="F446" s="145"/>
      <c r="G446" s="102"/>
      <c r="H446" s="145"/>
      <c r="I446" s="145"/>
      <c r="J446" s="145"/>
      <c r="K446" s="145"/>
      <c r="L446" s="145"/>
      <c r="M446" s="145"/>
      <c r="N446" s="145"/>
      <c r="O446" s="145"/>
    </row>
    <row r="447" spans="1:15" x14ac:dyDescent="0.35">
      <c r="A447" s="145"/>
      <c r="B447" s="145"/>
      <c r="C447" s="145"/>
      <c r="D447" s="145"/>
      <c r="E447" s="145"/>
      <c r="F447" s="145"/>
      <c r="G447" s="102"/>
      <c r="H447" s="145"/>
      <c r="I447" s="145"/>
      <c r="J447" s="145"/>
      <c r="K447" s="145"/>
      <c r="L447" s="145"/>
      <c r="M447" s="145"/>
      <c r="N447" s="145"/>
      <c r="O447" s="145"/>
    </row>
    <row r="448" spans="1:15" x14ac:dyDescent="0.35">
      <c r="A448" s="145"/>
      <c r="B448" s="145"/>
      <c r="C448" s="145"/>
      <c r="D448" s="145"/>
      <c r="E448" s="145"/>
      <c r="F448" s="145"/>
      <c r="G448" s="102"/>
      <c r="H448" s="145"/>
      <c r="I448" s="145"/>
      <c r="J448" s="145"/>
      <c r="K448" s="145"/>
      <c r="L448" s="145"/>
      <c r="M448" s="145"/>
    </row>
    <row r="449" spans="1:15" x14ac:dyDescent="0.35">
      <c r="A449" s="145"/>
      <c r="B449" s="145"/>
      <c r="C449" s="145"/>
      <c r="D449" s="145"/>
      <c r="E449" s="145"/>
      <c r="F449" s="145"/>
      <c r="G449" s="102"/>
      <c r="H449" s="145"/>
      <c r="I449" s="145"/>
      <c r="J449" s="145"/>
      <c r="K449" s="145"/>
      <c r="L449" s="145"/>
      <c r="M449" s="145"/>
      <c r="N449" s="145"/>
      <c r="O449" s="145"/>
    </row>
    <row r="450" spans="1:15" x14ac:dyDescent="0.35">
      <c r="A450" s="145"/>
      <c r="B450" s="145"/>
      <c r="C450" s="145"/>
      <c r="D450" s="145"/>
      <c r="E450" s="145"/>
      <c r="F450" s="145"/>
      <c r="G450" s="102"/>
      <c r="H450" s="145"/>
      <c r="I450" s="145"/>
      <c r="J450" s="145"/>
      <c r="K450" s="145"/>
      <c r="L450" s="145"/>
      <c r="M450" s="145"/>
      <c r="N450" s="145"/>
      <c r="O450" s="145"/>
    </row>
    <row r="451" spans="1:15" x14ac:dyDescent="0.35">
      <c r="A451" s="145"/>
      <c r="B451" s="145"/>
      <c r="C451" s="145"/>
      <c r="D451" s="145"/>
      <c r="E451" s="145"/>
      <c r="F451" s="145"/>
      <c r="G451" s="102"/>
      <c r="H451" s="145"/>
      <c r="I451" s="145"/>
      <c r="J451" s="145"/>
      <c r="K451" s="145"/>
      <c r="L451" s="145"/>
      <c r="M451" s="145"/>
      <c r="N451" s="145"/>
      <c r="O451" s="145"/>
    </row>
    <row r="452" spans="1:15" x14ac:dyDescent="0.35">
      <c r="A452" s="145"/>
      <c r="B452" s="145"/>
      <c r="C452" s="145"/>
      <c r="D452" s="145"/>
      <c r="E452" s="145"/>
      <c r="F452" s="145"/>
      <c r="G452" s="102"/>
      <c r="H452" s="145"/>
      <c r="I452" s="145"/>
      <c r="J452" s="145"/>
      <c r="K452" s="145"/>
      <c r="L452" s="145"/>
      <c r="M452" s="145"/>
      <c r="N452" s="145"/>
      <c r="O452" s="145"/>
    </row>
    <row r="453" spans="1:15" x14ac:dyDescent="0.35">
      <c r="A453" s="145"/>
      <c r="B453" s="145"/>
      <c r="C453" s="145"/>
      <c r="D453" s="145"/>
      <c r="E453" s="145"/>
      <c r="F453" s="145"/>
      <c r="G453" s="102"/>
      <c r="H453" s="145"/>
      <c r="I453" s="145"/>
      <c r="J453" s="145"/>
      <c r="K453" s="145"/>
      <c r="L453" s="145"/>
      <c r="M453" s="145"/>
      <c r="N453" s="145"/>
      <c r="O453" s="145"/>
    </row>
    <row r="454" spans="1:15" x14ac:dyDescent="0.35">
      <c r="A454" s="145"/>
      <c r="B454" s="145"/>
      <c r="C454" s="145"/>
      <c r="D454" s="145"/>
      <c r="E454" s="145"/>
      <c r="F454" s="145"/>
      <c r="G454" s="102"/>
      <c r="H454" s="145"/>
      <c r="I454" s="145"/>
      <c r="J454" s="145"/>
      <c r="K454" s="145"/>
      <c r="L454" s="145"/>
      <c r="M454" s="145"/>
      <c r="N454" s="145"/>
      <c r="O454" s="145"/>
    </row>
    <row r="455" spans="1:15" x14ac:dyDescent="0.35">
      <c r="A455" s="145"/>
      <c r="B455" s="145"/>
      <c r="C455" s="145"/>
      <c r="D455" s="145"/>
      <c r="E455" s="145"/>
      <c r="F455" s="145"/>
      <c r="G455" s="102"/>
      <c r="H455" s="145"/>
      <c r="I455" s="145"/>
      <c r="J455" s="145"/>
      <c r="K455" s="145"/>
      <c r="L455" s="145"/>
      <c r="M455" s="145"/>
      <c r="N455" s="145"/>
      <c r="O455" s="145"/>
    </row>
    <row r="456" spans="1:15" x14ac:dyDescent="0.35">
      <c r="A456" s="145"/>
      <c r="B456" s="145"/>
      <c r="C456" s="145"/>
      <c r="D456" s="145"/>
      <c r="E456" s="145"/>
      <c r="F456" s="145"/>
      <c r="G456" s="102"/>
      <c r="H456" s="145"/>
      <c r="I456" s="145"/>
      <c r="J456" s="145"/>
      <c r="K456" s="145"/>
      <c r="L456" s="145"/>
      <c r="M456" s="145"/>
      <c r="N456" s="145"/>
      <c r="O456" s="145"/>
    </row>
    <row r="457" spans="1:15" x14ac:dyDescent="0.35">
      <c r="A457" s="145"/>
      <c r="B457" s="145"/>
      <c r="C457" s="145"/>
      <c r="D457" s="145"/>
      <c r="E457" s="145"/>
      <c r="F457" s="145"/>
      <c r="G457" s="102"/>
      <c r="H457" s="145"/>
      <c r="I457" s="145"/>
      <c r="J457" s="145"/>
      <c r="K457" s="145"/>
      <c r="L457" s="145"/>
      <c r="M457" s="145"/>
      <c r="N457" s="145"/>
      <c r="O457" s="145"/>
    </row>
    <row r="458" spans="1:15" x14ac:dyDescent="0.35">
      <c r="A458" s="145"/>
      <c r="B458" s="145"/>
      <c r="C458" s="145"/>
      <c r="D458" s="145"/>
      <c r="E458" s="145"/>
      <c r="F458" s="145"/>
      <c r="G458" s="102"/>
      <c r="H458" s="145"/>
      <c r="I458" s="145"/>
      <c r="J458" s="145"/>
      <c r="K458" s="145"/>
      <c r="L458" s="145"/>
      <c r="M458" s="145"/>
      <c r="N458" s="145"/>
      <c r="O458" s="145"/>
    </row>
    <row r="459" spans="1:15" x14ac:dyDescent="0.35">
      <c r="A459" s="145"/>
      <c r="B459" s="145"/>
      <c r="C459" s="145"/>
      <c r="D459" s="145"/>
      <c r="E459" s="145"/>
      <c r="F459" s="145"/>
      <c r="G459" s="102"/>
      <c r="H459" s="145"/>
      <c r="I459" s="145"/>
      <c r="J459" s="145"/>
      <c r="K459" s="145"/>
      <c r="L459" s="145"/>
      <c r="M459" s="145"/>
      <c r="N459" s="145"/>
      <c r="O459" s="145"/>
    </row>
    <row r="460" spans="1:15" x14ac:dyDescent="0.35">
      <c r="A460" s="145"/>
      <c r="B460" s="145"/>
      <c r="C460" s="145"/>
      <c r="D460" s="145"/>
      <c r="E460" s="145"/>
      <c r="F460" s="145"/>
      <c r="G460" s="102"/>
      <c r="H460" s="145"/>
      <c r="I460" s="145"/>
      <c r="J460" s="145"/>
      <c r="K460" s="145"/>
      <c r="L460" s="145"/>
      <c r="M460" s="145"/>
      <c r="N460" s="145"/>
      <c r="O460" s="145"/>
    </row>
    <row r="461" spans="1:15" x14ac:dyDescent="0.35">
      <c r="A461" s="145"/>
      <c r="B461" s="145"/>
      <c r="C461" s="145"/>
      <c r="D461" s="145"/>
      <c r="E461" s="145"/>
      <c r="F461" s="145"/>
      <c r="G461" s="102"/>
      <c r="H461" s="145"/>
      <c r="I461" s="145"/>
      <c r="J461" s="145"/>
      <c r="K461" s="145"/>
      <c r="L461" s="145"/>
      <c r="M461" s="145"/>
      <c r="N461" s="145"/>
      <c r="O461" s="145"/>
    </row>
    <row r="462" spans="1:15" x14ac:dyDescent="0.35">
      <c r="A462" s="145"/>
      <c r="B462" s="145"/>
      <c r="C462" s="145"/>
      <c r="D462" s="145"/>
      <c r="E462" s="145"/>
      <c r="F462" s="145"/>
      <c r="G462" s="102"/>
      <c r="H462" s="145"/>
      <c r="I462" s="145"/>
      <c r="J462" s="145"/>
      <c r="K462" s="145"/>
      <c r="L462" s="145"/>
      <c r="M462" s="145"/>
    </row>
    <row r="463" spans="1:15" x14ac:dyDescent="0.35">
      <c r="A463" s="145"/>
      <c r="B463" s="145"/>
      <c r="C463" s="145"/>
      <c r="D463" s="145"/>
      <c r="E463" s="145"/>
      <c r="F463" s="145"/>
      <c r="G463" s="102"/>
      <c r="H463" s="145"/>
      <c r="I463" s="145"/>
      <c r="J463" s="145"/>
      <c r="K463" s="145"/>
      <c r="L463" s="145"/>
      <c r="M463" s="145"/>
      <c r="N463" s="145"/>
      <c r="O463" s="145"/>
    </row>
    <row r="464" spans="1:15" x14ac:dyDescent="0.35">
      <c r="A464" s="145"/>
      <c r="B464" s="145"/>
      <c r="C464" s="145"/>
      <c r="D464" s="145"/>
      <c r="E464" s="145"/>
      <c r="F464" s="145"/>
      <c r="G464" s="102"/>
      <c r="H464" s="145"/>
      <c r="I464" s="145"/>
      <c r="J464" s="145"/>
      <c r="K464" s="145"/>
      <c r="L464" s="145"/>
      <c r="M464" s="145"/>
      <c r="N464" s="31"/>
      <c r="O464" s="31"/>
    </row>
    <row r="465" spans="1:15" x14ac:dyDescent="0.35">
      <c r="A465" s="145"/>
      <c r="B465" s="145"/>
      <c r="C465" s="145"/>
      <c r="D465" s="145"/>
      <c r="E465" s="145"/>
      <c r="F465" s="145"/>
      <c r="G465" s="102"/>
      <c r="H465" s="145"/>
      <c r="I465" s="145"/>
      <c r="J465" s="145"/>
      <c r="K465" s="145"/>
      <c r="L465" s="145"/>
      <c r="M465" s="145"/>
      <c r="N465" s="145"/>
      <c r="O465" s="145"/>
    </row>
    <row r="466" spans="1:15" x14ac:dyDescent="0.35">
      <c r="A466" s="145"/>
      <c r="B466" s="145"/>
      <c r="C466" s="145"/>
      <c r="D466" s="145"/>
      <c r="E466" s="145"/>
      <c r="F466" s="145"/>
      <c r="G466" s="102"/>
      <c r="H466" s="145"/>
      <c r="I466" s="145"/>
      <c r="J466" s="145"/>
      <c r="K466" s="145"/>
      <c r="L466" s="145"/>
      <c r="M466" s="145"/>
      <c r="N466" s="145"/>
      <c r="O466" s="145"/>
    </row>
    <row r="467" spans="1:15" x14ac:dyDescent="0.35">
      <c r="A467" s="145"/>
      <c r="B467" s="145"/>
      <c r="C467" s="145"/>
      <c r="D467" s="145"/>
      <c r="E467" s="145"/>
      <c r="F467" s="145"/>
      <c r="G467" s="102"/>
      <c r="H467" s="145"/>
      <c r="I467" s="145"/>
      <c r="J467" s="145"/>
      <c r="K467" s="145"/>
      <c r="L467" s="145"/>
      <c r="M467" s="145"/>
      <c r="N467" s="145"/>
      <c r="O467" s="145"/>
    </row>
    <row r="468" spans="1:15" x14ac:dyDescent="0.35">
      <c r="A468" s="145"/>
      <c r="B468" s="145"/>
      <c r="C468" s="145"/>
      <c r="D468" s="145"/>
      <c r="E468" s="145"/>
      <c r="F468" s="145"/>
      <c r="G468" s="102"/>
      <c r="H468" s="145"/>
      <c r="I468" s="145"/>
      <c r="J468" s="145"/>
      <c r="K468" s="145"/>
      <c r="L468" s="145"/>
      <c r="M468" s="145"/>
      <c r="N468" s="145"/>
      <c r="O468" s="145"/>
    </row>
    <row r="469" spans="1:15" x14ac:dyDescent="0.35">
      <c r="A469" s="145"/>
      <c r="B469" s="145"/>
      <c r="C469" s="145"/>
      <c r="D469" s="145"/>
      <c r="E469" s="145"/>
      <c r="F469" s="145"/>
      <c r="G469" s="102"/>
      <c r="H469" s="145"/>
      <c r="I469" s="145"/>
      <c r="J469" s="145"/>
      <c r="K469" s="145"/>
      <c r="L469" s="145"/>
      <c r="M469" s="145"/>
      <c r="N469" s="145"/>
      <c r="O469" s="145"/>
    </row>
    <row r="470" spans="1:15" x14ac:dyDescent="0.35">
      <c r="A470" s="145"/>
      <c r="B470" s="145"/>
      <c r="C470" s="145"/>
      <c r="D470" s="145"/>
      <c r="E470" s="145"/>
      <c r="F470" s="145"/>
      <c r="G470" s="102"/>
      <c r="H470" s="145"/>
      <c r="I470" s="145"/>
      <c r="J470" s="145"/>
      <c r="K470" s="145"/>
      <c r="L470" s="145"/>
      <c r="M470" s="145"/>
      <c r="N470" s="145"/>
      <c r="O470" s="145"/>
    </row>
    <row r="471" spans="1:15" x14ac:dyDescent="0.35">
      <c r="A471" s="145"/>
      <c r="B471" s="145"/>
      <c r="C471" s="145"/>
      <c r="D471" s="145"/>
      <c r="E471" s="145"/>
      <c r="F471" s="145"/>
      <c r="G471" s="102"/>
      <c r="H471" s="145"/>
      <c r="I471" s="145"/>
      <c r="J471" s="145"/>
      <c r="K471" s="145"/>
      <c r="L471" s="145"/>
      <c r="M471" s="145"/>
      <c r="N471" s="145"/>
      <c r="O471" s="145"/>
    </row>
    <row r="472" spans="1:15" x14ac:dyDescent="0.35">
      <c r="A472" s="145"/>
      <c r="B472" s="145"/>
      <c r="C472" s="145"/>
      <c r="D472" s="145"/>
      <c r="E472" s="145"/>
      <c r="F472" s="145"/>
      <c r="G472" s="102"/>
      <c r="H472" s="145"/>
      <c r="I472" s="145"/>
      <c r="J472" s="145"/>
      <c r="K472" s="145"/>
      <c r="L472" s="145"/>
      <c r="M472" s="145"/>
      <c r="N472" s="145"/>
      <c r="O472" s="145"/>
    </row>
    <row r="473" spans="1:15" x14ac:dyDescent="0.35">
      <c r="A473" s="145"/>
      <c r="B473" s="145"/>
      <c r="C473" s="145"/>
      <c r="D473" s="145"/>
      <c r="E473" s="145"/>
      <c r="F473" s="145"/>
      <c r="G473" s="102"/>
      <c r="H473" s="145"/>
      <c r="I473" s="145"/>
      <c r="J473" s="145"/>
      <c r="K473" s="145"/>
      <c r="L473" s="145"/>
      <c r="M473" s="145"/>
      <c r="N473" s="145"/>
      <c r="O473" s="145"/>
    </row>
    <row r="474" spans="1:15" x14ac:dyDescent="0.35">
      <c r="A474" s="145"/>
      <c r="B474" s="145"/>
      <c r="C474" s="145"/>
      <c r="D474" s="145"/>
      <c r="E474" s="145"/>
      <c r="F474" s="145"/>
      <c r="G474" s="102"/>
      <c r="H474" s="145"/>
      <c r="I474" s="145"/>
      <c r="J474" s="145"/>
      <c r="K474" s="145"/>
      <c r="L474" s="145"/>
      <c r="M474" s="145"/>
      <c r="N474" s="145"/>
      <c r="O474" s="145"/>
    </row>
    <row r="475" spans="1:15" x14ac:dyDescent="0.35">
      <c r="A475" s="145"/>
      <c r="B475" s="145"/>
      <c r="C475" s="145"/>
      <c r="D475" s="145"/>
      <c r="E475" s="145"/>
      <c r="F475" s="145"/>
      <c r="G475" s="102"/>
      <c r="H475" s="145"/>
      <c r="I475" s="145"/>
      <c r="J475" s="145"/>
      <c r="K475" s="145"/>
      <c r="L475" s="145"/>
      <c r="M475" s="145"/>
      <c r="N475" s="145"/>
      <c r="O475" s="145"/>
    </row>
    <row r="476" spans="1:15" x14ac:dyDescent="0.35">
      <c r="A476" s="145"/>
      <c r="B476" s="145"/>
      <c r="C476" s="145"/>
      <c r="D476" s="145"/>
      <c r="E476" s="145"/>
      <c r="F476" s="145"/>
      <c r="G476" s="102"/>
      <c r="H476" s="145"/>
      <c r="I476" s="145"/>
      <c r="J476" s="145"/>
      <c r="K476" s="145"/>
      <c r="L476" s="145"/>
      <c r="M476" s="145"/>
      <c r="N476" s="145"/>
      <c r="O476" s="145"/>
    </row>
    <row r="477" spans="1:15" x14ac:dyDescent="0.35">
      <c r="A477" s="145"/>
      <c r="B477" s="145"/>
      <c r="C477" s="145"/>
      <c r="D477" s="145"/>
      <c r="E477" s="145"/>
      <c r="F477" s="145"/>
      <c r="G477" s="102"/>
      <c r="H477" s="145"/>
      <c r="I477" s="145"/>
      <c r="J477" s="145"/>
      <c r="K477" s="145"/>
      <c r="L477" s="145"/>
      <c r="M477" s="145"/>
      <c r="N477" s="145"/>
      <c r="O477" s="145"/>
    </row>
    <row r="478" spans="1:15" x14ac:dyDescent="0.35">
      <c r="A478" s="145"/>
      <c r="B478" s="145"/>
      <c r="C478" s="145"/>
      <c r="D478" s="145"/>
      <c r="E478" s="145"/>
      <c r="F478" s="145"/>
      <c r="G478" s="102"/>
      <c r="H478" s="145"/>
      <c r="I478" s="145"/>
      <c r="J478" s="145"/>
      <c r="K478" s="145"/>
      <c r="L478" s="145"/>
      <c r="M478" s="145"/>
      <c r="N478" s="145"/>
      <c r="O478" s="145"/>
    </row>
    <row r="479" spans="1:15" x14ac:dyDescent="0.35">
      <c r="A479" s="145"/>
      <c r="B479" s="145"/>
      <c r="C479" s="145"/>
      <c r="D479" s="145"/>
      <c r="E479" s="145"/>
      <c r="F479" s="145"/>
      <c r="G479" s="102"/>
      <c r="H479" s="145"/>
      <c r="I479" s="145"/>
      <c r="J479" s="145"/>
      <c r="K479" s="145"/>
      <c r="L479" s="145"/>
      <c r="M479" s="145"/>
      <c r="N479" s="145"/>
      <c r="O479" s="145"/>
    </row>
    <row r="480" spans="1:15" x14ac:dyDescent="0.35">
      <c r="A480" s="145"/>
      <c r="B480" s="145"/>
      <c r="C480" s="145"/>
      <c r="D480" s="145"/>
      <c r="E480" s="145"/>
      <c r="F480" s="145"/>
      <c r="G480" s="102"/>
      <c r="H480" s="145"/>
      <c r="I480" s="145"/>
      <c r="J480" s="145"/>
      <c r="K480" s="145"/>
      <c r="L480" s="145"/>
      <c r="M480" s="145"/>
      <c r="N480" s="145"/>
      <c r="O480" s="145"/>
    </row>
    <row r="481" spans="1:15" x14ac:dyDescent="0.35">
      <c r="A481" s="145"/>
      <c r="B481" s="145"/>
      <c r="C481" s="145"/>
      <c r="D481" s="145"/>
      <c r="E481" s="145"/>
      <c r="F481" s="145"/>
      <c r="G481" s="102"/>
      <c r="H481" s="145"/>
      <c r="I481" s="145"/>
      <c r="J481" s="145"/>
      <c r="K481" s="145"/>
      <c r="L481" s="145"/>
      <c r="M481" s="145"/>
      <c r="N481" s="145"/>
      <c r="O481" s="145"/>
    </row>
    <row r="482" spans="1:15" x14ac:dyDescent="0.35">
      <c r="A482" s="145"/>
      <c r="B482" s="145"/>
      <c r="C482" s="145"/>
      <c r="D482" s="145"/>
      <c r="E482" s="145"/>
      <c r="F482" s="145"/>
      <c r="G482" s="102"/>
      <c r="H482" s="145"/>
      <c r="I482" s="145"/>
      <c r="J482" s="145"/>
      <c r="K482" s="145"/>
      <c r="L482" s="145"/>
      <c r="M482" s="145"/>
      <c r="N482" s="145"/>
      <c r="O482" s="145"/>
    </row>
    <row r="483" spans="1:15" x14ac:dyDescent="0.35">
      <c r="A483" s="145"/>
      <c r="B483" s="145"/>
      <c r="C483" s="145"/>
      <c r="D483" s="145"/>
      <c r="E483" s="145"/>
      <c r="F483" s="145"/>
      <c r="G483" s="102"/>
      <c r="H483" s="145"/>
      <c r="I483" s="145"/>
      <c r="J483" s="145"/>
      <c r="K483" s="145"/>
      <c r="L483" s="145"/>
      <c r="M483" s="145"/>
      <c r="N483" s="145"/>
      <c r="O483" s="145"/>
    </row>
    <row r="484" spans="1:15" x14ac:dyDescent="0.35">
      <c r="A484" s="145"/>
      <c r="B484" s="145"/>
      <c r="C484" s="145"/>
      <c r="D484" s="145"/>
      <c r="E484" s="145"/>
      <c r="F484" s="145"/>
      <c r="G484" s="102"/>
      <c r="H484" s="145"/>
      <c r="I484" s="145"/>
      <c r="J484" s="145"/>
      <c r="K484" s="145"/>
      <c r="L484" s="145"/>
      <c r="M484" s="145"/>
      <c r="N484" s="145"/>
      <c r="O484" s="145"/>
    </row>
    <row r="485" spans="1:15" x14ac:dyDescent="0.35">
      <c r="A485" s="145"/>
      <c r="B485" s="145"/>
      <c r="C485" s="145"/>
      <c r="D485" s="145"/>
      <c r="E485" s="145"/>
      <c r="F485" s="145"/>
      <c r="G485" s="102"/>
      <c r="H485" s="145"/>
      <c r="I485" s="145"/>
      <c r="J485" s="145"/>
      <c r="K485" s="145"/>
      <c r="L485" s="145"/>
      <c r="M485" s="145"/>
      <c r="N485" s="145"/>
      <c r="O485" s="145"/>
    </row>
    <row r="486" spans="1:15" x14ac:dyDescent="0.35">
      <c r="A486" s="145"/>
      <c r="B486" s="145"/>
      <c r="C486" s="145"/>
      <c r="D486" s="145"/>
      <c r="E486" s="145"/>
      <c r="F486" s="145"/>
      <c r="G486" s="102"/>
      <c r="H486" s="145"/>
      <c r="I486" s="145"/>
      <c r="J486" s="145"/>
      <c r="K486" s="145"/>
      <c r="L486" s="145"/>
      <c r="M486" s="145"/>
      <c r="N486" s="145"/>
      <c r="O486" s="145"/>
    </row>
    <row r="487" spans="1:15" x14ac:dyDescent="0.35">
      <c r="A487" s="145"/>
      <c r="B487" s="145"/>
      <c r="C487" s="145"/>
      <c r="D487" s="145"/>
      <c r="E487" s="145"/>
      <c r="F487" s="145"/>
      <c r="G487" s="102"/>
      <c r="H487" s="145"/>
      <c r="I487" s="145"/>
      <c r="J487" s="145"/>
      <c r="K487" s="145"/>
      <c r="L487" s="145"/>
      <c r="M487" s="145"/>
      <c r="N487" s="145"/>
      <c r="O487" s="145"/>
    </row>
    <row r="488" spans="1:15" x14ac:dyDescent="0.35">
      <c r="A488" s="145"/>
      <c r="B488" s="145"/>
      <c r="C488" s="145"/>
      <c r="D488" s="145"/>
      <c r="E488" s="145"/>
      <c r="F488" s="145"/>
      <c r="G488" s="102"/>
      <c r="H488" s="145"/>
      <c r="I488" s="145"/>
      <c r="J488" s="145"/>
      <c r="K488" s="145"/>
      <c r="L488" s="145"/>
      <c r="M488" s="145"/>
      <c r="N488" s="145"/>
      <c r="O488" s="145"/>
    </row>
    <row r="489" spans="1:15" x14ac:dyDescent="0.35">
      <c r="A489" s="145"/>
      <c r="B489" s="145"/>
      <c r="C489" s="145"/>
      <c r="D489" s="145"/>
      <c r="E489" s="145"/>
      <c r="F489" s="145"/>
      <c r="G489" s="102"/>
      <c r="H489" s="145"/>
      <c r="I489" s="145"/>
      <c r="J489" s="145"/>
      <c r="K489" s="145"/>
      <c r="L489" s="145"/>
      <c r="M489" s="145"/>
      <c r="N489" s="145"/>
      <c r="O489" s="145"/>
    </row>
    <row r="490" spans="1:15" x14ac:dyDescent="0.35">
      <c r="A490" s="145"/>
      <c r="B490" s="145"/>
      <c r="C490" s="145"/>
      <c r="D490" s="145"/>
      <c r="E490" s="145"/>
      <c r="F490" s="145"/>
      <c r="G490" s="102"/>
      <c r="H490" s="145"/>
      <c r="I490" s="145"/>
      <c r="J490" s="145"/>
      <c r="K490" s="145"/>
      <c r="L490" s="145"/>
      <c r="M490" s="145"/>
      <c r="N490" s="145"/>
      <c r="O490" s="145"/>
    </row>
    <row r="491" spans="1:15" x14ac:dyDescent="0.35">
      <c r="A491" s="145"/>
      <c r="B491" s="145"/>
      <c r="C491" s="145"/>
      <c r="D491" s="145"/>
      <c r="E491" s="145"/>
      <c r="F491" s="145"/>
      <c r="G491" s="102"/>
      <c r="H491" s="145"/>
      <c r="I491" s="145"/>
      <c r="J491" s="145"/>
      <c r="K491" s="145"/>
      <c r="L491" s="145"/>
      <c r="M491" s="145"/>
      <c r="N491" s="145"/>
      <c r="O491" s="145"/>
    </row>
    <row r="492" spans="1:15" x14ac:dyDescent="0.35">
      <c r="A492" s="145"/>
      <c r="B492" s="145"/>
      <c r="C492" s="145"/>
      <c r="D492" s="145"/>
      <c r="E492" s="145"/>
      <c r="F492" s="145"/>
      <c r="G492" s="102"/>
      <c r="H492" s="145"/>
      <c r="I492" s="145"/>
      <c r="J492" s="145"/>
      <c r="K492" s="145"/>
      <c r="L492" s="145"/>
      <c r="M492" s="145"/>
      <c r="N492" s="145"/>
      <c r="O492" s="145"/>
    </row>
    <row r="493" spans="1:15" x14ac:dyDescent="0.35">
      <c r="A493" s="145"/>
      <c r="B493" s="145"/>
      <c r="C493" s="145"/>
      <c r="D493" s="145"/>
      <c r="E493" s="145"/>
      <c r="F493" s="145"/>
      <c r="G493" s="102"/>
      <c r="H493" s="145"/>
      <c r="I493" s="145"/>
      <c r="J493" s="145"/>
      <c r="K493" s="145"/>
      <c r="L493" s="145"/>
      <c r="M493" s="145"/>
      <c r="N493" s="145"/>
      <c r="O493" s="145"/>
    </row>
    <row r="494" spans="1:15" x14ac:dyDescent="0.35">
      <c r="A494" s="145"/>
      <c r="B494" s="145"/>
      <c r="C494" s="145"/>
      <c r="D494" s="145"/>
      <c r="E494" s="145"/>
      <c r="F494" s="145"/>
      <c r="G494" s="102"/>
      <c r="H494" s="145"/>
      <c r="I494" s="145"/>
      <c r="J494" s="145"/>
      <c r="K494" s="145"/>
      <c r="L494" s="145"/>
      <c r="M494" s="145"/>
      <c r="N494" s="145"/>
      <c r="O494" s="145"/>
    </row>
    <row r="495" spans="1:15" x14ac:dyDescent="0.35">
      <c r="A495" s="145"/>
      <c r="B495" s="145"/>
      <c r="C495" s="145"/>
      <c r="D495" s="145"/>
      <c r="E495" s="145"/>
      <c r="F495" s="145"/>
      <c r="G495" s="102"/>
      <c r="H495" s="145"/>
      <c r="I495" s="145"/>
      <c r="J495" s="145"/>
      <c r="K495" s="145"/>
      <c r="L495" s="145"/>
      <c r="M495" s="145"/>
      <c r="N495" s="145"/>
      <c r="O495" s="145"/>
    </row>
    <row r="496" spans="1:15" x14ac:dyDescent="0.35">
      <c r="A496" s="145"/>
      <c r="B496" s="145"/>
      <c r="C496" s="145"/>
      <c r="D496" s="145"/>
      <c r="E496" s="145"/>
      <c r="F496" s="145"/>
      <c r="G496" s="102"/>
      <c r="H496" s="145"/>
      <c r="I496" s="145"/>
      <c r="J496" s="145"/>
      <c r="K496" s="145"/>
      <c r="L496" s="145"/>
      <c r="M496" s="145"/>
      <c r="N496" s="145"/>
      <c r="O496" s="145"/>
    </row>
    <row r="497" spans="1:15" x14ac:dyDescent="0.35">
      <c r="A497" s="145"/>
      <c r="B497" s="145"/>
      <c r="C497" s="145"/>
      <c r="D497" s="145"/>
      <c r="E497" s="145"/>
      <c r="F497" s="145"/>
      <c r="G497" s="102"/>
      <c r="H497" s="145"/>
      <c r="I497" s="145"/>
      <c r="J497" s="145"/>
      <c r="K497" s="145"/>
      <c r="L497" s="145"/>
      <c r="M497" s="145"/>
      <c r="N497" s="145"/>
      <c r="O497" s="145"/>
    </row>
    <row r="498" spans="1:15" x14ac:dyDescent="0.35">
      <c r="A498" s="145"/>
      <c r="B498" s="145"/>
      <c r="C498" s="145"/>
      <c r="D498" s="145"/>
      <c r="E498" s="145"/>
      <c r="F498" s="145"/>
      <c r="G498" s="102"/>
      <c r="H498" s="145"/>
      <c r="I498" s="145"/>
      <c r="J498" s="145"/>
      <c r="K498" s="145"/>
      <c r="L498" s="145"/>
      <c r="M498" s="145"/>
      <c r="N498" s="145"/>
      <c r="O498" s="145"/>
    </row>
    <row r="499" spans="1:15" x14ac:dyDescent="0.35">
      <c r="A499" s="145"/>
      <c r="B499" s="145"/>
      <c r="C499" s="145"/>
      <c r="D499" s="145"/>
      <c r="E499" s="145"/>
      <c r="F499" s="145"/>
      <c r="G499" s="102"/>
      <c r="H499" s="145"/>
      <c r="I499" s="145"/>
      <c r="J499" s="145"/>
      <c r="K499" s="145"/>
      <c r="L499" s="145"/>
      <c r="M499" s="145"/>
      <c r="N499" s="145"/>
      <c r="O499" s="145"/>
    </row>
    <row r="500" spans="1:15" x14ac:dyDescent="0.35">
      <c r="A500" s="145"/>
      <c r="B500" s="145"/>
      <c r="C500" s="145"/>
      <c r="D500" s="145"/>
      <c r="E500" s="145"/>
      <c r="F500" s="145"/>
      <c r="G500" s="102"/>
      <c r="H500" s="145"/>
      <c r="I500" s="145"/>
      <c r="J500" s="145"/>
      <c r="K500" s="145"/>
      <c r="L500" s="145"/>
      <c r="M500" s="145"/>
      <c r="N500" s="145"/>
      <c r="O500" s="145"/>
    </row>
    <row r="501" spans="1:15" x14ac:dyDescent="0.35">
      <c r="A501" s="145"/>
      <c r="B501" s="145"/>
      <c r="C501" s="145"/>
      <c r="D501" s="145"/>
      <c r="E501" s="145"/>
      <c r="F501" s="145"/>
      <c r="G501" s="102"/>
      <c r="H501" s="145"/>
      <c r="I501" s="145"/>
      <c r="J501" s="145"/>
      <c r="K501" s="145"/>
      <c r="L501" s="145"/>
      <c r="M501" s="145"/>
      <c r="N501" s="145"/>
      <c r="O501" s="145"/>
    </row>
    <row r="502" spans="1:15" x14ac:dyDescent="0.35">
      <c r="A502" s="145"/>
      <c r="B502" s="145"/>
      <c r="C502" s="145"/>
      <c r="D502" s="145"/>
      <c r="E502" s="145"/>
      <c r="F502" s="145"/>
      <c r="G502" s="102"/>
      <c r="H502" s="145"/>
      <c r="I502" s="145"/>
      <c r="J502" s="145"/>
      <c r="K502" s="145"/>
      <c r="L502" s="145"/>
      <c r="M502" s="145"/>
      <c r="N502" s="145"/>
      <c r="O502" s="145"/>
    </row>
    <row r="503" spans="1:15" x14ac:dyDescent="0.35">
      <c r="A503" s="145"/>
      <c r="B503" s="145"/>
      <c r="C503" s="145"/>
      <c r="D503" s="145"/>
      <c r="E503" s="145"/>
      <c r="F503" s="145"/>
      <c r="G503" s="102"/>
      <c r="H503" s="145"/>
      <c r="I503" s="145"/>
      <c r="J503" s="145"/>
      <c r="K503" s="145"/>
      <c r="L503" s="145"/>
      <c r="M503" s="145"/>
      <c r="N503" s="145"/>
      <c r="O503" s="145"/>
    </row>
    <row r="504" spans="1:15" x14ac:dyDescent="0.35">
      <c r="A504" s="145"/>
      <c r="B504" s="145"/>
      <c r="C504" s="145"/>
      <c r="D504" s="145"/>
      <c r="E504" s="145"/>
      <c r="F504" s="145"/>
      <c r="G504" s="102"/>
      <c r="H504" s="145"/>
      <c r="I504" s="145"/>
      <c r="J504" s="145"/>
      <c r="K504" s="145"/>
      <c r="L504" s="145"/>
      <c r="M504" s="145"/>
      <c r="N504" s="145"/>
      <c r="O504" s="145"/>
    </row>
    <row r="505" spans="1:15" x14ac:dyDescent="0.35">
      <c r="A505" s="145"/>
      <c r="B505" s="145"/>
      <c r="C505" s="145"/>
      <c r="D505" s="145"/>
      <c r="E505" s="145"/>
      <c r="F505" s="145"/>
      <c r="G505" s="102"/>
      <c r="H505" s="145"/>
      <c r="I505" s="145"/>
      <c r="J505" s="145"/>
      <c r="K505" s="145"/>
      <c r="L505" s="145"/>
      <c r="M505" s="145"/>
      <c r="N505" s="145"/>
      <c r="O505" s="145"/>
    </row>
    <row r="506" spans="1:15" x14ac:dyDescent="0.35">
      <c r="A506" s="145"/>
      <c r="B506" s="145"/>
      <c r="C506" s="145"/>
      <c r="D506" s="145"/>
      <c r="E506" s="145"/>
      <c r="F506" s="145"/>
      <c r="G506" s="102"/>
      <c r="H506" s="145"/>
      <c r="I506" s="145"/>
      <c r="J506" s="145"/>
      <c r="K506" s="145"/>
      <c r="L506" s="145"/>
      <c r="M506" s="145"/>
      <c r="N506" s="145"/>
      <c r="O506" s="145"/>
    </row>
    <row r="507" spans="1:15" x14ac:dyDescent="0.35">
      <c r="A507" s="145"/>
      <c r="B507" s="145"/>
      <c r="C507" s="145"/>
      <c r="D507" s="145"/>
      <c r="E507" s="145"/>
      <c r="F507" s="145"/>
      <c r="G507" s="102"/>
      <c r="H507" s="145"/>
      <c r="I507" s="145"/>
      <c r="J507" s="145"/>
      <c r="K507" s="145"/>
      <c r="L507" s="145"/>
      <c r="M507" s="145"/>
      <c r="N507" s="145"/>
      <c r="O507" s="145"/>
    </row>
    <row r="508" spans="1:15" x14ac:dyDescent="0.35">
      <c r="A508" s="145"/>
      <c r="B508" s="145"/>
      <c r="C508" s="145"/>
      <c r="D508" s="145"/>
      <c r="E508" s="145"/>
      <c r="F508" s="145"/>
      <c r="G508" s="102"/>
      <c r="H508" s="145"/>
      <c r="I508" s="145"/>
      <c r="J508" s="145"/>
      <c r="K508" s="145"/>
      <c r="L508" s="145"/>
      <c r="M508" s="145"/>
      <c r="N508" s="145"/>
      <c r="O508" s="145"/>
    </row>
    <row r="509" spans="1:15" x14ac:dyDescent="0.35">
      <c r="A509" s="145"/>
      <c r="B509" s="145"/>
      <c r="C509" s="145"/>
      <c r="D509" s="145"/>
      <c r="E509" s="145"/>
      <c r="F509" s="145"/>
      <c r="G509" s="102"/>
      <c r="H509" s="145"/>
      <c r="I509" s="145"/>
      <c r="J509" s="145"/>
      <c r="K509" s="145"/>
      <c r="L509" s="145"/>
      <c r="M509" s="145"/>
      <c r="N509" s="145"/>
      <c r="O509" s="145"/>
    </row>
    <row r="510" spans="1:15" x14ac:dyDescent="0.35">
      <c r="A510" s="145"/>
      <c r="B510" s="145"/>
      <c r="C510" s="145"/>
      <c r="D510" s="145"/>
      <c r="E510" s="145"/>
      <c r="F510" s="145"/>
      <c r="G510" s="102"/>
      <c r="H510" s="145"/>
      <c r="I510" s="145"/>
      <c r="J510" s="145"/>
      <c r="K510" s="145"/>
      <c r="L510" s="145"/>
      <c r="M510" s="145"/>
      <c r="N510" s="145"/>
      <c r="O510" s="145"/>
    </row>
    <row r="511" spans="1:15" x14ac:dyDescent="0.35">
      <c r="A511" s="145"/>
      <c r="B511" s="145"/>
      <c r="C511" s="145"/>
      <c r="D511" s="145"/>
      <c r="E511" s="145"/>
      <c r="F511" s="145"/>
      <c r="G511" s="102"/>
      <c r="H511" s="145"/>
      <c r="I511" s="145"/>
      <c r="J511" s="145"/>
      <c r="K511" s="145"/>
      <c r="L511" s="145"/>
      <c r="M511" s="145"/>
      <c r="N511" s="145"/>
      <c r="O511" s="145"/>
    </row>
    <row r="512" spans="1:15" x14ac:dyDescent="0.35">
      <c r="A512" s="145"/>
      <c r="B512" s="145"/>
      <c r="C512" s="145"/>
      <c r="D512" s="145"/>
      <c r="E512" s="145"/>
      <c r="F512" s="145"/>
      <c r="G512" s="102"/>
      <c r="H512" s="145"/>
      <c r="I512" s="145"/>
      <c r="J512" s="145"/>
      <c r="K512" s="145"/>
      <c r="L512" s="145"/>
      <c r="M512" s="145"/>
      <c r="N512" s="145"/>
      <c r="O512" s="145"/>
    </row>
    <row r="513" spans="1:15" x14ac:dyDescent="0.35">
      <c r="A513" s="145"/>
      <c r="B513" s="145"/>
      <c r="C513" s="145"/>
      <c r="D513" s="145"/>
      <c r="E513" s="145"/>
      <c r="F513" s="145"/>
      <c r="G513" s="102"/>
      <c r="H513" s="145"/>
      <c r="I513" s="145"/>
      <c r="J513" s="145"/>
      <c r="K513" s="145"/>
      <c r="L513" s="145"/>
      <c r="M513" s="145"/>
      <c r="N513" s="145"/>
      <c r="O513" s="145"/>
    </row>
    <row r="514" spans="1:15" x14ac:dyDescent="0.35">
      <c r="A514" s="145"/>
      <c r="B514" s="145"/>
      <c r="C514" s="145"/>
      <c r="D514" s="145"/>
      <c r="E514" s="145"/>
      <c r="F514" s="145"/>
      <c r="G514" s="102"/>
      <c r="H514" s="145"/>
      <c r="I514" s="145"/>
      <c r="J514" s="145"/>
      <c r="K514" s="145"/>
      <c r="L514" s="145"/>
      <c r="M514" s="145"/>
      <c r="N514" s="145"/>
      <c r="O514" s="145"/>
    </row>
    <row r="515" spans="1:15" x14ac:dyDescent="0.35">
      <c r="A515" s="145"/>
      <c r="B515" s="145"/>
      <c r="C515" s="145"/>
      <c r="D515" s="145"/>
      <c r="E515" s="145"/>
      <c r="F515" s="145"/>
      <c r="G515" s="102"/>
      <c r="H515" s="145"/>
      <c r="I515" s="145"/>
      <c r="J515" s="145"/>
      <c r="K515" s="145"/>
      <c r="L515" s="145"/>
      <c r="M515" s="145"/>
    </row>
    <row r="516" spans="1:15" x14ac:dyDescent="0.35">
      <c r="A516" s="145"/>
      <c r="B516" s="145"/>
      <c r="C516" s="145"/>
      <c r="D516" s="145"/>
      <c r="E516" s="145"/>
      <c r="F516" s="145"/>
      <c r="G516" s="102"/>
      <c r="H516" s="145"/>
      <c r="I516" s="145"/>
      <c r="J516" s="145"/>
      <c r="K516" s="145"/>
      <c r="L516" s="145"/>
      <c r="M516" s="145"/>
      <c r="N516" s="145"/>
      <c r="O516" s="145"/>
    </row>
    <row r="517" spans="1:15" x14ac:dyDescent="0.35">
      <c r="A517" s="145"/>
      <c r="B517" s="145"/>
      <c r="C517" s="145"/>
      <c r="D517" s="145"/>
      <c r="E517" s="145"/>
      <c r="F517" s="145"/>
      <c r="G517" s="102"/>
      <c r="H517" s="145"/>
      <c r="I517" s="145"/>
      <c r="J517" s="145"/>
      <c r="K517" s="145"/>
      <c r="L517" s="145"/>
      <c r="M517" s="145"/>
      <c r="N517" s="145"/>
      <c r="O517" s="145"/>
    </row>
    <row r="518" spans="1:15" x14ac:dyDescent="0.35">
      <c r="A518" s="145"/>
      <c r="B518" s="145"/>
      <c r="C518" s="145"/>
      <c r="D518" s="145"/>
      <c r="E518" s="145"/>
      <c r="F518" s="145"/>
      <c r="G518" s="102"/>
      <c r="H518" s="145"/>
      <c r="I518" s="145"/>
      <c r="J518" s="145"/>
      <c r="K518" s="145"/>
      <c r="L518" s="145"/>
      <c r="M518" s="145"/>
      <c r="N518" s="145"/>
      <c r="O518" s="145"/>
    </row>
    <row r="519" spans="1:15" x14ac:dyDescent="0.35">
      <c r="A519" s="145"/>
      <c r="B519" s="145"/>
      <c r="C519" s="145"/>
      <c r="D519" s="145"/>
      <c r="E519" s="145"/>
      <c r="F519" s="145"/>
      <c r="G519" s="102"/>
      <c r="H519" s="145"/>
      <c r="I519" s="145"/>
      <c r="J519" s="145"/>
      <c r="K519" s="145"/>
      <c r="L519" s="145"/>
      <c r="M519" s="145"/>
      <c r="N519" s="145"/>
      <c r="O519" s="145"/>
    </row>
    <row r="520" spans="1:15" x14ac:dyDescent="0.35">
      <c r="A520" s="145"/>
      <c r="B520" s="145"/>
      <c r="C520" s="145"/>
      <c r="D520" s="145"/>
      <c r="E520" s="145"/>
      <c r="F520" s="145"/>
      <c r="G520" s="102"/>
      <c r="H520" s="145"/>
      <c r="I520" s="145"/>
      <c r="J520" s="145"/>
      <c r="K520" s="145"/>
      <c r="L520" s="145"/>
      <c r="M520" s="145"/>
      <c r="N520" s="145"/>
      <c r="O520" s="145"/>
    </row>
    <row r="521" spans="1:15" x14ac:dyDescent="0.35">
      <c r="A521" s="145"/>
      <c r="B521" s="145"/>
      <c r="C521" s="145"/>
      <c r="D521" s="145"/>
      <c r="E521" s="145"/>
      <c r="F521" s="145"/>
      <c r="G521" s="102"/>
      <c r="H521" s="145"/>
      <c r="I521" s="145"/>
      <c r="J521" s="145"/>
      <c r="K521" s="145"/>
      <c r="L521" s="145"/>
      <c r="M521" s="145"/>
      <c r="N521" s="145"/>
      <c r="O521" s="145"/>
    </row>
    <row r="522" spans="1:15" x14ac:dyDescent="0.35">
      <c r="A522" s="145"/>
      <c r="B522" s="145"/>
      <c r="C522" s="145"/>
      <c r="D522" s="145"/>
      <c r="E522" s="145"/>
      <c r="F522" s="145"/>
      <c r="G522" s="102"/>
      <c r="H522" s="145"/>
      <c r="I522" s="145"/>
      <c r="J522" s="145"/>
      <c r="K522" s="145"/>
      <c r="L522" s="145"/>
      <c r="M522" s="145"/>
    </row>
    <row r="523" spans="1:15" x14ac:dyDescent="0.35">
      <c r="A523" s="145"/>
      <c r="B523" s="145"/>
      <c r="C523" s="145"/>
      <c r="D523" s="145"/>
      <c r="E523" s="145"/>
      <c r="F523" s="145"/>
      <c r="G523" s="102"/>
      <c r="H523" s="145"/>
      <c r="I523" s="145"/>
      <c r="J523" s="145"/>
      <c r="K523" s="145"/>
      <c r="L523" s="145"/>
      <c r="M523" s="145"/>
      <c r="N523" s="145"/>
      <c r="O523" s="145"/>
    </row>
    <row r="524" spans="1:15" x14ac:dyDescent="0.35">
      <c r="A524" s="145"/>
      <c r="B524" s="145"/>
      <c r="C524" s="145"/>
      <c r="D524" s="145"/>
      <c r="E524" s="145"/>
      <c r="F524" s="145"/>
      <c r="G524" s="102"/>
      <c r="H524" s="145"/>
      <c r="I524" s="145"/>
      <c r="J524" s="145"/>
      <c r="K524" s="145"/>
      <c r="L524" s="145"/>
      <c r="M524" s="145"/>
    </row>
    <row r="525" spans="1:15" x14ac:dyDescent="0.35">
      <c r="A525" s="145"/>
      <c r="B525" s="145"/>
      <c r="C525" s="145"/>
      <c r="D525" s="145"/>
      <c r="E525" s="145"/>
      <c r="F525" s="145"/>
      <c r="G525" s="102"/>
      <c r="H525" s="145"/>
      <c r="I525" s="145"/>
      <c r="J525" s="145"/>
      <c r="K525" s="145"/>
      <c r="L525" s="145"/>
      <c r="M525" s="145"/>
      <c r="N525" s="145"/>
      <c r="O525" s="145"/>
    </row>
    <row r="526" spans="1:15" x14ac:dyDescent="0.35">
      <c r="A526" s="145"/>
      <c r="B526" s="145"/>
      <c r="C526" s="145"/>
      <c r="D526" s="145"/>
      <c r="E526" s="145"/>
      <c r="F526" s="145"/>
      <c r="G526" s="102"/>
      <c r="H526" s="145"/>
      <c r="I526" s="145"/>
      <c r="J526" s="145"/>
      <c r="K526" s="145"/>
      <c r="L526" s="145"/>
      <c r="M526" s="145"/>
      <c r="N526" s="145"/>
      <c r="O526" s="145"/>
    </row>
    <row r="527" spans="1:15" x14ac:dyDescent="0.35">
      <c r="A527" s="145"/>
      <c r="B527" s="145"/>
      <c r="C527" s="145"/>
      <c r="D527" s="145"/>
      <c r="E527" s="145"/>
      <c r="F527" s="145"/>
      <c r="G527" s="102"/>
      <c r="H527" s="145"/>
      <c r="I527" s="145"/>
      <c r="J527" s="145"/>
      <c r="K527" s="145"/>
      <c r="L527" s="145"/>
      <c r="M527" s="145"/>
      <c r="N527" s="145"/>
      <c r="O527" s="145"/>
    </row>
    <row r="528" spans="1:15" x14ac:dyDescent="0.35">
      <c r="A528" s="145"/>
      <c r="B528" s="145"/>
      <c r="C528" s="145"/>
      <c r="D528" s="145"/>
      <c r="E528" s="145"/>
      <c r="F528" s="145"/>
      <c r="G528" s="102"/>
      <c r="H528" s="145"/>
      <c r="I528" s="145"/>
      <c r="J528" s="145"/>
      <c r="K528" s="145"/>
      <c r="L528" s="145"/>
      <c r="M528" s="145"/>
      <c r="N528" s="145"/>
      <c r="O528" s="145"/>
    </row>
    <row r="529" spans="1:15" x14ac:dyDescent="0.35">
      <c r="A529" s="145"/>
      <c r="B529" s="145"/>
      <c r="C529" s="145"/>
      <c r="D529" s="145"/>
      <c r="E529" s="145"/>
      <c r="F529" s="145"/>
      <c r="G529" s="102"/>
      <c r="H529" s="145"/>
      <c r="I529" s="145"/>
      <c r="J529" s="145"/>
      <c r="K529" s="145"/>
      <c r="L529" s="145"/>
      <c r="M529" s="145"/>
      <c r="N529" s="145"/>
      <c r="O529" s="145"/>
    </row>
    <row r="530" spans="1:15" x14ac:dyDescent="0.35">
      <c r="A530" s="145"/>
      <c r="B530" s="145"/>
      <c r="C530" s="145"/>
      <c r="D530" s="145"/>
      <c r="E530" s="145"/>
      <c r="F530" s="145"/>
      <c r="G530" s="102"/>
      <c r="H530" s="145"/>
      <c r="I530" s="145"/>
      <c r="J530" s="145"/>
      <c r="K530" s="145"/>
      <c r="L530" s="145"/>
      <c r="M530" s="145"/>
      <c r="N530" s="145"/>
      <c r="O530" s="145"/>
    </row>
    <row r="531" spans="1:15" x14ac:dyDescent="0.35">
      <c r="A531" s="145"/>
      <c r="B531" s="145"/>
      <c r="C531" s="145"/>
      <c r="D531" s="145"/>
      <c r="E531" s="145"/>
      <c r="F531" s="145"/>
      <c r="G531" s="102"/>
      <c r="H531" s="145"/>
      <c r="I531" s="145"/>
      <c r="J531" s="145"/>
      <c r="K531" s="145"/>
      <c r="L531" s="145"/>
      <c r="M531" s="145"/>
      <c r="N531" s="145"/>
      <c r="O531" s="145"/>
    </row>
    <row r="532" spans="1:15" x14ac:dyDescent="0.35">
      <c r="A532" s="145"/>
      <c r="B532" s="145"/>
      <c r="C532" s="145"/>
      <c r="D532" s="145"/>
      <c r="E532" s="145"/>
      <c r="F532" s="145"/>
      <c r="G532" s="102"/>
      <c r="H532" s="145"/>
      <c r="I532" s="145"/>
      <c r="J532" s="145"/>
      <c r="K532" s="145"/>
      <c r="L532" s="145"/>
      <c r="M532" s="145"/>
      <c r="N532" s="145"/>
      <c r="O532" s="145"/>
    </row>
    <row r="533" spans="1:15" x14ac:dyDescent="0.35">
      <c r="A533" s="145"/>
      <c r="B533" s="145"/>
      <c r="C533" s="145"/>
      <c r="D533" s="145"/>
      <c r="E533" s="145"/>
      <c r="F533" s="145"/>
      <c r="G533" s="102"/>
      <c r="H533" s="145"/>
      <c r="I533" s="145"/>
      <c r="J533" s="145"/>
      <c r="K533" s="145"/>
      <c r="L533" s="145"/>
      <c r="M533" s="145"/>
    </row>
    <row r="534" spans="1:15" x14ac:dyDescent="0.35">
      <c r="A534" s="145"/>
      <c r="B534" s="145"/>
      <c r="C534" s="145"/>
      <c r="D534" s="145"/>
      <c r="E534" s="145"/>
      <c r="F534" s="145"/>
      <c r="G534" s="102"/>
      <c r="H534" s="145"/>
      <c r="I534" s="145"/>
      <c r="J534" s="145"/>
      <c r="K534" s="145"/>
      <c r="L534" s="145"/>
      <c r="M534" s="145"/>
      <c r="N534" s="145"/>
      <c r="O534" s="145"/>
    </row>
    <row r="535" spans="1:15" x14ac:dyDescent="0.35">
      <c r="A535" s="145"/>
      <c r="B535" s="145"/>
      <c r="C535" s="145"/>
      <c r="D535" s="145"/>
      <c r="E535" s="145"/>
      <c r="F535" s="145"/>
      <c r="G535" s="102"/>
      <c r="H535" s="145"/>
      <c r="I535" s="145"/>
      <c r="J535" s="145"/>
      <c r="K535" s="145"/>
      <c r="L535" s="145"/>
      <c r="M535" s="145"/>
      <c r="N535" s="31"/>
      <c r="O535" s="31"/>
    </row>
    <row r="536" spans="1:15" x14ac:dyDescent="0.35">
      <c r="A536" s="145"/>
      <c r="B536" s="145"/>
      <c r="C536" s="145"/>
      <c r="D536" s="145"/>
      <c r="E536" s="145"/>
      <c r="F536" s="145"/>
      <c r="G536" s="102"/>
      <c r="H536" s="145"/>
      <c r="I536" s="145"/>
      <c r="J536" s="145"/>
      <c r="K536" s="145"/>
      <c r="L536" s="145"/>
      <c r="M536" s="145"/>
      <c r="N536" s="145"/>
      <c r="O536" s="145"/>
    </row>
    <row r="537" spans="1:15" x14ac:dyDescent="0.35">
      <c r="A537" s="145"/>
      <c r="B537" s="145"/>
      <c r="C537" s="145"/>
      <c r="D537" s="145"/>
      <c r="E537" s="145"/>
      <c r="F537" s="145"/>
      <c r="G537" s="102"/>
      <c r="H537" s="145"/>
      <c r="I537" s="145"/>
      <c r="J537" s="145"/>
      <c r="K537" s="145"/>
      <c r="L537" s="145"/>
      <c r="M537" s="145"/>
      <c r="N537" s="145"/>
      <c r="O537" s="145"/>
    </row>
    <row r="538" spans="1:15" x14ac:dyDescent="0.35">
      <c r="A538" s="145"/>
      <c r="B538" s="145"/>
      <c r="C538" s="145"/>
      <c r="D538" s="145"/>
      <c r="E538" s="145"/>
      <c r="F538" s="145"/>
      <c r="G538" s="102"/>
      <c r="H538" s="145"/>
      <c r="I538" s="145"/>
      <c r="J538" s="145"/>
      <c r="K538" s="145"/>
      <c r="L538" s="145"/>
      <c r="M538" s="145"/>
      <c r="N538" s="145"/>
      <c r="O538" s="145"/>
    </row>
    <row r="539" spans="1:15" x14ac:dyDescent="0.35">
      <c r="A539" s="145"/>
      <c r="B539" s="145"/>
      <c r="C539" s="145"/>
      <c r="D539" s="145"/>
      <c r="E539" s="145"/>
      <c r="F539" s="145"/>
      <c r="G539" s="102"/>
      <c r="H539" s="145"/>
      <c r="I539" s="145"/>
      <c r="J539" s="145"/>
      <c r="K539" s="145"/>
      <c r="L539" s="145"/>
      <c r="M539" s="145"/>
      <c r="N539" s="145"/>
      <c r="O539" s="145"/>
    </row>
    <row r="540" spans="1:15" x14ac:dyDescent="0.35">
      <c r="A540" s="145"/>
      <c r="B540" s="145"/>
      <c r="C540" s="145"/>
      <c r="D540" s="145"/>
      <c r="E540" s="145"/>
      <c r="F540" s="145"/>
      <c r="G540" s="102"/>
      <c r="H540" s="145"/>
      <c r="I540" s="145"/>
      <c r="J540" s="145"/>
      <c r="K540" s="145"/>
      <c r="L540" s="145"/>
      <c r="M540" s="145"/>
      <c r="N540" s="145"/>
      <c r="O540" s="145"/>
    </row>
    <row r="541" spans="1:15" x14ac:dyDescent="0.35">
      <c r="A541" s="145"/>
      <c r="B541" s="145"/>
      <c r="C541" s="145"/>
      <c r="D541" s="145"/>
      <c r="E541" s="145"/>
      <c r="F541" s="145"/>
      <c r="G541" s="102"/>
      <c r="H541" s="145"/>
      <c r="I541" s="145"/>
      <c r="J541" s="145"/>
      <c r="K541" s="145"/>
      <c r="L541" s="145"/>
      <c r="M541" s="145"/>
      <c r="N541" s="145"/>
      <c r="O541" s="145"/>
    </row>
    <row r="542" spans="1:15" x14ac:dyDescent="0.35">
      <c r="A542" s="145"/>
      <c r="B542" s="145"/>
      <c r="C542" s="145"/>
      <c r="D542" s="145"/>
      <c r="E542" s="145"/>
      <c r="F542" s="145"/>
      <c r="G542" s="102"/>
      <c r="H542" s="145"/>
      <c r="I542" s="145"/>
      <c r="J542" s="145"/>
      <c r="K542" s="145"/>
      <c r="L542" s="145"/>
      <c r="M542" s="145"/>
      <c r="N542" s="145"/>
      <c r="O542" s="145"/>
    </row>
    <row r="543" spans="1:15" x14ac:dyDescent="0.35">
      <c r="A543" s="145"/>
      <c r="B543" s="145"/>
      <c r="C543" s="145"/>
      <c r="D543" s="145"/>
      <c r="E543" s="145"/>
      <c r="F543" s="145"/>
      <c r="G543" s="102"/>
      <c r="H543" s="145"/>
      <c r="I543" s="145"/>
      <c r="J543" s="145"/>
      <c r="K543" s="145"/>
      <c r="L543" s="145"/>
      <c r="M543" s="145"/>
      <c r="N543" s="145"/>
      <c r="O543" s="145"/>
    </row>
    <row r="544" spans="1:15" x14ac:dyDescent="0.35">
      <c r="A544" s="145"/>
      <c r="B544" s="145"/>
      <c r="C544" s="145"/>
      <c r="D544" s="145"/>
      <c r="E544" s="145"/>
      <c r="F544" s="145"/>
      <c r="G544" s="102"/>
      <c r="H544" s="145"/>
      <c r="I544" s="145"/>
      <c r="J544" s="145"/>
      <c r="K544" s="145"/>
      <c r="L544" s="145"/>
      <c r="M544" s="145"/>
      <c r="N544" s="145"/>
      <c r="O544" s="145"/>
    </row>
    <row r="545" spans="1:15" x14ac:dyDescent="0.35">
      <c r="A545" s="145"/>
      <c r="B545" s="145"/>
      <c r="C545" s="145"/>
      <c r="D545" s="145"/>
      <c r="E545" s="145"/>
      <c r="F545" s="145"/>
      <c r="G545" s="102"/>
      <c r="H545" s="145"/>
      <c r="I545" s="145"/>
      <c r="J545" s="145"/>
      <c r="K545" s="145"/>
      <c r="L545" s="145"/>
      <c r="M545" s="145"/>
      <c r="N545" s="145"/>
      <c r="O545" s="145"/>
    </row>
    <row r="546" spans="1:15" x14ac:dyDescent="0.35">
      <c r="A546" s="145"/>
      <c r="B546" s="145"/>
      <c r="C546" s="145"/>
      <c r="D546" s="145"/>
      <c r="E546" s="145"/>
      <c r="F546" s="145"/>
      <c r="G546" s="102"/>
      <c r="H546" s="145"/>
      <c r="I546" s="145"/>
      <c r="J546" s="145"/>
      <c r="K546" s="145"/>
      <c r="L546" s="145"/>
      <c r="M546" s="145"/>
      <c r="N546" s="145"/>
      <c r="O546" s="145"/>
    </row>
    <row r="547" spans="1:15" x14ac:dyDescent="0.35">
      <c r="A547" s="145"/>
      <c r="B547" s="145"/>
      <c r="C547" s="145"/>
      <c r="D547" s="145"/>
      <c r="E547" s="145"/>
      <c r="F547" s="145"/>
      <c r="G547" s="102"/>
      <c r="H547" s="145"/>
      <c r="I547" s="145"/>
      <c r="J547" s="145"/>
      <c r="K547" s="145"/>
      <c r="L547" s="145"/>
      <c r="M547" s="145"/>
      <c r="N547" s="145"/>
      <c r="O547" s="145"/>
    </row>
    <row r="548" spans="1:15" x14ac:dyDescent="0.35">
      <c r="A548" s="145"/>
      <c r="B548" s="145"/>
      <c r="C548" s="145"/>
      <c r="D548" s="145"/>
      <c r="E548" s="145"/>
      <c r="F548" s="145"/>
      <c r="G548" s="102"/>
      <c r="H548" s="145"/>
      <c r="I548" s="145"/>
      <c r="J548" s="145"/>
      <c r="K548" s="145"/>
      <c r="L548" s="145"/>
      <c r="M548" s="145"/>
      <c r="N548" s="145"/>
      <c r="O548" s="145"/>
    </row>
    <row r="549" spans="1:15" x14ac:dyDescent="0.35">
      <c r="A549" s="145"/>
      <c r="B549" s="145"/>
      <c r="C549" s="145"/>
      <c r="D549" s="145"/>
      <c r="E549" s="145"/>
      <c r="F549" s="145"/>
      <c r="G549" s="102"/>
      <c r="H549" s="145"/>
      <c r="I549" s="145"/>
      <c r="J549" s="145"/>
      <c r="K549" s="145"/>
      <c r="L549" s="145"/>
      <c r="M549" s="145"/>
      <c r="N549" s="145"/>
      <c r="O549" s="145"/>
    </row>
    <row r="550" spans="1:15" x14ac:dyDescent="0.35">
      <c r="A550" s="145"/>
      <c r="B550" s="145"/>
      <c r="C550" s="145"/>
      <c r="D550" s="145"/>
      <c r="E550" s="145"/>
      <c r="F550" s="145"/>
      <c r="G550" s="102"/>
      <c r="H550" s="145"/>
      <c r="I550" s="145"/>
      <c r="J550" s="145"/>
      <c r="K550" s="145"/>
      <c r="L550" s="145"/>
      <c r="M550" s="145"/>
      <c r="N550" s="145"/>
      <c r="O550" s="145"/>
    </row>
    <row r="551" spans="1:15" x14ac:dyDescent="0.35">
      <c r="A551" s="145"/>
      <c r="B551" s="145"/>
      <c r="C551" s="145"/>
      <c r="D551" s="145"/>
      <c r="E551" s="145"/>
      <c r="F551" s="145"/>
      <c r="G551" s="102"/>
      <c r="H551" s="145"/>
      <c r="I551" s="145"/>
      <c r="J551" s="145"/>
      <c r="K551" s="145"/>
      <c r="L551" s="145"/>
      <c r="M551" s="145"/>
      <c r="N551" s="145"/>
      <c r="O551" s="145"/>
    </row>
    <row r="552" spans="1:15" x14ac:dyDescent="0.35">
      <c r="A552" s="145"/>
      <c r="B552" s="145"/>
      <c r="C552" s="145"/>
      <c r="D552" s="145"/>
      <c r="E552" s="145"/>
      <c r="F552" s="145"/>
      <c r="G552" s="102"/>
      <c r="H552" s="145"/>
      <c r="I552" s="145"/>
      <c r="J552" s="145"/>
      <c r="K552" s="145"/>
      <c r="L552" s="145"/>
      <c r="M552" s="145"/>
      <c r="N552" s="145"/>
      <c r="O552" s="145"/>
    </row>
    <row r="553" spans="1:15" x14ac:dyDescent="0.35">
      <c r="A553" s="145"/>
      <c r="B553" s="145"/>
      <c r="C553" s="145"/>
      <c r="D553" s="145"/>
      <c r="E553" s="145"/>
      <c r="F553" s="145"/>
      <c r="G553" s="102"/>
      <c r="H553" s="145"/>
      <c r="I553" s="145"/>
      <c r="J553" s="145"/>
      <c r="K553" s="145"/>
      <c r="L553" s="145"/>
      <c r="M553" s="145"/>
      <c r="N553" s="145"/>
      <c r="O553" s="145"/>
    </row>
    <row r="554" spans="1:15" x14ac:dyDescent="0.35">
      <c r="A554" s="145"/>
      <c r="B554" s="145"/>
      <c r="C554" s="145"/>
      <c r="D554" s="145"/>
      <c r="E554" s="145"/>
      <c r="F554" s="145"/>
      <c r="G554" s="102"/>
      <c r="H554" s="145"/>
      <c r="I554" s="145"/>
      <c r="J554" s="145"/>
      <c r="K554" s="145"/>
      <c r="L554" s="145"/>
      <c r="M554" s="145"/>
      <c r="N554" s="145"/>
      <c r="O554" s="145"/>
    </row>
    <row r="555" spans="1:15" x14ac:dyDescent="0.35">
      <c r="A555" s="145"/>
      <c r="B555" s="145"/>
      <c r="C555" s="145"/>
      <c r="D555" s="145"/>
      <c r="E555" s="145"/>
      <c r="F555" s="145"/>
      <c r="G555" s="102"/>
      <c r="H555" s="145"/>
      <c r="I555" s="145"/>
      <c r="J555" s="145"/>
      <c r="K555" s="145"/>
      <c r="L555" s="145"/>
      <c r="M555" s="145"/>
      <c r="N555" s="145"/>
      <c r="O555" s="145"/>
    </row>
    <row r="556" spans="1:15" x14ac:dyDescent="0.35">
      <c r="A556" s="145"/>
      <c r="B556" s="145"/>
      <c r="C556" s="145"/>
      <c r="D556" s="145"/>
      <c r="E556" s="145"/>
      <c r="F556" s="145"/>
      <c r="G556" s="102"/>
      <c r="H556" s="145"/>
      <c r="I556" s="145"/>
      <c r="J556" s="145"/>
      <c r="K556" s="145"/>
      <c r="L556" s="145"/>
      <c r="M556" s="145"/>
      <c r="N556" s="145"/>
      <c r="O556" s="145"/>
    </row>
    <row r="557" spans="1:15" x14ac:dyDescent="0.35">
      <c r="A557" s="145"/>
      <c r="B557" s="145"/>
      <c r="C557" s="145"/>
      <c r="D557" s="145"/>
      <c r="E557" s="145"/>
      <c r="F557" s="145"/>
      <c r="G557" s="102"/>
      <c r="H557" s="145"/>
      <c r="I557" s="145"/>
      <c r="J557" s="145"/>
      <c r="K557" s="145"/>
      <c r="L557" s="145"/>
      <c r="M557" s="145"/>
      <c r="N557" s="145"/>
      <c r="O557" s="145"/>
    </row>
    <row r="558" spans="1:15" x14ac:dyDescent="0.35">
      <c r="A558" s="145"/>
      <c r="B558" s="145"/>
      <c r="C558" s="145"/>
      <c r="D558" s="145"/>
      <c r="E558" s="145"/>
      <c r="F558" s="145"/>
      <c r="G558" s="102"/>
      <c r="H558" s="145"/>
      <c r="I558" s="145"/>
      <c r="J558" s="145"/>
      <c r="K558" s="145"/>
      <c r="L558" s="145"/>
      <c r="M558" s="145"/>
      <c r="N558" s="145"/>
      <c r="O558" s="145"/>
    </row>
    <row r="559" spans="1:15" x14ac:dyDescent="0.35">
      <c r="A559" s="145"/>
      <c r="B559" s="145"/>
      <c r="C559" s="145"/>
      <c r="D559" s="145"/>
      <c r="E559" s="145"/>
      <c r="F559" s="145"/>
      <c r="G559" s="102"/>
      <c r="H559" s="145"/>
      <c r="I559" s="145"/>
      <c r="J559" s="145"/>
      <c r="K559" s="145"/>
      <c r="L559" s="145"/>
      <c r="M559" s="145"/>
      <c r="N559" s="145"/>
      <c r="O559" s="145"/>
    </row>
    <row r="560" spans="1:15" x14ac:dyDescent="0.35">
      <c r="A560" s="145"/>
      <c r="B560" s="145"/>
      <c r="C560" s="145"/>
      <c r="D560" s="145"/>
      <c r="E560" s="145"/>
      <c r="F560" s="145"/>
      <c r="G560" s="102"/>
      <c r="H560" s="145"/>
      <c r="I560" s="145"/>
      <c r="J560" s="145"/>
      <c r="K560" s="145"/>
      <c r="L560" s="145"/>
      <c r="M560" s="145"/>
      <c r="N560" s="145"/>
      <c r="O560" s="145"/>
    </row>
    <row r="561" spans="1:15" x14ac:dyDescent="0.35">
      <c r="A561" s="145"/>
      <c r="B561" s="145"/>
      <c r="C561" s="145"/>
      <c r="D561" s="145"/>
      <c r="E561" s="145"/>
      <c r="F561" s="145"/>
      <c r="G561" s="102"/>
      <c r="H561" s="145"/>
      <c r="I561" s="145"/>
      <c r="J561" s="145"/>
      <c r="K561" s="145"/>
      <c r="L561" s="145"/>
      <c r="M561" s="145"/>
      <c r="N561" s="145"/>
      <c r="O561" s="145"/>
    </row>
    <row r="562" spans="1:15" x14ac:dyDescent="0.35">
      <c r="A562" s="145"/>
      <c r="B562" s="145"/>
      <c r="C562" s="145"/>
      <c r="D562" s="145"/>
      <c r="E562" s="145"/>
      <c r="F562" s="145"/>
      <c r="G562" s="102"/>
      <c r="H562" s="145"/>
      <c r="I562" s="145"/>
      <c r="J562" s="145"/>
      <c r="K562" s="145"/>
      <c r="L562" s="145"/>
      <c r="M562" s="145"/>
      <c r="N562" s="145"/>
      <c r="O562" s="145"/>
    </row>
    <row r="563" spans="1:15" x14ac:dyDescent="0.35">
      <c r="A563" s="145"/>
      <c r="B563" s="145"/>
      <c r="C563" s="145"/>
      <c r="D563" s="145"/>
      <c r="E563" s="145"/>
      <c r="F563" s="145"/>
      <c r="G563" s="102"/>
      <c r="H563" s="145"/>
      <c r="I563" s="145"/>
      <c r="J563" s="145"/>
      <c r="K563" s="145"/>
      <c r="L563" s="145"/>
      <c r="M563" s="145"/>
      <c r="N563" s="145"/>
      <c r="O563" s="145"/>
    </row>
    <row r="564" spans="1:15" x14ac:dyDescent="0.35">
      <c r="A564" s="145"/>
      <c r="B564" s="145"/>
      <c r="C564" s="145"/>
      <c r="D564" s="145"/>
      <c r="E564" s="145"/>
      <c r="F564" s="145"/>
      <c r="G564" s="102"/>
      <c r="H564" s="145"/>
      <c r="I564" s="145"/>
      <c r="J564" s="145"/>
      <c r="K564" s="145"/>
      <c r="L564" s="145"/>
      <c r="M564" s="145"/>
      <c r="N564" s="145"/>
      <c r="O564" s="145"/>
    </row>
    <row r="565" spans="1:15" x14ac:dyDescent="0.35">
      <c r="A565" s="145"/>
      <c r="B565" s="145"/>
      <c r="C565" s="145"/>
      <c r="D565" s="145"/>
      <c r="E565" s="145"/>
      <c r="F565" s="145"/>
      <c r="G565" s="102"/>
      <c r="H565" s="145"/>
      <c r="I565" s="145"/>
      <c r="J565" s="145"/>
      <c r="K565" s="145"/>
      <c r="L565" s="145"/>
      <c r="M565" s="145"/>
    </row>
    <row r="566" spans="1:15" x14ac:dyDescent="0.35">
      <c r="A566" s="145"/>
      <c r="B566" s="145"/>
      <c r="C566" s="145"/>
      <c r="D566" s="145"/>
      <c r="E566" s="145"/>
      <c r="F566" s="145"/>
      <c r="G566" s="102"/>
      <c r="H566" s="145"/>
      <c r="I566" s="145"/>
      <c r="J566" s="145"/>
      <c r="K566" s="145"/>
      <c r="L566" s="145"/>
      <c r="M566" s="145"/>
      <c r="N566" s="145"/>
      <c r="O566" s="145"/>
    </row>
    <row r="567" spans="1:15" x14ac:dyDescent="0.35">
      <c r="A567" s="145"/>
      <c r="B567" s="145"/>
      <c r="C567" s="145"/>
      <c r="D567" s="145"/>
      <c r="E567" s="145"/>
      <c r="F567" s="145"/>
      <c r="G567" s="102"/>
      <c r="H567" s="145"/>
      <c r="I567" s="145"/>
      <c r="J567" s="145"/>
      <c r="K567" s="145"/>
      <c r="L567" s="145"/>
      <c r="M567" s="145"/>
      <c r="N567" s="145"/>
      <c r="O567" s="145"/>
    </row>
    <row r="568" spans="1:15" x14ac:dyDescent="0.35">
      <c r="A568" s="145"/>
      <c r="B568" s="145"/>
      <c r="C568" s="145"/>
      <c r="D568" s="145"/>
      <c r="E568" s="145"/>
      <c r="F568" s="145"/>
      <c r="G568" s="102"/>
      <c r="H568" s="145"/>
      <c r="I568" s="145"/>
      <c r="J568" s="145"/>
      <c r="K568" s="145"/>
      <c r="L568" s="145"/>
      <c r="M568" s="145"/>
      <c r="N568" s="145"/>
      <c r="O568" s="145"/>
    </row>
    <row r="569" spans="1:15" x14ac:dyDescent="0.35">
      <c r="A569" s="145"/>
      <c r="B569" s="145"/>
      <c r="C569" s="145"/>
      <c r="D569" s="145"/>
      <c r="E569" s="145"/>
      <c r="F569" s="145"/>
      <c r="G569" s="102"/>
      <c r="H569" s="145"/>
      <c r="I569" s="145"/>
      <c r="J569" s="145"/>
      <c r="K569" s="145"/>
      <c r="L569" s="145"/>
      <c r="M569" s="145"/>
      <c r="N569" s="145"/>
      <c r="O569" s="145"/>
    </row>
    <row r="570" spans="1:15" x14ac:dyDescent="0.35">
      <c r="A570" s="145"/>
      <c r="B570" s="145"/>
      <c r="C570" s="145"/>
      <c r="D570" s="145"/>
      <c r="E570" s="145"/>
      <c r="F570" s="145"/>
      <c r="G570" s="102"/>
      <c r="H570" s="145"/>
      <c r="I570" s="145"/>
      <c r="J570" s="145"/>
      <c r="K570" s="145"/>
      <c r="L570" s="145"/>
      <c r="M570" s="145"/>
    </row>
    <row r="571" spans="1:15" x14ac:dyDescent="0.35">
      <c r="A571" s="145"/>
      <c r="B571" s="145"/>
      <c r="C571" s="145"/>
      <c r="D571" s="145"/>
      <c r="E571" s="145"/>
      <c r="F571" s="145"/>
      <c r="G571" s="102"/>
      <c r="H571" s="145"/>
      <c r="I571" s="145"/>
      <c r="J571" s="145"/>
      <c r="K571" s="145"/>
      <c r="L571" s="145"/>
      <c r="M571" s="145"/>
      <c r="N571" s="145"/>
      <c r="O571" s="145"/>
    </row>
    <row r="572" spans="1:15" x14ac:dyDescent="0.35">
      <c r="A572" s="145"/>
      <c r="B572" s="145"/>
      <c r="C572" s="145"/>
      <c r="D572" s="145"/>
      <c r="E572" s="145"/>
      <c r="F572" s="145"/>
      <c r="G572" s="102"/>
      <c r="H572" s="145"/>
      <c r="I572" s="145"/>
      <c r="J572" s="145"/>
      <c r="K572" s="145"/>
      <c r="L572" s="145"/>
      <c r="M572" s="145"/>
      <c r="N572" s="31"/>
      <c r="O572" s="31"/>
    </row>
    <row r="573" spans="1:15" x14ac:dyDescent="0.35">
      <c r="A573" s="145"/>
      <c r="B573" s="145"/>
      <c r="C573" s="145"/>
      <c r="D573" s="145"/>
      <c r="E573" s="145"/>
      <c r="F573" s="145"/>
      <c r="G573" s="102"/>
      <c r="H573" s="145"/>
      <c r="I573" s="145"/>
      <c r="J573" s="145"/>
      <c r="K573" s="145"/>
      <c r="L573" s="145"/>
      <c r="M573" s="145"/>
      <c r="N573" s="145"/>
      <c r="O573" s="145"/>
    </row>
    <row r="574" spans="1:15" x14ac:dyDescent="0.35">
      <c r="A574" s="145"/>
      <c r="B574" s="145"/>
      <c r="C574" s="145"/>
      <c r="D574" s="145"/>
      <c r="E574" s="145"/>
      <c r="F574" s="145"/>
      <c r="G574" s="102"/>
      <c r="H574" s="145"/>
      <c r="I574" s="145"/>
      <c r="J574" s="145"/>
      <c r="K574" s="145"/>
      <c r="L574" s="145"/>
      <c r="M574" s="145"/>
      <c r="N574" s="145"/>
      <c r="O574" s="145"/>
    </row>
    <row r="575" spans="1:15" x14ac:dyDescent="0.35">
      <c r="A575" s="145"/>
      <c r="B575" s="145"/>
      <c r="C575" s="145"/>
      <c r="D575" s="145"/>
      <c r="E575" s="145"/>
      <c r="F575" s="145"/>
      <c r="G575" s="102"/>
      <c r="H575" s="145"/>
      <c r="I575" s="145"/>
      <c r="J575" s="145"/>
      <c r="K575" s="145"/>
      <c r="L575" s="145"/>
      <c r="M575" s="145"/>
      <c r="N575" s="145"/>
      <c r="O575" s="145"/>
    </row>
    <row r="576" spans="1:15" x14ac:dyDescent="0.35">
      <c r="A576" s="145"/>
      <c r="B576" s="145"/>
      <c r="C576" s="145"/>
      <c r="D576" s="145"/>
      <c r="E576" s="145"/>
      <c r="F576" s="145"/>
      <c r="G576" s="102"/>
      <c r="H576" s="145"/>
      <c r="I576" s="145"/>
      <c r="J576" s="145"/>
      <c r="K576" s="145"/>
      <c r="L576" s="145"/>
      <c r="M576" s="145"/>
      <c r="N576" s="145"/>
      <c r="O576" s="145"/>
    </row>
    <row r="577" spans="1:32" x14ac:dyDescent="0.35">
      <c r="A577" s="145"/>
      <c r="B577" s="145"/>
      <c r="C577" s="145"/>
      <c r="D577" s="145"/>
      <c r="E577" s="145"/>
      <c r="F577" s="145"/>
      <c r="G577" s="102"/>
      <c r="H577" s="145"/>
      <c r="I577" s="145"/>
      <c r="J577" s="145"/>
      <c r="K577" s="145"/>
      <c r="L577" s="145"/>
      <c r="M577" s="145"/>
      <c r="N577" s="145"/>
      <c r="O577" s="145"/>
    </row>
    <row r="578" spans="1:32" x14ac:dyDescent="0.35">
      <c r="A578" s="145"/>
      <c r="B578" s="145"/>
      <c r="C578" s="145"/>
      <c r="D578" s="145"/>
      <c r="E578" s="145"/>
      <c r="F578" s="145"/>
      <c r="G578" s="102"/>
      <c r="H578" s="145"/>
      <c r="I578" s="145"/>
      <c r="J578" s="145"/>
      <c r="K578" s="145"/>
      <c r="L578" s="145"/>
      <c r="M578" s="145"/>
      <c r="N578" s="145"/>
      <c r="O578" s="145"/>
    </row>
    <row r="579" spans="1:32" x14ac:dyDescent="0.35">
      <c r="A579" s="145"/>
      <c r="B579" s="145"/>
      <c r="C579" s="145"/>
      <c r="D579" s="145"/>
      <c r="E579" s="145"/>
      <c r="F579" s="145"/>
      <c r="G579" s="102"/>
      <c r="H579" s="145"/>
      <c r="I579" s="145"/>
      <c r="J579" s="145"/>
      <c r="K579" s="145"/>
      <c r="L579" s="145"/>
      <c r="M579" s="145"/>
      <c r="N579" s="145"/>
      <c r="O579" s="145"/>
    </row>
    <row r="580" spans="1:32" x14ac:dyDescent="0.35">
      <c r="A580" s="145"/>
      <c r="B580" s="145"/>
      <c r="C580" s="145"/>
      <c r="D580" s="145"/>
      <c r="E580" s="145"/>
      <c r="F580" s="145"/>
      <c r="G580" s="102"/>
      <c r="H580" s="145"/>
      <c r="I580" s="145"/>
      <c r="J580" s="145"/>
      <c r="K580" s="145"/>
      <c r="L580" s="145"/>
      <c r="M580" s="145"/>
      <c r="N580" s="145"/>
      <c r="O580" s="145"/>
    </row>
    <row r="581" spans="1:32" x14ac:dyDescent="0.35">
      <c r="A581" s="145"/>
      <c r="B581" s="145"/>
      <c r="C581" s="145"/>
      <c r="D581" s="145"/>
      <c r="E581" s="145"/>
      <c r="F581" s="145"/>
      <c r="G581" s="102"/>
      <c r="H581" s="145"/>
      <c r="I581" s="145"/>
      <c r="J581" s="145"/>
      <c r="K581" s="145"/>
      <c r="L581" s="145"/>
      <c r="M581" s="145"/>
      <c r="N581" s="145"/>
      <c r="O581" s="145"/>
    </row>
    <row r="582" spans="1:32" x14ac:dyDescent="0.35">
      <c r="A582" s="145"/>
      <c r="B582" s="145"/>
      <c r="C582" s="145"/>
      <c r="D582" s="145"/>
      <c r="E582" s="145"/>
      <c r="F582" s="145"/>
      <c r="G582" s="102"/>
      <c r="H582" s="145"/>
      <c r="I582" s="145"/>
      <c r="J582" s="145"/>
      <c r="K582" s="145"/>
      <c r="L582" s="145"/>
      <c r="M582" s="145"/>
      <c r="N582" s="145"/>
      <c r="O582" s="145"/>
    </row>
    <row r="583" spans="1:32" x14ac:dyDescent="0.35">
      <c r="A583" s="145"/>
      <c r="B583" s="145"/>
      <c r="C583" s="145"/>
      <c r="D583" s="145"/>
      <c r="E583" s="145"/>
      <c r="F583" s="145"/>
      <c r="G583" s="102"/>
      <c r="H583" s="145"/>
      <c r="I583" s="145"/>
      <c r="J583" s="145"/>
      <c r="K583" s="145"/>
      <c r="L583" s="145"/>
      <c r="M583" s="145"/>
      <c r="N583" s="81"/>
      <c r="O583" s="81"/>
      <c r="P583" s="79"/>
      <c r="R583" s="78"/>
      <c r="T583" s="81"/>
      <c r="U583" s="81"/>
      <c r="W583" s="81"/>
      <c r="X583" s="81"/>
      <c r="Y583" s="81"/>
      <c r="Z583" s="81"/>
      <c r="AA583" s="81"/>
      <c r="AB583" s="81"/>
      <c r="AC583" s="81"/>
      <c r="AD583" s="81"/>
      <c r="AE583" s="81"/>
      <c r="AF583" s="81"/>
    </row>
    <row r="584" spans="1:32" x14ac:dyDescent="0.35">
      <c r="A584" s="145"/>
      <c r="B584" s="145"/>
      <c r="C584" s="145"/>
      <c r="D584" s="145"/>
      <c r="E584" s="145"/>
      <c r="F584" s="145"/>
      <c r="G584" s="102"/>
      <c r="H584" s="145"/>
      <c r="I584" s="145"/>
      <c r="J584" s="145"/>
      <c r="K584" s="145"/>
      <c r="L584" s="145"/>
      <c r="M584" s="145"/>
      <c r="N584" s="145"/>
      <c r="O584" s="145"/>
    </row>
    <row r="585" spans="1:32" x14ac:dyDescent="0.35">
      <c r="A585" s="145"/>
      <c r="B585" s="145"/>
      <c r="C585" s="145"/>
      <c r="D585" s="145"/>
      <c r="E585" s="145"/>
      <c r="F585" s="145"/>
      <c r="G585" s="102"/>
      <c r="H585" s="145"/>
      <c r="I585" s="145"/>
      <c r="J585" s="145"/>
      <c r="K585" s="145"/>
      <c r="L585" s="145"/>
      <c r="M585" s="145"/>
      <c r="N585" s="145"/>
      <c r="O585" s="145"/>
    </row>
    <row r="586" spans="1:32" x14ac:dyDescent="0.35">
      <c r="A586" s="145"/>
      <c r="B586" s="145"/>
      <c r="C586" s="145"/>
      <c r="D586" s="145"/>
      <c r="E586" s="145"/>
      <c r="F586" s="145"/>
      <c r="G586" s="102"/>
      <c r="H586" s="145"/>
      <c r="I586" s="145"/>
      <c r="J586" s="145"/>
      <c r="K586" s="145"/>
      <c r="L586" s="145"/>
      <c r="M586" s="145"/>
      <c r="N586" s="145"/>
      <c r="O586" s="145"/>
    </row>
    <row r="587" spans="1:32" x14ac:dyDescent="0.35">
      <c r="A587" s="145"/>
      <c r="B587" s="145"/>
      <c r="C587" s="145"/>
      <c r="D587" s="145"/>
      <c r="E587" s="145"/>
      <c r="F587" s="145"/>
      <c r="G587" s="102"/>
      <c r="H587" s="145"/>
      <c r="I587" s="145"/>
      <c r="J587" s="145"/>
      <c r="K587" s="145"/>
      <c r="L587" s="145"/>
      <c r="M587" s="145"/>
      <c r="N587" s="145"/>
      <c r="O587" s="145"/>
    </row>
    <row r="588" spans="1:32" x14ac:dyDescent="0.35">
      <c r="A588" s="145"/>
      <c r="B588" s="145"/>
      <c r="C588" s="145"/>
      <c r="D588" s="145"/>
      <c r="E588" s="145"/>
      <c r="F588" s="145"/>
      <c r="G588" s="102"/>
      <c r="H588" s="145"/>
      <c r="I588" s="145"/>
      <c r="J588" s="145"/>
      <c r="K588" s="145"/>
      <c r="L588" s="145"/>
      <c r="M588" s="145"/>
      <c r="N588" s="145"/>
      <c r="O588" s="145"/>
    </row>
    <row r="589" spans="1:32" x14ac:dyDescent="0.35">
      <c r="A589" s="145"/>
      <c r="B589" s="145"/>
      <c r="C589" s="145"/>
      <c r="D589" s="145"/>
      <c r="E589" s="145"/>
      <c r="F589" s="145"/>
      <c r="G589" s="102"/>
      <c r="H589" s="145"/>
      <c r="I589" s="145"/>
      <c r="J589" s="145"/>
      <c r="K589" s="145"/>
      <c r="L589" s="145"/>
      <c r="M589" s="145"/>
      <c r="N589" s="145"/>
      <c r="O589" s="145"/>
    </row>
    <row r="590" spans="1:32" x14ac:dyDescent="0.35">
      <c r="A590" s="145"/>
      <c r="B590" s="145"/>
      <c r="C590" s="145"/>
      <c r="D590" s="145"/>
      <c r="E590" s="145"/>
      <c r="F590" s="145"/>
      <c r="G590" s="102"/>
      <c r="H590" s="145"/>
      <c r="I590" s="145"/>
      <c r="J590" s="145"/>
      <c r="K590" s="145"/>
      <c r="L590" s="145"/>
      <c r="M590" s="145"/>
      <c r="N590" s="145"/>
      <c r="O590" s="145"/>
    </row>
    <row r="591" spans="1:32" x14ac:dyDescent="0.35">
      <c r="A591" s="145"/>
      <c r="B591" s="145"/>
      <c r="C591" s="145"/>
      <c r="D591" s="145"/>
      <c r="E591" s="145"/>
      <c r="F591" s="145"/>
      <c r="G591" s="102"/>
      <c r="H591" s="145"/>
      <c r="I591" s="145"/>
      <c r="J591" s="145"/>
      <c r="K591" s="145"/>
      <c r="L591" s="145"/>
      <c r="M591" s="145"/>
      <c r="N591" s="145"/>
      <c r="O591" s="145"/>
    </row>
    <row r="592" spans="1:32" x14ac:dyDescent="0.35">
      <c r="A592" s="145"/>
      <c r="B592" s="145"/>
      <c r="C592" s="145"/>
      <c r="D592" s="145"/>
      <c r="E592" s="145"/>
      <c r="F592" s="145"/>
      <c r="G592" s="102"/>
      <c r="H592" s="145"/>
      <c r="I592" s="145"/>
      <c r="J592" s="145"/>
      <c r="K592" s="145"/>
      <c r="L592" s="145"/>
      <c r="M592" s="145"/>
      <c r="N592" s="145"/>
      <c r="O592" s="145"/>
    </row>
    <row r="593" spans="1:15" x14ac:dyDescent="0.35">
      <c r="A593" s="145"/>
      <c r="B593" s="145"/>
      <c r="C593" s="145"/>
      <c r="D593" s="145"/>
      <c r="E593" s="145"/>
      <c r="F593" s="145"/>
      <c r="G593" s="102"/>
      <c r="H593" s="145"/>
      <c r="I593" s="145"/>
      <c r="J593" s="145"/>
      <c r="K593" s="145"/>
      <c r="L593" s="145"/>
      <c r="M593" s="145"/>
    </row>
    <row r="594" spans="1:15" x14ac:dyDescent="0.35">
      <c r="A594" s="145"/>
      <c r="B594" s="145"/>
      <c r="C594" s="145"/>
      <c r="D594" s="145"/>
      <c r="E594" s="145"/>
      <c r="F594" s="145"/>
      <c r="G594" s="102"/>
      <c r="H594" s="145"/>
      <c r="I594" s="145"/>
      <c r="J594" s="145"/>
      <c r="K594" s="145"/>
      <c r="L594" s="145"/>
      <c r="M594" s="145"/>
    </row>
    <row r="595" spans="1:15" x14ac:dyDescent="0.35">
      <c r="A595" s="145"/>
      <c r="B595" s="145"/>
      <c r="C595" s="145"/>
      <c r="D595" s="145"/>
      <c r="E595" s="145"/>
      <c r="F595" s="145"/>
      <c r="G595" s="102"/>
      <c r="H595" s="145"/>
      <c r="I595" s="145"/>
      <c r="J595" s="145"/>
      <c r="K595" s="145"/>
      <c r="L595" s="145"/>
      <c r="M595" s="145"/>
      <c r="N595" s="145"/>
      <c r="O595" s="145"/>
    </row>
    <row r="596" spans="1:15" x14ac:dyDescent="0.35">
      <c r="A596" s="145"/>
      <c r="B596" s="145"/>
      <c r="C596" s="145"/>
      <c r="D596" s="145"/>
      <c r="E596" s="145"/>
      <c r="F596" s="145"/>
      <c r="G596" s="102"/>
      <c r="H596" s="145"/>
      <c r="I596" s="145"/>
      <c r="J596" s="145"/>
      <c r="K596" s="145"/>
      <c r="L596" s="145"/>
      <c r="M596" s="145"/>
      <c r="N596" s="145"/>
      <c r="O596" s="145"/>
    </row>
    <row r="597" spans="1:15" x14ac:dyDescent="0.35">
      <c r="A597" s="145"/>
      <c r="B597" s="145"/>
      <c r="C597" s="145"/>
      <c r="D597" s="145"/>
      <c r="E597" s="145"/>
      <c r="F597" s="145"/>
      <c r="G597" s="102"/>
      <c r="H597" s="145"/>
      <c r="I597" s="145"/>
      <c r="J597" s="145"/>
      <c r="K597" s="145"/>
      <c r="L597" s="145"/>
      <c r="M597" s="145"/>
      <c r="N597" s="145"/>
      <c r="O597" s="145"/>
    </row>
    <row r="598" spans="1:15" x14ac:dyDescent="0.35">
      <c r="A598" s="145"/>
      <c r="B598" s="145"/>
      <c r="C598" s="145"/>
      <c r="D598" s="145"/>
      <c r="E598" s="145"/>
      <c r="F598" s="145"/>
      <c r="G598" s="102"/>
      <c r="H598" s="145"/>
      <c r="I598" s="145"/>
      <c r="J598" s="145"/>
      <c r="K598" s="145"/>
      <c r="L598" s="145"/>
      <c r="M598" s="145"/>
    </row>
    <row r="599" spans="1:15" x14ac:dyDescent="0.35">
      <c r="A599" s="145"/>
      <c r="B599" s="145"/>
      <c r="C599" s="145"/>
      <c r="D599" s="145"/>
      <c r="E599" s="145"/>
      <c r="F599" s="145"/>
      <c r="G599" s="102"/>
      <c r="H599" s="145"/>
      <c r="I599" s="145"/>
      <c r="J599" s="145"/>
      <c r="K599" s="145"/>
      <c r="L599" s="145"/>
      <c r="M599" s="145"/>
      <c r="N599" s="31"/>
      <c r="O599" s="31"/>
    </row>
    <row r="600" spans="1:15" x14ac:dyDescent="0.35">
      <c r="A600" s="145"/>
      <c r="B600" s="145"/>
      <c r="C600" s="145"/>
      <c r="D600" s="145"/>
      <c r="E600" s="145"/>
      <c r="F600" s="145"/>
      <c r="G600" s="102"/>
      <c r="H600" s="145"/>
      <c r="I600" s="145"/>
      <c r="J600" s="145"/>
      <c r="K600" s="145"/>
      <c r="L600" s="145"/>
      <c r="M600" s="145"/>
    </row>
    <row r="601" spans="1:15" x14ac:dyDescent="0.35">
      <c r="A601" s="145"/>
      <c r="B601" s="145"/>
      <c r="C601" s="145"/>
      <c r="D601" s="145"/>
      <c r="E601" s="145"/>
      <c r="F601" s="145"/>
      <c r="G601" s="102"/>
      <c r="H601" s="145"/>
      <c r="I601" s="145"/>
      <c r="J601" s="145"/>
      <c r="K601" s="145"/>
      <c r="L601" s="145"/>
      <c r="M601" s="145"/>
    </row>
    <row r="602" spans="1:15" x14ac:dyDescent="0.35">
      <c r="A602" s="145"/>
      <c r="B602" s="145"/>
      <c r="C602" s="145"/>
      <c r="D602" s="145"/>
      <c r="E602" s="145"/>
      <c r="F602" s="145"/>
      <c r="G602" s="102"/>
      <c r="H602" s="145"/>
      <c r="I602" s="145"/>
      <c r="J602" s="145"/>
      <c r="K602" s="145"/>
      <c r="L602" s="145"/>
      <c r="M602" s="145"/>
    </row>
    <row r="603" spans="1:15" x14ac:dyDescent="0.35">
      <c r="A603" s="145"/>
      <c r="B603" s="145"/>
      <c r="C603" s="145"/>
      <c r="D603" s="145"/>
      <c r="E603" s="145"/>
      <c r="F603" s="145"/>
      <c r="G603" s="102"/>
      <c r="H603" s="145"/>
      <c r="I603" s="145"/>
      <c r="J603" s="145"/>
      <c r="K603" s="145"/>
      <c r="L603" s="145"/>
      <c r="M603" s="145"/>
      <c r="N603" s="145"/>
      <c r="O603" s="145"/>
    </row>
    <row r="604" spans="1:15" x14ac:dyDescent="0.35">
      <c r="A604" s="145"/>
      <c r="B604" s="145"/>
      <c r="C604" s="145"/>
      <c r="D604" s="145"/>
      <c r="E604" s="145"/>
      <c r="F604" s="145"/>
      <c r="G604" s="102"/>
      <c r="H604" s="145"/>
      <c r="I604" s="145"/>
      <c r="J604" s="145"/>
      <c r="K604" s="145"/>
      <c r="L604" s="145"/>
      <c r="M604" s="145"/>
    </row>
    <row r="605" spans="1:15" x14ac:dyDescent="0.35">
      <c r="A605" s="145"/>
      <c r="B605" s="145"/>
      <c r="C605" s="145"/>
      <c r="D605" s="145"/>
      <c r="E605" s="145"/>
      <c r="F605" s="145"/>
      <c r="G605" s="102"/>
      <c r="H605" s="145"/>
      <c r="I605" s="145"/>
      <c r="J605" s="145"/>
      <c r="K605" s="145"/>
      <c r="L605" s="145"/>
      <c r="M605" s="145"/>
    </row>
    <row r="606" spans="1:15" x14ac:dyDescent="0.35">
      <c r="A606" s="145"/>
      <c r="B606" s="145"/>
      <c r="C606" s="145"/>
      <c r="D606" s="145"/>
      <c r="E606" s="145"/>
      <c r="F606" s="145"/>
      <c r="G606" s="102"/>
      <c r="H606" s="145"/>
      <c r="I606" s="145"/>
      <c r="J606" s="145"/>
      <c r="K606" s="145"/>
      <c r="L606" s="145"/>
      <c r="M606" s="145"/>
    </row>
    <row r="607" spans="1:15" x14ac:dyDescent="0.35">
      <c r="A607" s="145"/>
      <c r="B607" s="145"/>
      <c r="C607" s="145"/>
      <c r="D607" s="145"/>
      <c r="E607" s="145"/>
      <c r="F607" s="145"/>
      <c r="G607" s="102"/>
      <c r="H607" s="145"/>
      <c r="I607" s="145"/>
      <c r="J607" s="145"/>
      <c r="K607" s="145"/>
      <c r="L607" s="145"/>
      <c r="M607" s="145"/>
    </row>
    <row r="608" spans="1:15" x14ac:dyDescent="0.35">
      <c r="A608" s="145"/>
      <c r="B608" s="145"/>
      <c r="C608" s="145"/>
      <c r="D608" s="145"/>
      <c r="E608" s="145"/>
      <c r="F608" s="145"/>
      <c r="G608" s="102"/>
      <c r="H608" s="145"/>
      <c r="I608" s="145"/>
      <c r="J608" s="145"/>
      <c r="K608" s="145"/>
      <c r="L608" s="145"/>
      <c r="M608" s="145"/>
      <c r="N608" s="145"/>
      <c r="O608" s="145"/>
    </row>
    <row r="609" spans="1:15" x14ac:dyDescent="0.35">
      <c r="A609" s="145"/>
      <c r="B609" s="145"/>
      <c r="C609" s="145"/>
      <c r="D609" s="145"/>
      <c r="E609" s="145"/>
      <c r="F609" s="145"/>
      <c r="G609" s="102"/>
      <c r="H609" s="145"/>
      <c r="I609" s="145"/>
      <c r="J609" s="145"/>
      <c r="K609" s="145"/>
      <c r="L609" s="145"/>
      <c r="M609" s="145"/>
      <c r="N609" s="31"/>
      <c r="O609" s="31"/>
    </row>
    <row r="610" spans="1:15" x14ac:dyDescent="0.35">
      <c r="A610" s="145"/>
      <c r="B610" s="145"/>
      <c r="C610" s="145"/>
      <c r="D610" s="145"/>
      <c r="E610" s="145"/>
      <c r="F610" s="145"/>
      <c r="G610" s="102"/>
      <c r="H610" s="145"/>
      <c r="I610" s="145"/>
      <c r="J610" s="145"/>
      <c r="K610" s="145"/>
      <c r="L610" s="145"/>
      <c r="M610" s="145"/>
      <c r="N610" s="145"/>
      <c r="O610" s="145"/>
    </row>
    <row r="611" spans="1:15" x14ac:dyDescent="0.35">
      <c r="A611" s="145"/>
      <c r="B611" s="145"/>
      <c r="C611" s="145"/>
      <c r="D611" s="145"/>
      <c r="E611" s="145"/>
      <c r="F611" s="145"/>
      <c r="G611" s="102"/>
      <c r="H611" s="145"/>
      <c r="I611" s="145"/>
      <c r="J611" s="145"/>
      <c r="K611" s="145"/>
      <c r="L611" s="145"/>
      <c r="M611" s="145"/>
      <c r="N611" s="145"/>
      <c r="O611" s="145"/>
    </row>
    <row r="612" spans="1:15" x14ac:dyDescent="0.35">
      <c r="A612" s="145"/>
      <c r="B612" s="145"/>
      <c r="C612" s="145"/>
      <c r="D612" s="145"/>
      <c r="E612" s="145"/>
      <c r="F612" s="145"/>
      <c r="G612" s="102"/>
      <c r="H612" s="145"/>
      <c r="I612" s="145"/>
      <c r="J612" s="145"/>
      <c r="K612" s="145"/>
      <c r="L612" s="145"/>
      <c r="M612" s="145"/>
      <c r="N612" s="145"/>
      <c r="O612" s="145"/>
    </row>
    <row r="613" spans="1:15" x14ac:dyDescent="0.35">
      <c r="A613" s="145"/>
      <c r="B613" s="145"/>
      <c r="C613" s="145"/>
      <c r="D613" s="145"/>
      <c r="E613" s="145"/>
      <c r="F613" s="145"/>
      <c r="G613" s="102"/>
      <c r="H613" s="145"/>
      <c r="I613" s="145"/>
      <c r="J613" s="145"/>
      <c r="K613" s="145"/>
      <c r="L613" s="145"/>
      <c r="M613" s="145"/>
      <c r="N613" s="145"/>
      <c r="O613" s="145"/>
    </row>
    <row r="614" spans="1:15" x14ac:dyDescent="0.35">
      <c r="A614" s="145"/>
      <c r="B614" s="145"/>
      <c r="C614" s="145"/>
      <c r="D614" s="145"/>
      <c r="E614" s="145"/>
      <c r="F614" s="145"/>
      <c r="G614" s="102"/>
      <c r="H614" s="145"/>
      <c r="I614" s="145"/>
      <c r="J614" s="145"/>
      <c r="K614" s="145"/>
      <c r="L614" s="145"/>
      <c r="M614" s="145"/>
      <c r="N614" s="145"/>
      <c r="O614" s="145"/>
    </row>
    <row r="615" spans="1:15" x14ac:dyDescent="0.35">
      <c r="A615" s="145"/>
      <c r="B615" s="145"/>
      <c r="C615" s="145"/>
      <c r="D615" s="145"/>
      <c r="E615" s="145"/>
      <c r="F615" s="145"/>
      <c r="G615" s="102"/>
      <c r="H615" s="145"/>
      <c r="I615" s="145"/>
      <c r="J615" s="145"/>
      <c r="K615" s="145"/>
      <c r="L615" s="145"/>
      <c r="M615" s="145"/>
      <c r="N615" s="145"/>
      <c r="O615" s="145"/>
    </row>
    <row r="616" spans="1:15" x14ac:dyDescent="0.35">
      <c r="A616" s="145"/>
      <c r="B616" s="145"/>
      <c r="C616" s="145"/>
      <c r="D616" s="145"/>
      <c r="E616" s="145"/>
      <c r="F616" s="145"/>
      <c r="G616" s="102"/>
      <c r="H616" s="145"/>
      <c r="I616" s="145"/>
      <c r="J616" s="145"/>
      <c r="K616" s="145"/>
      <c r="L616" s="145"/>
      <c r="M616" s="145"/>
      <c r="N616" s="145"/>
      <c r="O616" s="145"/>
    </row>
    <row r="617" spans="1:15" x14ac:dyDescent="0.35">
      <c r="A617" s="145"/>
      <c r="B617" s="145"/>
      <c r="C617" s="145"/>
      <c r="D617" s="145"/>
      <c r="E617" s="145"/>
      <c r="F617" s="145"/>
      <c r="G617" s="102"/>
      <c r="H617" s="145"/>
      <c r="I617" s="145"/>
      <c r="J617" s="145"/>
      <c r="K617" s="145"/>
      <c r="L617" s="145"/>
      <c r="M617" s="145"/>
      <c r="N617" s="145"/>
      <c r="O617" s="145"/>
    </row>
    <row r="618" spans="1:15" x14ac:dyDescent="0.35">
      <c r="A618" s="145"/>
      <c r="B618" s="145"/>
      <c r="C618" s="145"/>
      <c r="D618" s="145"/>
      <c r="E618" s="145"/>
      <c r="F618" s="145"/>
      <c r="G618" s="102"/>
      <c r="H618" s="145"/>
      <c r="I618" s="145"/>
      <c r="J618" s="145"/>
      <c r="K618" s="145"/>
      <c r="L618" s="145"/>
      <c r="M618" s="145"/>
      <c r="N618" s="145"/>
      <c r="O618" s="145"/>
    </row>
    <row r="619" spans="1:15" x14ac:dyDescent="0.35">
      <c r="A619" s="145"/>
      <c r="B619" s="145"/>
      <c r="C619" s="145"/>
      <c r="D619" s="145"/>
      <c r="E619" s="145"/>
      <c r="F619" s="145"/>
      <c r="G619" s="102"/>
      <c r="H619" s="145"/>
      <c r="I619" s="145"/>
      <c r="J619" s="145"/>
      <c r="K619" s="145"/>
      <c r="L619" s="145"/>
      <c r="M619" s="145"/>
      <c r="N619" s="145"/>
      <c r="O619" s="145"/>
    </row>
    <row r="620" spans="1:15" x14ac:dyDescent="0.35">
      <c r="A620" s="145"/>
      <c r="B620" s="145"/>
      <c r="C620" s="145"/>
      <c r="D620" s="145"/>
      <c r="E620" s="145"/>
      <c r="F620" s="145"/>
      <c r="G620" s="102"/>
      <c r="H620" s="145"/>
      <c r="I620" s="145"/>
      <c r="J620" s="145"/>
      <c r="K620" s="145"/>
      <c r="L620" s="145"/>
      <c r="M620" s="145"/>
      <c r="N620" s="145"/>
      <c r="O620" s="145"/>
    </row>
    <row r="621" spans="1:15" x14ac:dyDescent="0.35">
      <c r="A621" s="145"/>
      <c r="B621" s="145"/>
      <c r="C621" s="145"/>
      <c r="D621" s="145"/>
      <c r="E621" s="145"/>
      <c r="F621" s="145"/>
      <c r="G621" s="102"/>
      <c r="H621" s="145"/>
      <c r="I621" s="145"/>
      <c r="J621" s="145"/>
      <c r="K621" s="145"/>
      <c r="L621" s="145"/>
      <c r="M621" s="145"/>
      <c r="N621" s="145"/>
      <c r="O621" s="145"/>
    </row>
    <row r="622" spans="1:15" x14ac:dyDescent="0.35">
      <c r="A622" s="145"/>
      <c r="B622" s="145"/>
      <c r="C622" s="145"/>
      <c r="D622" s="145"/>
      <c r="E622" s="145"/>
      <c r="F622" s="145"/>
      <c r="G622" s="102"/>
      <c r="H622" s="145"/>
      <c r="I622" s="145"/>
      <c r="J622" s="145"/>
      <c r="K622" s="145"/>
      <c r="L622" s="145"/>
      <c r="M622" s="145"/>
    </row>
    <row r="623" spans="1:15" x14ac:dyDescent="0.35">
      <c r="A623" s="145"/>
      <c r="B623" s="145"/>
      <c r="C623" s="145"/>
      <c r="D623" s="145"/>
      <c r="E623" s="145"/>
      <c r="F623" s="145"/>
      <c r="G623" s="102"/>
      <c r="H623" s="145"/>
      <c r="I623" s="145"/>
      <c r="J623" s="145"/>
      <c r="K623" s="145"/>
      <c r="L623" s="145"/>
      <c r="M623" s="145"/>
    </row>
    <row r="624" spans="1:15" x14ac:dyDescent="0.35">
      <c r="A624" s="145"/>
      <c r="B624" s="145"/>
      <c r="C624" s="145"/>
      <c r="D624" s="145"/>
      <c r="E624" s="145"/>
      <c r="F624" s="145"/>
      <c r="G624" s="102"/>
      <c r="H624" s="145"/>
      <c r="I624" s="145"/>
      <c r="J624" s="145"/>
      <c r="K624" s="145"/>
      <c r="L624" s="145"/>
      <c r="M624" s="145"/>
    </row>
    <row r="625" spans="1:15" x14ac:dyDescent="0.35">
      <c r="A625" s="145"/>
      <c r="B625" s="145"/>
      <c r="C625" s="145"/>
      <c r="D625" s="145"/>
      <c r="E625" s="145"/>
      <c r="F625" s="145"/>
      <c r="G625" s="102"/>
      <c r="H625" s="145"/>
      <c r="I625" s="145"/>
      <c r="J625" s="145"/>
      <c r="K625" s="145"/>
      <c r="L625" s="145"/>
      <c r="M625" s="145"/>
    </row>
    <row r="626" spans="1:15" x14ac:dyDescent="0.35">
      <c r="A626" s="145"/>
      <c r="B626" s="145"/>
      <c r="C626" s="145"/>
      <c r="D626" s="145"/>
      <c r="E626" s="145"/>
      <c r="F626" s="145"/>
      <c r="G626" s="102"/>
      <c r="H626" s="145"/>
      <c r="I626" s="145"/>
      <c r="J626" s="145"/>
      <c r="K626" s="145"/>
      <c r="L626" s="145"/>
      <c r="M626" s="145"/>
      <c r="N626" s="31"/>
      <c r="O626" s="31"/>
    </row>
    <row r="627" spans="1:15" x14ac:dyDescent="0.35">
      <c r="A627" s="145"/>
      <c r="B627" s="145"/>
      <c r="C627" s="145"/>
      <c r="D627" s="145"/>
      <c r="E627" s="145"/>
      <c r="F627" s="145"/>
      <c r="G627" s="102"/>
      <c r="H627" s="145"/>
      <c r="I627" s="145"/>
      <c r="J627" s="145"/>
      <c r="K627" s="145"/>
      <c r="L627" s="145"/>
      <c r="M627" s="145"/>
      <c r="N627" s="31"/>
      <c r="O627" s="31"/>
    </row>
    <row r="628" spans="1:15" x14ac:dyDescent="0.35">
      <c r="A628" s="145"/>
      <c r="B628" s="145"/>
      <c r="C628" s="145"/>
      <c r="D628" s="145"/>
      <c r="E628" s="145"/>
      <c r="F628" s="145"/>
      <c r="G628" s="102"/>
      <c r="H628" s="145"/>
      <c r="I628" s="145"/>
      <c r="J628" s="145"/>
      <c r="K628" s="145"/>
      <c r="L628" s="145"/>
      <c r="M628" s="145"/>
    </row>
    <row r="629" spans="1:15" x14ac:dyDescent="0.35">
      <c r="A629" s="145"/>
      <c r="B629" s="145"/>
      <c r="C629" s="145"/>
      <c r="D629" s="145"/>
      <c r="E629" s="145"/>
      <c r="F629" s="145"/>
      <c r="G629" s="102"/>
      <c r="H629" s="145"/>
      <c r="I629" s="145"/>
      <c r="J629" s="145"/>
      <c r="K629" s="145"/>
      <c r="L629" s="145"/>
      <c r="M629" s="145"/>
    </row>
    <row r="630" spans="1:15" x14ac:dyDescent="0.35">
      <c r="A630" s="145"/>
      <c r="B630" s="145"/>
      <c r="C630" s="145"/>
      <c r="D630" s="145"/>
      <c r="E630" s="145"/>
      <c r="F630" s="145"/>
      <c r="G630" s="102"/>
      <c r="H630" s="145"/>
      <c r="I630" s="145"/>
      <c r="J630" s="145"/>
      <c r="K630" s="145"/>
      <c r="L630" s="145"/>
      <c r="M630" s="145"/>
    </row>
    <row r="631" spans="1:15" x14ac:dyDescent="0.35">
      <c r="A631" s="145"/>
      <c r="B631" s="145"/>
      <c r="C631" s="145"/>
      <c r="D631" s="145"/>
      <c r="E631" s="145"/>
      <c r="F631" s="145"/>
      <c r="G631" s="102"/>
      <c r="H631" s="145"/>
      <c r="I631" s="145"/>
      <c r="J631" s="145"/>
      <c r="K631" s="145"/>
      <c r="L631" s="145"/>
      <c r="M631" s="145"/>
    </row>
    <row r="632" spans="1:15" x14ac:dyDescent="0.35">
      <c r="A632" s="145"/>
      <c r="B632" s="145"/>
      <c r="C632" s="145"/>
      <c r="D632" s="145"/>
      <c r="E632" s="145"/>
      <c r="F632" s="145"/>
      <c r="G632" s="102"/>
      <c r="H632" s="145"/>
      <c r="I632" s="145"/>
      <c r="J632" s="145"/>
      <c r="K632" s="145"/>
      <c r="L632" s="145"/>
      <c r="M632" s="145"/>
    </row>
    <row r="633" spans="1:15" x14ac:dyDescent="0.35">
      <c r="A633" s="145"/>
      <c r="B633" s="145"/>
      <c r="C633" s="145"/>
      <c r="D633" s="145"/>
      <c r="E633" s="145"/>
      <c r="F633" s="145"/>
      <c r="G633" s="102"/>
      <c r="H633" s="145"/>
      <c r="I633" s="145"/>
      <c r="J633" s="145"/>
      <c r="K633" s="145"/>
      <c r="L633" s="145"/>
      <c r="M633" s="145"/>
      <c r="N633" s="31"/>
      <c r="O633" s="31"/>
    </row>
    <row r="634" spans="1:15" x14ac:dyDescent="0.35">
      <c r="A634" s="145"/>
      <c r="B634" s="145"/>
      <c r="C634" s="145"/>
      <c r="D634" s="145"/>
      <c r="E634" s="145"/>
      <c r="F634" s="145"/>
      <c r="G634" s="102"/>
      <c r="H634" s="145"/>
      <c r="I634" s="145"/>
      <c r="J634" s="145"/>
      <c r="K634" s="145"/>
      <c r="L634" s="145"/>
      <c r="M634" s="145"/>
      <c r="N634" s="145"/>
      <c r="O634" s="145"/>
    </row>
    <row r="635" spans="1:15" x14ac:dyDescent="0.35">
      <c r="A635" s="145"/>
      <c r="B635" s="145"/>
      <c r="C635" s="145"/>
      <c r="D635" s="145"/>
      <c r="E635" s="145"/>
      <c r="F635" s="145"/>
      <c r="G635" s="102"/>
      <c r="H635" s="145"/>
      <c r="I635" s="145"/>
      <c r="J635" s="145"/>
      <c r="K635" s="145"/>
      <c r="L635" s="145"/>
      <c r="M635" s="145"/>
      <c r="N635" s="31"/>
      <c r="O635" s="31"/>
    </row>
    <row r="636" spans="1:15" x14ac:dyDescent="0.35">
      <c r="A636" s="145"/>
      <c r="B636" s="145"/>
      <c r="C636" s="145"/>
      <c r="D636" s="145"/>
      <c r="E636" s="145"/>
      <c r="F636" s="145"/>
      <c r="G636" s="102"/>
      <c r="H636" s="145"/>
      <c r="I636" s="145"/>
      <c r="J636" s="145"/>
      <c r="K636" s="145"/>
      <c r="L636" s="145"/>
      <c r="M636" s="145"/>
    </row>
    <row r="637" spans="1:15" x14ac:dyDescent="0.35">
      <c r="A637" s="145"/>
      <c r="B637" s="145"/>
      <c r="C637" s="145"/>
      <c r="D637" s="145"/>
      <c r="E637" s="145"/>
      <c r="F637" s="145"/>
      <c r="G637" s="102"/>
      <c r="H637" s="145"/>
      <c r="I637" s="145"/>
      <c r="J637" s="145"/>
      <c r="K637" s="145"/>
      <c r="L637" s="145"/>
      <c r="M637" s="145"/>
    </row>
    <row r="638" spans="1:15" x14ac:dyDescent="0.35">
      <c r="A638" s="145"/>
      <c r="B638" s="145"/>
      <c r="C638" s="145"/>
      <c r="D638" s="145"/>
      <c r="E638" s="145"/>
      <c r="F638" s="145"/>
      <c r="G638" s="102"/>
      <c r="H638" s="145"/>
      <c r="I638" s="145"/>
      <c r="J638" s="145"/>
      <c r="K638" s="145"/>
      <c r="L638" s="145"/>
      <c r="M638" s="145"/>
      <c r="N638" s="31"/>
      <c r="O638" s="31"/>
    </row>
    <row r="639" spans="1:15" x14ac:dyDescent="0.35">
      <c r="A639" s="145"/>
      <c r="B639" s="145"/>
      <c r="C639" s="145"/>
      <c r="D639" s="145"/>
      <c r="E639" s="145"/>
      <c r="F639" s="145"/>
      <c r="G639" s="102"/>
      <c r="H639" s="145"/>
      <c r="I639" s="145"/>
      <c r="J639" s="145"/>
      <c r="K639" s="145"/>
      <c r="L639" s="145"/>
      <c r="M639" s="145"/>
    </row>
    <row r="640" spans="1:15" x14ac:dyDescent="0.35">
      <c r="A640" s="145"/>
      <c r="B640" s="145"/>
      <c r="C640" s="145"/>
      <c r="D640" s="145"/>
      <c r="E640" s="145"/>
      <c r="F640" s="145"/>
      <c r="G640" s="102"/>
      <c r="H640" s="145"/>
      <c r="I640" s="145"/>
      <c r="J640" s="145"/>
      <c r="K640" s="145"/>
      <c r="L640" s="145"/>
      <c r="M640" s="145"/>
    </row>
    <row r="641" spans="1:15" x14ac:dyDescent="0.35">
      <c r="A641" s="145"/>
      <c r="B641" s="145"/>
      <c r="C641" s="145"/>
      <c r="D641" s="145"/>
      <c r="E641" s="145"/>
      <c r="F641" s="145"/>
      <c r="G641" s="102"/>
      <c r="H641" s="145"/>
      <c r="I641" s="145"/>
      <c r="J641" s="145"/>
      <c r="K641" s="145"/>
      <c r="L641" s="145"/>
      <c r="M641" s="145"/>
    </row>
    <row r="642" spans="1:15" x14ac:dyDescent="0.35">
      <c r="A642" s="145"/>
      <c r="B642" s="145"/>
      <c r="C642" s="145"/>
      <c r="D642" s="145"/>
      <c r="E642" s="145"/>
      <c r="F642" s="145"/>
      <c r="G642" s="102"/>
      <c r="H642" s="145"/>
      <c r="I642" s="145"/>
      <c r="J642" s="145"/>
      <c r="K642" s="145"/>
      <c r="L642" s="145"/>
      <c r="M642" s="145"/>
      <c r="N642" s="31"/>
      <c r="O642" s="31"/>
    </row>
    <row r="643" spans="1:15" x14ac:dyDescent="0.35">
      <c r="A643" s="145"/>
      <c r="B643" s="145"/>
      <c r="C643" s="145"/>
      <c r="D643" s="145"/>
      <c r="E643" s="145"/>
      <c r="F643" s="145"/>
      <c r="G643" s="102"/>
      <c r="H643" s="145"/>
      <c r="I643" s="145"/>
      <c r="J643" s="145"/>
      <c r="K643" s="145"/>
      <c r="L643" s="145"/>
      <c r="M643" s="145"/>
    </row>
    <row r="644" spans="1:15" x14ac:dyDescent="0.35">
      <c r="A644" s="145"/>
      <c r="B644" s="145"/>
      <c r="C644" s="145"/>
      <c r="D644" s="145"/>
      <c r="E644" s="145"/>
      <c r="F644" s="145"/>
      <c r="G644" s="102"/>
      <c r="H644" s="145"/>
      <c r="I644" s="145"/>
      <c r="J644" s="145"/>
      <c r="K644" s="145"/>
      <c r="L644" s="145"/>
      <c r="M644" s="145"/>
    </row>
    <row r="645" spans="1:15" x14ac:dyDescent="0.35">
      <c r="A645" s="145"/>
      <c r="B645" s="145"/>
      <c r="C645" s="145"/>
      <c r="D645" s="145"/>
      <c r="E645" s="145"/>
      <c r="F645" s="145"/>
      <c r="G645" s="102"/>
      <c r="H645" s="145"/>
      <c r="I645" s="145"/>
      <c r="J645" s="145"/>
      <c r="K645" s="145"/>
      <c r="L645" s="145"/>
      <c r="M645" s="145"/>
    </row>
    <row r="646" spans="1:15" x14ac:dyDescent="0.35">
      <c r="A646" s="145"/>
      <c r="B646" s="145"/>
      <c r="C646" s="145"/>
      <c r="D646" s="145"/>
      <c r="E646" s="145"/>
      <c r="F646" s="145"/>
      <c r="G646" s="102"/>
      <c r="H646" s="145"/>
      <c r="I646" s="145"/>
      <c r="J646" s="145"/>
      <c r="K646" s="145"/>
      <c r="L646" s="145"/>
      <c r="M646" s="145"/>
    </row>
    <row r="647" spans="1:15" x14ac:dyDescent="0.35">
      <c r="A647" s="145"/>
      <c r="B647" s="145"/>
      <c r="C647" s="145"/>
      <c r="D647" s="145"/>
      <c r="E647" s="145"/>
      <c r="F647" s="145"/>
      <c r="G647" s="102"/>
      <c r="H647" s="145"/>
      <c r="I647" s="145"/>
      <c r="J647" s="145"/>
      <c r="K647" s="145"/>
      <c r="L647" s="145"/>
      <c r="M647" s="145"/>
    </row>
    <row r="648" spans="1:15" x14ac:dyDescent="0.35">
      <c r="A648" s="145"/>
      <c r="B648" s="145"/>
      <c r="C648" s="145"/>
      <c r="D648" s="145"/>
      <c r="E648" s="145"/>
      <c r="F648" s="145"/>
      <c r="G648" s="102"/>
      <c r="H648" s="145"/>
      <c r="I648" s="145"/>
      <c r="J648" s="145"/>
      <c r="K648" s="145"/>
      <c r="L648" s="145"/>
      <c r="M648" s="145"/>
      <c r="N648" s="145"/>
      <c r="O648" s="145"/>
    </row>
    <row r="649" spans="1:15" x14ac:dyDescent="0.35">
      <c r="A649" s="145"/>
      <c r="B649" s="145"/>
      <c r="C649" s="145"/>
      <c r="D649" s="145"/>
      <c r="E649" s="145"/>
      <c r="F649" s="145"/>
      <c r="G649" s="102"/>
      <c r="H649" s="145"/>
      <c r="I649" s="145"/>
      <c r="J649" s="145"/>
      <c r="K649" s="145"/>
      <c r="L649" s="145"/>
      <c r="M649" s="145"/>
    </row>
    <row r="650" spans="1:15" x14ac:dyDescent="0.35">
      <c r="A650" s="145"/>
      <c r="B650" s="145"/>
      <c r="C650" s="145"/>
      <c r="D650" s="145"/>
      <c r="E650" s="145"/>
      <c r="F650" s="145"/>
      <c r="G650" s="102"/>
      <c r="H650" s="145"/>
      <c r="I650" s="145"/>
      <c r="J650" s="145"/>
      <c r="K650" s="145"/>
      <c r="L650" s="145"/>
      <c r="M650" s="145"/>
      <c r="N650" s="145"/>
      <c r="O650" s="145"/>
    </row>
    <row r="651" spans="1:15" x14ac:dyDescent="0.35">
      <c r="A651" s="145"/>
      <c r="B651" s="145"/>
      <c r="C651" s="145"/>
      <c r="D651" s="145"/>
      <c r="E651" s="145"/>
      <c r="F651" s="145"/>
      <c r="G651" s="102"/>
      <c r="H651" s="145"/>
      <c r="I651" s="145"/>
      <c r="J651" s="145"/>
      <c r="K651" s="145"/>
      <c r="L651" s="145"/>
      <c r="M651" s="145"/>
      <c r="N651" s="145"/>
      <c r="O651" s="145"/>
    </row>
    <row r="652" spans="1:15" x14ac:dyDescent="0.35">
      <c r="A652" s="145"/>
      <c r="B652" s="145"/>
      <c r="C652" s="145"/>
      <c r="D652" s="145"/>
      <c r="E652" s="145"/>
      <c r="F652" s="145"/>
      <c r="G652" s="102"/>
      <c r="H652" s="145"/>
      <c r="I652" s="145"/>
      <c r="J652" s="145"/>
      <c r="K652" s="145"/>
      <c r="L652" s="145"/>
      <c r="M652" s="145"/>
      <c r="N652" s="31"/>
      <c r="O652" s="31"/>
    </row>
    <row r="653" spans="1:15" x14ac:dyDescent="0.35">
      <c r="A653" s="145"/>
      <c r="B653" s="145"/>
      <c r="C653" s="145"/>
      <c r="D653" s="145"/>
      <c r="E653" s="145"/>
      <c r="F653" s="145"/>
      <c r="G653" s="102"/>
      <c r="H653" s="145"/>
      <c r="I653" s="145"/>
      <c r="J653" s="145"/>
      <c r="K653" s="145"/>
      <c r="L653" s="145"/>
      <c r="M653" s="145"/>
    </row>
    <row r="654" spans="1:15" x14ac:dyDescent="0.35">
      <c r="A654" s="145"/>
      <c r="B654" s="145"/>
      <c r="C654" s="145"/>
      <c r="D654" s="145"/>
      <c r="E654" s="145"/>
      <c r="F654" s="145"/>
      <c r="G654" s="102"/>
      <c r="H654" s="145"/>
      <c r="I654" s="145"/>
      <c r="J654" s="145"/>
      <c r="K654" s="145"/>
      <c r="L654" s="145"/>
      <c r="M654" s="145"/>
    </row>
    <row r="655" spans="1:15" x14ac:dyDescent="0.35">
      <c r="A655" s="145"/>
      <c r="B655" s="145"/>
      <c r="C655" s="145"/>
      <c r="D655" s="145"/>
      <c r="E655" s="145"/>
      <c r="F655" s="145"/>
      <c r="G655" s="102"/>
      <c r="H655" s="145"/>
      <c r="I655" s="145"/>
      <c r="J655" s="145"/>
      <c r="K655" s="145"/>
      <c r="L655" s="145"/>
      <c r="M655" s="145"/>
    </row>
    <row r="656" spans="1:15" x14ac:dyDescent="0.35">
      <c r="A656" s="145"/>
      <c r="B656" s="145"/>
      <c r="C656" s="145"/>
      <c r="D656" s="145"/>
      <c r="E656" s="145"/>
      <c r="F656" s="145"/>
      <c r="G656" s="102"/>
      <c r="H656" s="145"/>
      <c r="I656" s="145"/>
      <c r="J656" s="145"/>
      <c r="K656" s="145"/>
      <c r="L656" s="145"/>
      <c r="M656" s="145"/>
    </row>
    <row r="657" spans="1:15" x14ac:dyDescent="0.35">
      <c r="A657" s="145"/>
      <c r="B657" s="145"/>
      <c r="C657" s="145"/>
      <c r="D657" s="145"/>
      <c r="E657" s="145"/>
      <c r="F657" s="145"/>
      <c r="G657" s="102"/>
      <c r="H657" s="145"/>
      <c r="I657" s="145"/>
      <c r="J657" s="145"/>
      <c r="K657" s="145"/>
      <c r="L657" s="145"/>
      <c r="M657" s="145"/>
    </row>
    <row r="658" spans="1:15" x14ac:dyDescent="0.35">
      <c r="A658" s="145"/>
      <c r="B658" s="145"/>
      <c r="C658" s="145"/>
      <c r="D658" s="145"/>
      <c r="E658" s="145"/>
      <c r="F658" s="145"/>
      <c r="G658" s="102"/>
      <c r="H658" s="145"/>
      <c r="I658" s="145"/>
      <c r="J658" s="145"/>
      <c r="K658" s="145"/>
      <c r="L658" s="145"/>
      <c r="M658" s="145"/>
      <c r="N658" s="145"/>
      <c r="O658" s="145"/>
    </row>
    <row r="659" spans="1:15" x14ac:dyDescent="0.35">
      <c r="A659" s="145"/>
      <c r="B659" s="145"/>
      <c r="C659" s="145"/>
      <c r="D659" s="145"/>
      <c r="E659" s="145"/>
      <c r="F659" s="145"/>
      <c r="G659" s="102"/>
      <c r="H659" s="145"/>
      <c r="I659" s="145"/>
      <c r="J659" s="145"/>
      <c r="K659" s="145"/>
      <c r="L659" s="145"/>
      <c r="M659" s="145"/>
    </row>
    <row r="660" spans="1:15" x14ac:dyDescent="0.35">
      <c r="A660" s="145"/>
      <c r="B660" s="145"/>
      <c r="C660" s="145"/>
      <c r="D660" s="145"/>
      <c r="E660" s="145"/>
      <c r="F660" s="145"/>
      <c r="G660" s="102"/>
      <c r="H660" s="145"/>
      <c r="I660" s="145"/>
      <c r="J660" s="145"/>
      <c r="K660" s="145"/>
      <c r="L660" s="145"/>
      <c r="M660" s="145"/>
      <c r="N660" s="31"/>
      <c r="O660" s="31"/>
    </row>
    <row r="661" spans="1:15" x14ac:dyDescent="0.35">
      <c r="A661" s="145"/>
      <c r="B661" s="145"/>
      <c r="C661" s="145"/>
      <c r="D661" s="145"/>
      <c r="E661" s="145"/>
      <c r="F661" s="145"/>
      <c r="G661" s="102"/>
      <c r="H661" s="145"/>
      <c r="I661" s="145"/>
      <c r="J661" s="145"/>
      <c r="K661" s="145"/>
      <c r="L661" s="145"/>
      <c r="M661" s="145"/>
      <c r="N661" s="145"/>
      <c r="O661" s="145"/>
    </row>
    <row r="662" spans="1:15" x14ac:dyDescent="0.35">
      <c r="A662" s="145"/>
      <c r="B662" s="145"/>
      <c r="C662" s="145"/>
      <c r="D662" s="145"/>
      <c r="E662" s="145"/>
      <c r="F662" s="145"/>
      <c r="G662" s="102"/>
      <c r="H662" s="145"/>
      <c r="I662" s="145"/>
      <c r="J662" s="145"/>
      <c r="K662" s="145"/>
      <c r="L662" s="145"/>
      <c r="M662" s="145"/>
      <c r="N662" s="145"/>
      <c r="O662" s="145"/>
    </row>
    <row r="663" spans="1:15" x14ac:dyDescent="0.35">
      <c r="A663" s="145"/>
      <c r="B663" s="145"/>
      <c r="C663" s="145"/>
      <c r="D663" s="145"/>
      <c r="E663" s="145"/>
      <c r="F663" s="145"/>
      <c r="G663" s="102"/>
      <c r="H663" s="145"/>
      <c r="I663" s="145"/>
      <c r="J663" s="145"/>
      <c r="K663" s="145"/>
      <c r="L663" s="145"/>
      <c r="M663" s="145"/>
    </row>
    <row r="664" spans="1:15" x14ac:dyDescent="0.35">
      <c r="A664" s="145"/>
      <c r="B664" s="145"/>
      <c r="C664" s="145"/>
      <c r="D664" s="145"/>
      <c r="E664" s="145"/>
      <c r="F664" s="145"/>
      <c r="G664" s="102"/>
      <c r="H664" s="145"/>
      <c r="I664" s="145"/>
      <c r="J664" s="145"/>
      <c r="K664" s="145"/>
      <c r="L664" s="145"/>
      <c r="M664" s="145"/>
      <c r="N664" s="31"/>
      <c r="O664" s="31"/>
    </row>
    <row r="665" spans="1:15" x14ac:dyDescent="0.35">
      <c r="A665" s="145"/>
      <c r="B665" s="145"/>
      <c r="C665" s="145"/>
      <c r="D665" s="145"/>
      <c r="E665" s="145"/>
      <c r="F665" s="145"/>
      <c r="G665" s="102"/>
      <c r="H665" s="145"/>
      <c r="I665" s="145"/>
      <c r="J665" s="145"/>
      <c r="K665" s="145"/>
      <c r="L665" s="145"/>
      <c r="M665" s="145"/>
      <c r="N665" s="145"/>
      <c r="O665" s="145"/>
    </row>
    <row r="666" spans="1:15" x14ac:dyDescent="0.35">
      <c r="A666" s="145"/>
      <c r="B666" s="145"/>
      <c r="C666" s="145"/>
      <c r="D666" s="145"/>
      <c r="E666" s="145"/>
      <c r="F666" s="145"/>
      <c r="G666" s="102"/>
      <c r="H666" s="145"/>
      <c r="I666" s="145"/>
      <c r="J666" s="145"/>
      <c r="K666" s="145"/>
      <c r="L666" s="145"/>
      <c r="M666" s="145"/>
      <c r="N666" s="145"/>
      <c r="O666" s="145"/>
    </row>
    <row r="667" spans="1:15" x14ac:dyDescent="0.35">
      <c r="A667" s="145"/>
      <c r="B667" s="145"/>
      <c r="C667" s="145"/>
      <c r="D667" s="145"/>
      <c r="E667" s="145"/>
      <c r="F667" s="145"/>
      <c r="G667" s="102"/>
      <c r="H667" s="145"/>
      <c r="I667" s="145"/>
      <c r="J667" s="145"/>
      <c r="K667" s="145"/>
      <c r="L667" s="145"/>
      <c r="M667" s="145"/>
      <c r="N667" s="145"/>
      <c r="O667" s="145"/>
    </row>
    <row r="668" spans="1:15" x14ac:dyDescent="0.35">
      <c r="A668" s="145"/>
      <c r="B668" s="145"/>
      <c r="C668" s="145"/>
      <c r="D668" s="145"/>
      <c r="E668" s="145"/>
      <c r="F668" s="145"/>
      <c r="G668" s="102"/>
      <c r="H668" s="145"/>
      <c r="I668" s="145"/>
      <c r="J668" s="145"/>
      <c r="K668" s="145"/>
      <c r="L668" s="145"/>
      <c r="M668" s="145"/>
      <c r="N668" s="145"/>
      <c r="O668" s="145"/>
    </row>
    <row r="669" spans="1:15" x14ac:dyDescent="0.35">
      <c r="A669" s="145"/>
      <c r="B669" s="145"/>
      <c r="C669" s="145"/>
      <c r="D669" s="145"/>
      <c r="E669" s="145"/>
      <c r="F669" s="145"/>
      <c r="G669" s="102"/>
      <c r="H669" s="145"/>
      <c r="I669" s="145"/>
      <c r="J669" s="145"/>
      <c r="K669" s="145"/>
      <c r="L669" s="145"/>
      <c r="M669" s="145"/>
      <c r="N669" s="145"/>
      <c r="O669" s="145"/>
    </row>
    <row r="670" spans="1:15" x14ac:dyDescent="0.35">
      <c r="A670" s="145"/>
      <c r="B670" s="145"/>
      <c r="C670" s="145"/>
      <c r="D670" s="145"/>
      <c r="E670" s="145"/>
      <c r="F670" s="145"/>
      <c r="G670" s="102"/>
      <c r="H670" s="145"/>
      <c r="I670" s="145"/>
      <c r="J670" s="145"/>
      <c r="K670" s="145"/>
      <c r="L670" s="145"/>
      <c r="M670" s="145"/>
      <c r="N670" s="145"/>
      <c r="O670" s="145"/>
    </row>
    <row r="671" spans="1:15" x14ac:dyDescent="0.35">
      <c r="A671" s="145"/>
      <c r="B671" s="145"/>
      <c r="C671" s="145"/>
      <c r="D671" s="145"/>
      <c r="E671" s="145"/>
      <c r="F671" s="145"/>
      <c r="G671" s="102"/>
      <c r="H671" s="145"/>
      <c r="I671" s="145"/>
      <c r="J671" s="145"/>
      <c r="K671" s="145"/>
      <c r="L671" s="145"/>
      <c r="M671" s="145"/>
    </row>
    <row r="672" spans="1:15" x14ac:dyDescent="0.35">
      <c r="A672" s="145"/>
      <c r="B672" s="145"/>
      <c r="C672" s="145"/>
      <c r="D672" s="145"/>
      <c r="E672" s="145"/>
      <c r="F672" s="145"/>
      <c r="G672" s="102"/>
      <c r="H672" s="145"/>
      <c r="I672" s="145"/>
      <c r="J672" s="145"/>
      <c r="K672" s="145"/>
      <c r="L672" s="145"/>
      <c r="M672" s="145"/>
    </row>
    <row r="673" spans="1:13" x14ac:dyDescent="0.35">
      <c r="A673" s="145"/>
      <c r="B673" s="145"/>
      <c r="C673" s="145"/>
      <c r="D673" s="145"/>
      <c r="E673" s="145"/>
      <c r="F673" s="145"/>
      <c r="G673" s="102"/>
      <c r="H673" s="145"/>
      <c r="I673" s="145"/>
      <c r="J673" s="145"/>
      <c r="K673" s="145"/>
      <c r="L673" s="145"/>
      <c r="M673" s="145"/>
    </row>
    <row r="674" spans="1:13" x14ac:dyDescent="0.35">
      <c r="A674" s="145"/>
      <c r="B674" s="145"/>
      <c r="C674" s="145"/>
      <c r="D674" s="145"/>
      <c r="E674" s="145"/>
      <c r="F674" s="145"/>
      <c r="G674" s="102"/>
      <c r="H674" s="145"/>
      <c r="I674" s="145"/>
      <c r="J674" s="145"/>
      <c r="K674" s="145"/>
      <c r="L674" s="145"/>
      <c r="M674" s="145"/>
    </row>
    <row r="675" spans="1:13" x14ac:dyDescent="0.35">
      <c r="A675" s="145"/>
      <c r="B675" s="145"/>
      <c r="C675" s="145"/>
      <c r="D675" s="145"/>
      <c r="E675" s="145"/>
      <c r="F675" s="145"/>
      <c r="G675" s="102"/>
      <c r="H675" s="145"/>
      <c r="I675" s="145"/>
      <c r="J675" s="145"/>
      <c r="K675" s="145"/>
      <c r="L675" s="145"/>
      <c r="M675" s="145"/>
    </row>
    <row r="676" spans="1:13" x14ac:dyDescent="0.35">
      <c r="A676" s="145"/>
      <c r="B676" s="145"/>
      <c r="C676" s="145"/>
      <c r="D676" s="145"/>
      <c r="E676" s="145"/>
      <c r="F676" s="145"/>
      <c r="G676" s="102"/>
      <c r="H676" s="145"/>
      <c r="I676" s="145"/>
      <c r="J676" s="145"/>
      <c r="K676" s="145"/>
      <c r="L676" s="145"/>
      <c r="M676" s="145"/>
    </row>
    <row r="677" spans="1:13" x14ac:dyDescent="0.35">
      <c r="A677" s="145"/>
      <c r="B677" s="145"/>
      <c r="C677" s="145"/>
      <c r="D677" s="145"/>
      <c r="E677" s="145"/>
      <c r="F677" s="145"/>
      <c r="G677" s="102"/>
      <c r="H677" s="145"/>
      <c r="I677" s="145"/>
      <c r="J677" s="145"/>
      <c r="K677" s="145"/>
      <c r="L677" s="145"/>
      <c r="M677" s="145"/>
    </row>
    <row r="678" spans="1:13" x14ac:dyDescent="0.35">
      <c r="A678" s="145"/>
      <c r="B678" s="145"/>
      <c r="C678" s="145"/>
      <c r="D678" s="145"/>
      <c r="E678" s="145"/>
      <c r="F678" s="145"/>
      <c r="G678" s="102"/>
      <c r="H678" s="145"/>
      <c r="I678" s="145"/>
      <c r="J678" s="145"/>
      <c r="K678" s="145"/>
      <c r="L678" s="145"/>
      <c r="M678" s="145"/>
    </row>
    <row r="679" spans="1:13" x14ac:dyDescent="0.35">
      <c r="A679" s="145"/>
      <c r="B679" s="145"/>
      <c r="C679" s="145"/>
      <c r="D679" s="145"/>
      <c r="E679" s="145"/>
      <c r="F679" s="145"/>
      <c r="G679" s="102"/>
      <c r="H679" s="145"/>
      <c r="I679" s="145"/>
      <c r="J679" s="145"/>
      <c r="K679" s="145"/>
      <c r="L679" s="145"/>
      <c r="M679" s="145"/>
    </row>
    <row r="680" spans="1:13" x14ac:dyDescent="0.35">
      <c r="A680" s="145"/>
      <c r="B680" s="145"/>
      <c r="C680" s="145"/>
      <c r="D680" s="145"/>
      <c r="E680" s="145"/>
      <c r="F680" s="145"/>
      <c r="G680" s="102"/>
      <c r="H680" s="145"/>
      <c r="I680" s="145"/>
      <c r="J680" s="145"/>
      <c r="K680" s="145"/>
      <c r="L680" s="145"/>
      <c r="M680" s="145"/>
    </row>
    <row r="681" spans="1:13" x14ac:dyDescent="0.35">
      <c r="A681" s="145"/>
      <c r="B681" s="145"/>
      <c r="C681" s="145"/>
      <c r="D681" s="145"/>
      <c r="E681" s="145"/>
      <c r="F681" s="145"/>
      <c r="G681" s="102"/>
      <c r="H681" s="145"/>
      <c r="I681" s="145"/>
      <c r="J681" s="145"/>
      <c r="K681" s="145"/>
      <c r="L681" s="145"/>
      <c r="M681" s="145"/>
    </row>
    <row r="682" spans="1:13" x14ac:dyDescent="0.35">
      <c r="A682" s="145"/>
      <c r="B682" s="145"/>
      <c r="C682" s="145"/>
      <c r="D682" s="145"/>
      <c r="E682" s="145"/>
      <c r="F682" s="145"/>
      <c r="G682" s="102"/>
      <c r="H682" s="145"/>
      <c r="I682" s="145"/>
      <c r="J682" s="145"/>
      <c r="K682" s="145"/>
      <c r="L682" s="145"/>
      <c r="M682" s="145"/>
    </row>
    <row r="683" spans="1:13" x14ac:dyDescent="0.35">
      <c r="A683" s="145"/>
      <c r="B683" s="145"/>
      <c r="C683" s="145"/>
      <c r="D683" s="145"/>
      <c r="E683" s="145"/>
      <c r="F683" s="145"/>
      <c r="G683" s="102"/>
      <c r="H683" s="145"/>
      <c r="I683" s="145"/>
      <c r="J683" s="145"/>
      <c r="K683" s="145"/>
      <c r="L683" s="145"/>
      <c r="M683" s="145"/>
    </row>
    <row r="684" spans="1:13" x14ac:dyDescent="0.35">
      <c r="A684" s="145"/>
      <c r="B684" s="145"/>
      <c r="C684" s="145"/>
      <c r="D684" s="145"/>
      <c r="E684" s="145"/>
      <c r="F684" s="145"/>
      <c r="G684" s="102"/>
      <c r="H684" s="145"/>
      <c r="I684" s="145"/>
      <c r="J684" s="145"/>
      <c r="K684" s="145"/>
      <c r="L684" s="145"/>
      <c r="M684" s="145"/>
    </row>
    <row r="685" spans="1:13" x14ac:dyDescent="0.35">
      <c r="A685" s="145"/>
      <c r="B685" s="145"/>
      <c r="C685" s="145"/>
      <c r="D685" s="145"/>
      <c r="E685" s="145"/>
      <c r="F685" s="145"/>
      <c r="G685" s="102"/>
      <c r="H685" s="145"/>
      <c r="I685" s="145"/>
      <c r="J685" s="145"/>
      <c r="K685" s="145"/>
      <c r="L685" s="145"/>
      <c r="M685" s="145"/>
    </row>
    <row r="686" spans="1:13" x14ac:dyDescent="0.35">
      <c r="A686" s="145"/>
      <c r="B686" s="145"/>
      <c r="C686" s="145"/>
      <c r="D686" s="145"/>
      <c r="E686" s="145"/>
      <c r="F686" s="145"/>
      <c r="G686" s="102"/>
      <c r="H686" s="145"/>
      <c r="I686" s="145"/>
      <c r="J686" s="145"/>
      <c r="K686" s="145"/>
      <c r="L686" s="145"/>
      <c r="M686" s="145"/>
    </row>
    <row r="687" spans="1:13" x14ac:dyDescent="0.35">
      <c r="A687" s="145"/>
      <c r="B687" s="145"/>
      <c r="C687" s="145"/>
      <c r="D687" s="145"/>
      <c r="E687" s="145"/>
      <c r="F687" s="145"/>
      <c r="G687" s="102"/>
      <c r="H687" s="145"/>
      <c r="I687" s="145"/>
      <c r="J687" s="145"/>
      <c r="K687" s="145"/>
      <c r="L687" s="145"/>
      <c r="M687" s="145"/>
    </row>
    <row r="688" spans="1:13" x14ac:dyDescent="0.35">
      <c r="A688" s="145"/>
      <c r="B688" s="145"/>
      <c r="C688" s="145"/>
      <c r="D688" s="145"/>
      <c r="E688" s="145"/>
      <c r="F688" s="145"/>
      <c r="G688" s="102"/>
      <c r="H688" s="145"/>
      <c r="I688" s="145"/>
      <c r="J688" s="145"/>
      <c r="K688" s="145"/>
      <c r="L688" s="145"/>
      <c r="M688" s="145"/>
    </row>
    <row r="689" spans="1:15" x14ac:dyDescent="0.35">
      <c r="A689" s="145"/>
      <c r="B689" s="145"/>
      <c r="C689" s="145"/>
      <c r="D689" s="145"/>
      <c r="E689" s="145"/>
      <c r="F689" s="145"/>
      <c r="G689" s="102"/>
      <c r="H689" s="145"/>
      <c r="I689" s="145"/>
      <c r="J689" s="145"/>
      <c r="K689" s="145"/>
      <c r="L689" s="145"/>
      <c r="M689" s="145"/>
    </row>
    <row r="690" spans="1:15" x14ac:dyDescent="0.35">
      <c r="A690" s="145"/>
      <c r="B690" s="145"/>
      <c r="C690" s="145"/>
      <c r="D690" s="145"/>
      <c r="E690" s="145"/>
      <c r="F690" s="145"/>
      <c r="G690" s="102"/>
      <c r="H690" s="145"/>
      <c r="I690" s="145"/>
      <c r="J690" s="145"/>
      <c r="K690" s="145"/>
      <c r="L690" s="145"/>
      <c r="M690" s="145"/>
      <c r="N690" s="145"/>
      <c r="O690" s="145"/>
    </row>
    <row r="691" spans="1:15" x14ac:dyDescent="0.35">
      <c r="A691" s="145"/>
      <c r="B691" s="145"/>
      <c r="C691" s="145"/>
      <c r="D691" s="145"/>
      <c r="E691" s="145"/>
      <c r="F691" s="145"/>
      <c r="G691" s="102"/>
      <c r="H691" s="145"/>
      <c r="I691" s="145"/>
      <c r="J691" s="145"/>
      <c r="K691" s="145"/>
      <c r="L691" s="145"/>
      <c r="M691" s="145"/>
    </row>
    <row r="692" spans="1:15" x14ac:dyDescent="0.35">
      <c r="A692" s="145"/>
      <c r="B692" s="145"/>
      <c r="C692" s="145"/>
      <c r="D692" s="145"/>
      <c r="E692" s="145"/>
      <c r="F692" s="145"/>
      <c r="G692" s="102"/>
      <c r="H692" s="145"/>
      <c r="I692" s="145"/>
      <c r="J692" s="145"/>
      <c r="K692" s="145"/>
      <c r="L692" s="145"/>
      <c r="M692" s="145"/>
    </row>
    <row r="693" spans="1:15" x14ac:dyDescent="0.35">
      <c r="A693" s="145"/>
      <c r="B693" s="145"/>
      <c r="C693" s="145"/>
      <c r="D693" s="145"/>
      <c r="E693" s="145"/>
      <c r="F693" s="145"/>
      <c r="G693" s="102"/>
      <c r="H693" s="145"/>
      <c r="I693" s="145"/>
      <c r="J693" s="145"/>
      <c r="K693" s="145"/>
      <c r="L693" s="145"/>
      <c r="M693" s="145"/>
      <c r="N693" s="145"/>
      <c r="O693" s="145"/>
    </row>
    <row r="694" spans="1:15" x14ac:dyDescent="0.35">
      <c r="A694" s="145"/>
      <c r="B694" s="145"/>
      <c r="C694" s="145"/>
      <c r="D694" s="145"/>
      <c r="E694" s="145"/>
      <c r="F694" s="145"/>
      <c r="G694" s="102"/>
      <c r="H694" s="145"/>
      <c r="I694" s="145"/>
      <c r="J694" s="145"/>
      <c r="K694" s="145"/>
      <c r="L694" s="145"/>
      <c r="M694" s="145"/>
    </row>
    <row r="695" spans="1:15" x14ac:dyDescent="0.35">
      <c r="A695" s="145"/>
      <c r="B695" s="145"/>
      <c r="C695" s="145"/>
      <c r="D695" s="145"/>
      <c r="E695" s="145"/>
      <c r="F695" s="145"/>
      <c r="G695" s="102"/>
      <c r="H695" s="145"/>
      <c r="I695" s="145"/>
      <c r="J695" s="145"/>
      <c r="K695" s="145"/>
      <c r="L695" s="145"/>
      <c r="M695" s="145"/>
    </row>
    <row r="696" spans="1:15" x14ac:dyDescent="0.35">
      <c r="A696" s="145"/>
      <c r="B696" s="145"/>
      <c r="C696" s="145"/>
      <c r="D696" s="145"/>
      <c r="E696" s="145"/>
      <c r="F696" s="145"/>
      <c r="G696" s="102"/>
      <c r="H696" s="145"/>
      <c r="I696" s="145"/>
      <c r="J696" s="145"/>
      <c r="K696" s="145"/>
      <c r="L696" s="145"/>
      <c r="M696" s="145"/>
    </row>
    <row r="697" spans="1:15" x14ac:dyDescent="0.35">
      <c r="A697" s="145"/>
      <c r="B697" s="145"/>
      <c r="C697" s="145"/>
      <c r="D697" s="145"/>
      <c r="E697" s="145"/>
      <c r="F697" s="145"/>
      <c r="G697" s="102"/>
      <c r="H697" s="145"/>
      <c r="I697" s="145"/>
      <c r="J697" s="145"/>
      <c r="K697" s="145"/>
      <c r="L697" s="145"/>
      <c r="M697" s="145"/>
    </row>
    <row r="698" spans="1:15" x14ac:dyDescent="0.35">
      <c r="A698" s="145"/>
      <c r="B698" s="145"/>
      <c r="C698" s="145"/>
      <c r="D698" s="145"/>
      <c r="E698" s="145"/>
      <c r="F698" s="145"/>
      <c r="G698" s="102"/>
      <c r="H698" s="145"/>
      <c r="I698" s="145"/>
      <c r="J698" s="145"/>
      <c r="K698" s="145"/>
      <c r="L698" s="145"/>
      <c r="M698" s="145"/>
    </row>
    <row r="699" spans="1:15" x14ac:dyDescent="0.35">
      <c r="A699" s="145"/>
      <c r="B699" s="145"/>
      <c r="C699" s="145"/>
      <c r="D699" s="145"/>
      <c r="E699" s="145"/>
      <c r="F699" s="145"/>
      <c r="G699" s="102"/>
      <c r="H699" s="145"/>
      <c r="I699" s="145"/>
      <c r="J699" s="145"/>
      <c r="K699" s="145"/>
      <c r="L699" s="145"/>
      <c r="M699" s="145"/>
    </row>
    <row r="700" spans="1:15" x14ac:dyDescent="0.35">
      <c r="A700" s="145"/>
      <c r="B700" s="145"/>
      <c r="C700" s="145"/>
      <c r="D700" s="145"/>
      <c r="E700" s="145"/>
      <c r="F700" s="145"/>
      <c r="G700" s="102"/>
      <c r="H700" s="145"/>
      <c r="I700" s="145"/>
      <c r="J700" s="145"/>
      <c r="K700" s="145"/>
      <c r="L700" s="145"/>
      <c r="M700" s="145"/>
      <c r="N700" s="31"/>
      <c r="O700" s="31"/>
    </row>
    <row r="701" spans="1:15" x14ac:dyDescent="0.35">
      <c r="A701" s="145"/>
      <c r="B701" s="145"/>
      <c r="C701" s="145"/>
      <c r="D701" s="145"/>
      <c r="E701" s="145"/>
      <c r="F701" s="145"/>
      <c r="G701" s="102"/>
      <c r="H701" s="145"/>
      <c r="I701" s="145"/>
      <c r="J701" s="145"/>
      <c r="K701" s="145"/>
      <c r="L701" s="145"/>
      <c r="M701" s="145"/>
    </row>
    <row r="702" spans="1:15" x14ac:dyDescent="0.35">
      <c r="A702" s="145"/>
      <c r="B702" s="145"/>
      <c r="C702" s="145"/>
      <c r="D702" s="145"/>
      <c r="E702" s="145"/>
      <c r="F702" s="145"/>
      <c r="G702" s="102"/>
      <c r="H702" s="145"/>
      <c r="I702" s="145"/>
      <c r="J702" s="145"/>
      <c r="K702" s="145"/>
      <c r="L702" s="145"/>
      <c r="M702" s="145"/>
      <c r="N702" s="31"/>
      <c r="O702" s="31"/>
    </row>
    <row r="703" spans="1:15" x14ac:dyDescent="0.35">
      <c r="A703" s="145"/>
      <c r="B703" s="145"/>
      <c r="C703" s="145"/>
      <c r="D703" s="145"/>
      <c r="E703" s="145"/>
      <c r="F703" s="145"/>
      <c r="G703" s="102"/>
      <c r="H703" s="145"/>
      <c r="I703" s="145"/>
      <c r="J703" s="145"/>
      <c r="K703" s="145"/>
      <c r="L703" s="145"/>
      <c r="M703" s="145"/>
      <c r="N703" s="145"/>
      <c r="O703" s="145"/>
    </row>
    <row r="704" spans="1:15" x14ac:dyDescent="0.35">
      <c r="A704" s="145"/>
      <c r="B704" s="145"/>
      <c r="C704" s="145"/>
      <c r="D704" s="145"/>
      <c r="E704" s="145"/>
      <c r="F704" s="145"/>
      <c r="G704" s="102"/>
      <c r="H704" s="145"/>
      <c r="I704" s="145"/>
      <c r="J704" s="145"/>
      <c r="K704" s="145"/>
      <c r="L704" s="145"/>
      <c r="M704" s="145"/>
      <c r="N704" s="31"/>
      <c r="O704" s="31"/>
    </row>
    <row r="705" spans="1:15" x14ac:dyDescent="0.35">
      <c r="A705" s="145"/>
      <c r="B705" s="145"/>
      <c r="C705" s="145"/>
      <c r="D705" s="145"/>
      <c r="E705" s="145"/>
      <c r="F705" s="145"/>
      <c r="G705" s="102"/>
      <c r="H705" s="145"/>
      <c r="I705" s="145"/>
      <c r="J705" s="145"/>
      <c r="K705" s="145"/>
      <c r="L705" s="145"/>
      <c r="M705" s="145"/>
      <c r="N705" s="31"/>
      <c r="O705" s="31"/>
    </row>
    <row r="706" spans="1:15" x14ac:dyDescent="0.35">
      <c r="A706" s="145"/>
      <c r="B706" s="145"/>
      <c r="C706" s="145"/>
      <c r="D706" s="145"/>
      <c r="E706" s="145"/>
      <c r="F706" s="145"/>
      <c r="G706" s="102"/>
      <c r="H706" s="145"/>
      <c r="I706" s="145"/>
      <c r="J706" s="145"/>
      <c r="K706" s="145"/>
      <c r="L706" s="145"/>
      <c r="M706" s="145"/>
    </row>
    <row r="707" spans="1:15" x14ac:dyDescent="0.35">
      <c r="A707" s="145"/>
      <c r="B707" s="145"/>
      <c r="C707" s="145"/>
      <c r="D707" s="145"/>
      <c r="E707" s="145"/>
      <c r="F707" s="145"/>
      <c r="G707" s="102"/>
      <c r="H707" s="145"/>
      <c r="I707" s="145"/>
      <c r="J707" s="145"/>
      <c r="K707" s="145"/>
      <c r="L707" s="145"/>
      <c r="M707" s="145"/>
    </row>
    <row r="708" spans="1:15" x14ac:dyDescent="0.35">
      <c r="A708" s="145"/>
      <c r="B708" s="145"/>
      <c r="C708" s="145"/>
      <c r="D708" s="145"/>
      <c r="E708" s="145"/>
      <c r="F708" s="145"/>
      <c r="G708" s="102"/>
      <c r="H708" s="145"/>
      <c r="I708" s="145"/>
      <c r="J708" s="145"/>
      <c r="K708" s="145"/>
      <c r="L708" s="145"/>
      <c r="M708" s="145"/>
    </row>
    <row r="709" spans="1:15" x14ac:dyDescent="0.35">
      <c r="A709" s="145"/>
      <c r="B709" s="145"/>
      <c r="C709" s="145"/>
      <c r="D709" s="145"/>
      <c r="E709" s="145"/>
      <c r="F709" s="145"/>
      <c r="G709" s="102"/>
      <c r="H709" s="145"/>
      <c r="I709" s="145"/>
      <c r="J709" s="145"/>
      <c r="K709" s="145"/>
      <c r="L709" s="145"/>
      <c r="M709" s="145"/>
      <c r="N709" s="145"/>
      <c r="O709" s="145"/>
    </row>
    <row r="710" spans="1:15" x14ac:dyDescent="0.35">
      <c r="A710" s="145"/>
      <c r="B710" s="145"/>
      <c r="C710" s="145"/>
      <c r="D710" s="145"/>
      <c r="E710" s="145"/>
      <c r="F710" s="145"/>
      <c r="G710" s="102"/>
      <c r="H710" s="145"/>
      <c r="I710" s="145"/>
      <c r="J710" s="145"/>
      <c r="K710" s="145"/>
      <c r="L710" s="145"/>
      <c r="M710" s="145"/>
    </row>
    <row r="711" spans="1:15" x14ac:dyDescent="0.35">
      <c r="A711" s="145"/>
      <c r="B711" s="145"/>
      <c r="C711" s="145"/>
      <c r="D711" s="145"/>
      <c r="E711" s="145"/>
      <c r="F711" s="145"/>
      <c r="G711" s="102"/>
      <c r="H711" s="145"/>
      <c r="I711" s="145"/>
      <c r="J711" s="145"/>
      <c r="K711" s="145"/>
      <c r="L711" s="145"/>
      <c r="M711" s="145"/>
    </row>
    <row r="712" spans="1:15" x14ac:dyDescent="0.35">
      <c r="A712" s="145"/>
      <c r="B712" s="145"/>
      <c r="C712" s="145"/>
      <c r="D712" s="145"/>
      <c r="E712" s="145"/>
      <c r="F712" s="145"/>
      <c r="G712" s="102"/>
      <c r="H712" s="145"/>
      <c r="I712" s="145"/>
      <c r="J712" s="145"/>
      <c r="K712" s="145"/>
      <c r="L712" s="145"/>
      <c r="M712" s="145"/>
    </row>
    <row r="713" spans="1:15" x14ac:dyDescent="0.35">
      <c r="A713" s="145"/>
      <c r="B713" s="145"/>
      <c r="C713" s="145"/>
      <c r="D713" s="145"/>
      <c r="E713" s="145"/>
      <c r="F713" s="145"/>
      <c r="G713" s="102"/>
      <c r="H713" s="145"/>
      <c r="I713" s="145"/>
      <c r="J713" s="145"/>
      <c r="K713" s="145"/>
      <c r="L713" s="145"/>
      <c r="M713" s="145"/>
      <c r="N713" s="145"/>
      <c r="O713" s="145"/>
    </row>
    <row r="714" spans="1:15" x14ac:dyDescent="0.35">
      <c r="A714" s="145"/>
      <c r="B714" s="145"/>
      <c r="C714" s="145"/>
      <c r="D714" s="145"/>
      <c r="E714" s="145"/>
      <c r="F714" s="145"/>
      <c r="G714" s="102"/>
      <c r="H714" s="145"/>
      <c r="I714" s="145"/>
      <c r="J714" s="145"/>
      <c r="K714" s="145"/>
      <c r="L714" s="145"/>
      <c r="M714" s="145"/>
    </row>
    <row r="715" spans="1:15" x14ac:dyDescent="0.35">
      <c r="A715" s="145"/>
      <c r="B715" s="145"/>
      <c r="C715" s="145"/>
      <c r="D715" s="145"/>
      <c r="E715" s="145"/>
      <c r="F715" s="145"/>
      <c r="G715" s="102"/>
      <c r="H715" s="145"/>
      <c r="I715" s="145"/>
      <c r="J715" s="145"/>
      <c r="K715" s="145"/>
      <c r="L715" s="145"/>
      <c r="M715" s="145"/>
      <c r="N715" s="145"/>
      <c r="O715" s="145"/>
    </row>
    <row r="716" spans="1:15" x14ac:dyDescent="0.35">
      <c r="A716" s="145"/>
      <c r="B716" s="145"/>
      <c r="C716" s="145"/>
      <c r="D716" s="145"/>
      <c r="E716" s="145"/>
      <c r="F716" s="145"/>
      <c r="G716" s="102"/>
      <c r="H716" s="145"/>
      <c r="I716" s="145"/>
      <c r="J716" s="145"/>
      <c r="K716" s="145"/>
      <c r="L716" s="145"/>
      <c r="M716" s="145"/>
      <c r="N716" s="145"/>
      <c r="O716" s="145"/>
    </row>
    <row r="717" spans="1:15" x14ac:dyDescent="0.35">
      <c r="A717" s="145"/>
      <c r="B717" s="145"/>
      <c r="C717" s="145"/>
      <c r="D717" s="145"/>
      <c r="E717" s="145"/>
      <c r="F717" s="145"/>
      <c r="G717" s="102"/>
      <c r="H717" s="145"/>
      <c r="I717" s="145"/>
      <c r="J717" s="145"/>
      <c r="K717" s="145"/>
      <c r="L717" s="145"/>
      <c r="M717" s="145"/>
    </row>
    <row r="718" spans="1:15" x14ac:dyDescent="0.35">
      <c r="A718" s="145"/>
      <c r="B718" s="145"/>
      <c r="C718" s="145"/>
      <c r="D718" s="145"/>
      <c r="E718" s="145"/>
      <c r="F718" s="145"/>
      <c r="G718" s="102"/>
      <c r="H718" s="145"/>
      <c r="I718" s="145"/>
      <c r="J718" s="145"/>
      <c r="K718" s="145"/>
      <c r="L718" s="145"/>
      <c r="M718" s="145"/>
      <c r="N718" s="145"/>
      <c r="O718" s="145"/>
    </row>
    <row r="719" spans="1:15" x14ac:dyDescent="0.35">
      <c r="A719" s="145"/>
      <c r="B719" s="145"/>
      <c r="C719" s="145"/>
      <c r="D719" s="145"/>
      <c r="E719" s="145"/>
      <c r="F719" s="145"/>
      <c r="G719" s="102"/>
      <c r="H719" s="145"/>
      <c r="I719" s="145"/>
      <c r="J719" s="145"/>
      <c r="K719" s="145"/>
      <c r="L719" s="145"/>
      <c r="M719" s="145"/>
      <c r="N719" s="145"/>
      <c r="O719" s="145"/>
    </row>
    <row r="720" spans="1:15" x14ac:dyDescent="0.35">
      <c r="A720" s="145"/>
      <c r="B720" s="145"/>
      <c r="C720" s="145"/>
      <c r="D720" s="145"/>
      <c r="E720" s="145"/>
      <c r="F720" s="145"/>
      <c r="G720" s="102"/>
      <c r="H720" s="145"/>
      <c r="I720" s="145"/>
      <c r="J720" s="145"/>
      <c r="K720" s="145"/>
      <c r="L720" s="145"/>
      <c r="M720" s="145"/>
      <c r="N720" s="145"/>
      <c r="O720" s="145"/>
    </row>
    <row r="721" spans="1:15" x14ac:dyDescent="0.35">
      <c r="A721" s="145"/>
      <c r="B721" s="145"/>
      <c r="C721" s="145"/>
      <c r="D721" s="145"/>
      <c r="E721" s="145"/>
      <c r="F721" s="145"/>
      <c r="G721" s="102"/>
      <c r="H721" s="145"/>
      <c r="I721" s="145"/>
      <c r="J721" s="145"/>
      <c r="K721" s="145"/>
      <c r="L721" s="145"/>
      <c r="M721" s="145"/>
      <c r="N721" s="145"/>
      <c r="O721" s="145"/>
    </row>
    <row r="722" spans="1:15" x14ac:dyDescent="0.35">
      <c r="A722" s="145"/>
      <c r="B722" s="145"/>
      <c r="C722" s="145"/>
      <c r="D722" s="145"/>
      <c r="E722" s="145"/>
      <c r="F722" s="145"/>
      <c r="G722" s="102"/>
      <c r="H722" s="145"/>
      <c r="I722" s="145"/>
      <c r="J722" s="145"/>
      <c r="K722" s="145"/>
      <c r="L722" s="145"/>
      <c r="M722" s="145"/>
      <c r="N722" s="145"/>
      <c r="O722" s="145"/>
    </row>
    <row r="723" spans="1:15" x14ac:dyDescent="0.35">
      <c r="A723" s="145"/>
      <c r="B723" s="145"/>
      <c r="C723" s="145"/>
      <c r="D723" s="145"/>
      <c r="E723" s="145"/>
      <c r="F723" s="145"/>
      <c r="G723" s="102"/>
      <c r="H723" s="145"/>
      <c r="I723" s="145"/>
      <c r="J723" s="145"/>
      <c r="K723" s="145"/>
      <c r="L723" s="145"/>
      <c r="M723" s="145"/>
      <c r="N723" s="145"/>
      <c r="O723" s="145"/>
    </row>
    <row r="724" spans="1:15" x14ac:dyDescent="0.35">
      <c r="A724" s="145"/>
      <c r="B724" s="145"/>
      <c r="C724" s="145"/>
      <c r="D724" s="145"/>
      <c r="E724" s="145"/>
      <c r="F724" s="145"/>
      <c r="G724" s="102"/>
      <c r="H724" s="145"/>
      <c r="I724" s="145"/>
      <c r="J724" s="145"/>
      <c r="K724" s="145"/>
      <c r="L724" s="145"/>
      <c r="M724" s="145"/>
    </row>
    <row r="725" spans="1:15" x14ac:dyDescent="0.35">
      <c r="A725" s="145"/>
      <c r="B725" s="145"/>
      <c r="C725" s="145"/>
      <c r="D725" s="145"/>
      <c r="E725" s="145"/>
      <c r="F725" s="145"/>
      <c r="G725" s="102"/>
      <c r="H725" s="145"/>
      <c r="I725" s="145"/>
      <c r="J725" s="145"/>
      <c r="K725" s="145"/>
      <c r="L725" s="145"/>
      <c r="M725" s="145"/>
      <c r="N725" s="145"/>
      <c r="O725" s="145"/>
    </row>
    <row r="726" spans="1:15" x14ac:dyDescent="0.35">
      <c r="A726" s="145"/>
      <c r="B726" s="145"/>
      <c r="C726" s="145"/>
      <c r="D726" s="145"/>
      <c r="E726" s="145"/>
      <c r="F726" s="145"/>
      <c r="G726" s="102"/>
      <c r="H726" s="145"/>
      <c r="I726" s="145"/>
      <c r="J726" s="145"/>
      <c r="K726" s="145"/>
      <c r="L726" s="145"/>
      <c r="M726" s="145"/>
      <c r="N726" s="145"/>
      <c r="O726" s="145"/>
    </row>
    <row r="727" spans="1:15" x14ac:dyDescent="0.35">
      <c r="A727" s="145"/>
      <c r="B727" s="145"/>
      <c r="C727" s="145"/>
      <c r="D727" s="145"/>
      <c r="E727" s="145"/>
      <c r="F727" s="145"/>
      <c r="G727" s="102"/>
      <c r="H727" s="145"/>
      <c r="I727" s="145"/>
      <c r="J727" s="145"/>
      <c r="K727" s="145"/>
      <c r="L727" s="145"/>
      <c r="M727" s="145"/>
    </row>
    <row r="728" spans="1:15" x14ac:dyDescent="0.35">
      <c r="A728" s="145"/>
      <c r="B728" s="145"/>
      <c r="C728" s="145"/>
      <c r="D728" s="145"/>
      <c r="E728" s="145"/>
      <c r="F728" s="145"/>
      <c r="G728" s="102"/>
      <c r="H728" s="145"/>
      <c r="I728" s="145"/>
      <c r="J728" s="145"/>
      <c r="K728" s="145"/>
      <c r="L728" s="145"/>
      <c r="M728" s="145"/>
      <c r="N728" s="145"/>
      <c r="O728" s="145"/>
    </row>
    <row r="729" spans="1:15" x14ac:dyDescent="0.35">
      <c r="A729" s="145"/>
      <c r="B729" s="145"/>
      <c r="C729" s="145"/>
      <c r="D729" s="145"/>
      <c r="E729" s="145"/>
      <c r="F729" s="145"/>
      <c r="G729" s="102"/>
      <c r="H729" s="145"/>
      <c r="I729" s="145"/>
      <c r="J729" s="145"/>
      <c r="K729" s="145"/>
      <c r="L729" s="145"/>
      <c r="M729" s="145"/>
      <c r="N729" s="145"/>
      <c r="O729" s="145"/>
    </row>
    <row r="730" spans="1:15" x14ac:dyDescent="0.35">
      <c r="A730" s="145"/>
      <c r="B730" s="145"/>
      <c r="C730" s="145"/>
      <c r="D730" s="145"/>
      <c r="E730" s="145"/>
      <c r="F730" s="145"/>
      <c r="G730" s="102"/>
      <c r="H730" s="145"/>
      <c r="I730" s="145"/>
      <c r="J730" s="145"/>
      <c r="K730" s="145"/>
      <c r="L730" s="145"/>
      <c r="M730" s="145"/>
      <c r="N730" s="31"/>
      <c r="O730" s="31"/>
    </row>
    <row r="731" spans="1:15" x14ac:dyDescent="0.35">
      <c r="A731" s="145"/>
      <c r="B731" s="145"/>
      <c r="C731" s="145"/>
      <c r="D731" s="145"/>
      <c r="E731" s="145"/>
      <c r="F731" s="145"/>
      <c r="G731" s="102"/>
      <c r="H731" s="145"/>
      <c r="I731" s="145"/>
      <c r="J731" s="145"/>
      <c r="K731" s="145"/>
      <c r="L731" s="145"/>
      <c r="M731" s="145"/>
      <c r="N731" s="31"/>
      <c r="O731" s="31"/>
    </row>
    <row r="732" spans="1:15" x14ac:dyDescent="0.35">
      <c r="A732" s="145"/>
      <c r="B732" s="145"/>
      <c r="C732" s="145"/>
      <c r="D732" s="145"/>
      <c r="E732" s="145"/>
      <c r="F732" s="145"/>
      <c r="G732" s="102"/>
      <c r="H732" s="145"/>
      <c r="I732" s="145"/>
      <c r="J732" s="145"/>
      <c r="K732" s="145"/>
      <c r="L732" s="145"/>
      <c r="M732" s="145"/>
    </row>
    <row r="733" spans="1:15" x14ac:dyDescent="0.35">
      <c r="A733" s="145"/>
      <c r="B733" s="145"/>
      <c r="C733" s="145"/>
      <c r="D733" s="145"/>
      <c r="E733" s="145"/>
      <c r="F733" s="145"/>
      <c r="G733" s="102"/>
      <c r="H733" s="145"/>
      <c r="I733" s="145"/>
      <c r="J733" s="145"/>
      <c r="K733" s="145"/>
      <c r="L733" s="145"/>
      <c r="M733" s="145"/>
    </row>
    <row r="734" spans="1:15" x14ac:dyDescent="0.35">
      <c r="A734" s="145"/>
      <c r="B734" s="145"/>
      <c r="C734" s="145"/>
      <c r="D734" s="145"/>
      <c r="E734" s="145"/>
      <c r="F734" s="145"/>
      <c r="G734" s="102"/>
      <c r="H734" s="145"/>
      <c r="I734" s="145"/>
      <c r="J734" s="145"/>
      <c r="K734" s="145"/>
      <c r="L734" s="145"/>
      <c r="M734" s="145"/>
    </row>
    <row r="735" spans="1:15" x14ac:dyDescent="0.35">
      <c r="A735" s="145"/>
      <c r="B735" s="145"/>
      <c r="C735" s="145"/>
      <c r="D735" s="145"/>
      <c r="E735" s="145"/>
      <c r="F735" s="145"/>
      <c r="G735" s="102"/>
      <c r="H735" s="145"/>
      <c r="I735" s="145"/>
      <c r="J735" s="145"/>
      <c r="K735" s="145"/>
      <c r="L735" s="145"/>
      <c r="M735" s="145"/>
    </row>
    <row r="736" spans="1:15" x14ac:dyDescent="0.35">
      <c r="A736" s="145"/>
      <c r="B736" s="145"/>
      <c r="C736" s="145"/>
      <c r="D736" s="145"/>
      <c r="E736" s="145"/>
      <c r="F736" s="145"/>
      <c r="G736" s="102"/>
      <c r="H736" s="145"/>
      <c r="I736" s="145"/>
      <c r="J736" s="145"/>
      <c r="K736" s="145"/>
      <c r="L736" s="145"/>
      <c r="M736" s="145"/>
    </row>
    <row r="737" spans="1:15" x14ac:dyDescent="0.35">
      <c r="A737" s="145"/>
      <c r="B737" s="145"/>
      <c r="C737" s="145"/>
      <c r="D737" s="145"/>
      <c r="E737" s="145"/>
      <c r="F737" s="145"/>
      <c r="G737" s="102"/>
      <c r="H737" s="145"/>
      <c r="I737" s="145"/>
      <c r="J737" s="145"/>
      <c r="K737" s="145"/>
      <c r="L737" s="145"/>
      <c r="M737" s="145"/>
    </row>
    <row r="738" spans="1:15" x14ac:dyDescent="0.35">
      <c r="A738" s="145"/>
      <c r="B738" s="145"/>
      <c r="C738" s="145"/>
      <c r="D738" s="145"/>
      <c r="E738" s="145"/>
      <c r="F738" s="145"/>
      <c r="G738" s="102"/>
      <c r="H738" s="145"/>
      <c r="I738" s="145"/>
      <c r="J738" s="145"/>
      <c r="K738" s="145"/>
      <c r="L738" s="145"/>
      <c r="M738" s="145"/>
    </row>
    <row r="739" spans="1:15" x14ac:dyDescent="0.35">
      <c r="A739" s="145"/>
      <c r="B739" s="145"/>
      <c r="C739" s="145"/>
      <c r="D739" s="145"/>
      <c r="E739" s="145"/>
      <c r="F739" s="145"/>
      <c r="G739" s="102"/>
      <c r="H739" s="145"/>
      <c r="I739" s="145"/>
      <c r="J739" s="145"/>
      <c r="K739" s="145"/>
      <c r="L739" s="145"/>
      <c r="M739" s="145"/>
      <c r="N739" s="31"/>
      <c r="O739" s="31"/>
    </row>
    <row r="740" spans="1:15" x14ac:dyDescent="0.35">
      <c r="A740" s="145"/>
      <c r="B740" s="145"/>
      <c r="C740" s="145"/>
      <c r="D740" s="145"/>
      <c r="E740" s="145"/>
      <c r="F740" s="145"/>
      <c r="G740" s="102"/>
      <c r="H740" s="145"/>
      <c r="I740" s="145"/>
      <c r="J740" s="145"/>
      <c r="K740" s="145"/>
      <c r="L740" s="145"/>
      <c r="M740" s="145"/>
    </row>
    <row r="741" spans="1:15" x14ac:dyDescent="0.35">
      <c r="A741" s="145"/>
      <c r="B741" s="145"/>
      <c r="C741" s="145"/>
      <c r="D741" s="145"/>
      <c r="E741" s="145"/>
      <c r="F741" s="145"/>
      <c r="G741" s="102"/>
      <c r="H741" s="145"/>
      <c r="I741" s="145"/>
      <c r="J741" s="145"/>
      <c r="K741" s="145"/>
      <c r="L741" s="145"/>
      <c r="M741" s="145"/>
    </row>
    <row r="742" spans="1:15" x14ac:dyDescent="0.35">
      <c r="A742" s="145"/>
      <c r="B742" s="145"/>
      <c r="C742" s="145"/>
      <c r="D742" s="145"/>
      <c r="E742" s="145"/>
      <c r="F742" s="145"/>
      <c r="G742" s="102"/>
      <c r="H742" s="145"/>
      <c r="I742" s="145"/>
      <c r="J742" s="145"/>
      <c r="K742" s="145"/>
      <c r="L742" s="145"/>
      <c r="M742" s="145"/>
    </row>
    <row r="743" spans="1:15" x14ac:dyDescent="0.35">
      <c r="A743" s="145"/>
      <c r="B743" s="145"/>
      <c r="C743" s="145"/>
      <c r="D743" s="145"/>
      <c r="E743" s="145"/>
      <c r="F743" s="145"/>
      <c r="G743" s="102"/>
      <c r="H743" s="145"/>
      <c r="I743" s="145"/>
      <c r="J743" s="145"/>
      <c r="K743" s="145"/>
      <c r="L743" s="145"/>
      <c r="M743" s="145"/>
    </row>
    <row r="744" spans="1:15" x14ac:dyDescent="0.35">
      <c r="A744" s="145"/>
      <c r="B744" s="145"/>
      <c r="C744" s="145"/>
      <c r="D744" s="145"/>
      <c r="E744" s="145"/>
      <c r="F744" s="145"/>
      <c r="G744" s="102"/>
      <c r="H744" s="145"/>
      <c r="I744" s="145"/>
      <c r="J744" s="145"/>
      <c r="K744" s="145"/>
      <c r="L744" s="145"/>
      <c r="M744" s="145"/>
    </row>
    <row r="745" spans="1:15" x14ac:dyDescent="0.35">
      <c r="A745" s="145"/>
      <c r="B745" s="145"/>
      <c r="C745" s="145"/>
      <c r="D745" s="145"/>
      <c r="E745" s="145"/>
      <c r="F745" s="145"/>
      <c r="G745" s="102"/>
      <c r="H745" s="145"/>
      <c r="I745" s="145"/>
      <c r="J745" s="145"/>
      <c r="K745" s="145"/>
      <c r="L745" s="145"/>
      <c r="M745" s="145"/>
    </row>
    <row r="746" spans="1:15" x14ac:dyDescent="0.35">
      <c r="A746" s="145"/>
      <c r="B746" s="145"/>
      <c r="C746" s="145"/>
      <c r="D746" s="145"/>
      <c r="E746" s="145"/>
      <c r="F746" s="145"/>
      <c r="G746" s="102"/>
      <c r="H746" s="145"/>
      <c r="I746" s="145"/>
      <c r="J746" s="145"/>
      <c r="K746" s="145"/>
      <c r="L746" s="145"/>
      <c r="M746" s="145"/>
      <c r="N746" s="145"/>
      <c r="O746" s="145"/>
    </row>
    <row r="747" spans="1:15" x14ac:dyDescent="0.35">
      <c r="A747" s="145"/>
      <c r="B747" s="145"/>
      <c r="C747" s="145"/>
      <c r="D747" s="145"/>
      <c r="E747" s="145"/>
      <c r="F747" s="145"/>
      <c r="G747" s="102"/>
      <c r="H747" s="145"/>
      <c r="I747" s="145"/>
      <c r="J747" s="145"/>
      <c r="K747" s="145"/>
      <c r="L747" s="145"/>
      <c r="M747" s="145"/>
    </row>
    <row r="748" spans="1:15" x14ac:dyDescent="0.35">
      <c r="A748" s="145"/>
      <c r="B748" s="145"/>
      <c r="C748" s="145"/>
      <c r="D748" s="145"/>
      <c r="E748" s="145"/>
      <c r="F748" s="145"/>
      <c r="G748" s="102"/>
      <c r="H748" s="145"/>
      <c r="I748" s="145"/>
      <c r="J748" s="145"/>
      <c r="K748" s="145"/>
      <c r="L748" s="145"/>
      <c r="M748" s="145"/>
    </row>
    <row r="749" spans="1:15" x14ac:dyDescent="0.35">
      <c r="A749" s="145"/>
      <c r="B749" s="145"/>
      <c r="C749" s="145"/>
      <c r="D749" s="145"/>
      <c r="E749" s="145"/>
      <c r="F749" s="145"/>
      <c r="G749" s="102"/>
      <c r="H749" s="145"/>
      <c r="I749" s="145"/>
      <c r="J749" s="145"/>
      <c r="K749" s="145"/>
      <c r="L749" s="145"/>
      <c r="M749" s="145"/>
    </row>
    <row r="750" spans="1:15" x14ac:dyDescent="0.35">
      <c r="A750" s="145"/>
      <c r="B750" s="145"/>
      <c r="C750" s="145"/>
      <c r="D750" s="145"/>
      <c r="E750" s="145"/>
      <c r="F750" s="145"/>
      <c r="G750" s="102"/>
      <c r="H750" s="145"/>
      <c r="I750" s="145"/>
      <c r="J750" s="145"/>
      <c r="K750" s="145"/>
      <c r="L750" s="145"/>
      <c r="M750" s="145"/>
    </row>
    <row r="751" spans="1:15" x14ac:dyDescent="0.35">
      <c r="A751" s="145"/>
      <c r="B751" s="145"/>
      <c r="C751" s="145"/>
      <c r="D751" s="145"/>
      <c r="E751" s="145"/>
      <c r="F751" s="145"/>
      <c r="G751" s="102"/>
      <c r="H751" s="145"/>
      <c r="I751" s="145"/>
      <c r="J751" s="145"/>
      <c r="K751" s="145"/>
      <c r="L751" s="145"/>
      <c r="M751" s="145"/>
      <c r="N751" s="145"/>
      <c r="O751" s="145"/>
    </row>
    <row r="752" spans="1:15" x14ac:dyDescent="0.35">
      <c r="A752" s="145"/>
      <c r="B752" s="145"/>
      <c r="C752" s="145"/>
      <c r="D752" s="145"/>
      <c r="E752" s="145"/>
      <c r="F752" s="145"/>
      <c r="G752" s="102"/>
      <c r="H752" s="145"/>
      <c r="I752" s="145"/>
      <c r="J752" s="145"/>
      <c r="K752" s="145"/>
      <c r="L752" s="145"/>
      <c r="M752" s="145"/>
    </row>
    <row r="753" spans="1:15" x14ac:dyDescent="0.35">
      <c r="A753" s="145"/>
      <c r="B753" s="145"/>
      <c r="C753" s="145"/>
      <c r="D753" s="145"/>
      <c r="E753" s="145"/>
      <c r="F753" s="145"/>
      <c r="G753" s="102"/>
      <c r="H753" s="145"/>
      <c r="I753" s="145"/>
      <c r="J753" s="145"/>
      <c r="K753" s="145"/>
      <c r="L753" s="145"/>
      <c r="M753" s="145"/>
      <c r="N753" s="145"/>
      <c r="O753" s="145"/>
    </row>
    <row r="754" spans="1:15" x14ac:dyDescent="0.35">
      <c r="A754" s="145"/>
      <c r="B754" s="145"/>
      <c r="C754" s="145"/>
      <c r="D754" s="145"/>
      <c r="E754" s="145"/>
      <c r="F754" s="145"/>
      <c r="G754" s="102"/>
      <c r="H754" s="145"/>
      <c r="I754" s="145"/>
      <c r="J754" s="145"/>
      <c r="K754" s="145"/>
      <c r="L754" s="145"/>
      <c r="M754" s="145"/>
    </row>
    <row r="755" spans="1:15" x14ac:dyDescent="0.35">
      <c r="A755" s="145"/>
      <c r="B755" s="145"/>
      <c r="C755" s="145"/>
      <c r="D755" s="145"/>
      <c r="E755" s="145"/>
      <c r="F755" s="145"/>
      <c r="G755" s="102"/>
      <c r="H755" s="145"/>
      <c r="I755" s="145"/>
      <c r="J755" s="145"/>
      <c r="K755" s="145"/>
      <c r="L755" s="145"/>
      <c r="M755" s="145"/>
      <c r="N755" s="145"/>
      <c r="O755" s="145"/>
    </row>
    <row r="756" spans="1:15" x14ac:dyDescent="0.35">
      <c r="A756" s="145"/>
      <c r="B756" s="145"/>
      <c r="C756" s="145"/>
      <c r="D756" s="145"/>
      <c r="E756" s="145"/>
      <c r="F756" s="145"/>
      <c r="G756" s="102"/>
      <c r="H756" s="145"/>
      <c r="I756" s="145"/>
      <c r="J756" s="145"/>
      <c r="K756" s="145"/>
      <c r="L756" s="145"/>
      <c r="M756" s="145"/>
      <c r="N756" s="145"/>
      <c r="O756" s="145"/>
    </row>
    <row r="757" spans="1:15" x14ac:dyDescent="0.35">
      <c r="A757" s="145"/>
      <c r="B757" s="145"/>
      <c r="C757" s="145"/>
      <c r="D757" s="145"/>
      <c r="E757" s="145"/>
      <c r="F757" s="145"/>
      <c r="G757" s="102"/>
      <c r="H757" s="145"/>
      <c r="I757" s="145"/>
      <c r="J757" s="145"/>
      <c r="K757" s="145"/>
      <c r="L757" s="145"/>
      <c r="M757" s="145"/>
    </row>
    <row r="758" spans="1:15" x14ac:dyDescent="0.35">
      <c r="A758" s="145"/>
      <c r="B758" s="145"/>
      <c r="C758" s="145"/>
      <c r="D758" s="145"/>
      <c r="E758" s="145"/>
      <c r="F758" s="145"/>
      <c r="G758" s="102"/>
      <c r="H758" s="145"/>
      <c r="I758" s="145"/>
      <c r="J758" s="145"/>
      <c r="K758" s="145"/>
      <c r="L758" s="145"/>
      <c r="M758" s="145"/>
    </row>
    <row r="759" spans="1:15" x14ac:dyDescent="0.35">
      <c r="A759" s="145"/>
      <c r="B759" s="145"/>
      <c r="C759" s="145"/>
      <c r="D759" s="145"/>
      <c r="E759" s="145"/>
      <c r="F759" s="145"/>
      <c r="G759" s="102"/>
      <c r="H759" s="145"/>
      <c r="I759" s="145"/>
      <c r="J759" s="145"/>
      <c r="K759" s="145"/>
      <c r="L759" s="145"/>
      <c r="M759" s="145"/>
      <c r="N759" s="145"/>
      <c r="O759" s="145"/>
    </row>
    <row r="760" spans="1:15" x14ac:dyDescent="0.35">
      <c r="A760" s="145"/>
      <c r="B760" s="145"/>
      <c r="C760" s="145"/>
      <c r="D760" s="145"/>
      <c r="E760" s="145"/>
      <c r="F760" s="145"/>
      <c r="G760" s="102"/>
      <c r="H760" s="145"/>
      <c r="I760" s="145"/>
      <c r="J760" s="145"/>
      <c r="K760" s="145"/>
      <c r="L760" s="145"/>
      <c r="M760" s="145"/>
      <c r="N760" s="31"/>
      <c r="O760" s="31"/>
    </row>
    <row r="761" spans="1:15" x14ac:dyDescent="0.35">
      <c r="A761" s="145"/>
      <c r="B761" s="145"/>
      <c r="C761" s="145"/>
      <c r="D761" s="145"/>
      <c r="E761" s="145"/>
      <c r="F761" s="145"/>
      <c r="G761" s="102"/>
      <c r="H761" s="145"/>
      <c r="I761" s="145"/>
      <c r="J761" s="145"/>
      <c r="K761" s="145"/>
      <c r="L761" s="145"/>
      <c r="M761" s="145"/>
    </row>
    <row r="762" spans="1:15" x14ac:dyDescent="0.35">
      <c r="A762" s="145"/>
      <c r="B762" s="145"/>
      <c r="C762" s="145"/>
      <c r="D762" s="145"/>
      <c r="E762" s="145"/>
      <c r="F762" s="145"/>
      <c r="G762" s="102"/>
      <c r="H762" s="145"/>
      <c r="I762" s="145"/>
      <c r="J762" s="145"/>
      <c r="K762" s="145"/>
      <c r="L762" s="145"/>
      <c r="M762" s="145"/>
    </row>
    <row r="763" spans="1:15" x14ac:dyDescent="0.35">
      <c r="A763" s="145"/>
      <c r="B763" s="145"/>
      <c r="C763" s="145"/>
      <c r="D763" s="145"/>
      <c r="E763" s="145"/>
      <c r="F763" s="145"/>
      <c r="G763" s="102"/>
      <c r="H763" s="145"/>
      <c r="I763" s="145"/>
      <c r="J763" s="145"/>
      <c r="K763" s="145"/>
      <c r="L763" s="145"/>
      <c r="M763" s="145"/>
    </row>
    <row r="764" spans="1:15" x14ac:dyDescent="0.35">
      <c r="A764" s="145"/>
      <c r="B764" s="145"/>
      <c r="C764" s="145"/>
      <c r="D764" s="145"/>
      <c r="E764" s="145"/>
      <c r="F764" s="145"/>
      <c r="G764" s="102"/>
      <c r="H764" s="145"/>
      <c r="I764" s="145"/>
      <c r="J764" s="145"/>
      <c r="K764" s="145"/>
      <c r="L764" s="145"/>
      <c r="M764" s="145"/>
    </row>
    <row r="765" spans="1:15" x14ac:dyDescent="0.35">
      <c r="A765" s="145"/>
      <c r="B765" s="145"/>
      <c r="C765" s="145"/>
      <c r="D765" s="145"/>
      <c r="E765" s="145"/>
      <c r="F765" s="145"/>
      <c r="G765" s="102"/>
      <c r="H765" s="145"/>
      <c r="I765" s="145"/>
      <c r="J765" s="145"/>
      <c r="K765" s="145"/>
      <c r="L765" s="145"/>
      <c r="M765" s="145"/>
    </row>
    <row r="766" spans="1:15" x14ac:dyDescent="0.35">
      <c r="A766" s="145"/>
      <c r="B766" s="145"/>
      <c r="C766" s="145"/>
      <c r="D766" s="145"/>
      <c r="E766" s="145"/>
      <c r="F766" s="145"/>
      <c r="G766" s="102"/>
      <c r="H766" s="145"/>
      <c r="I766" s="145"/>
      <c r="J766" s="145"/>
      <c r="K766" s="145"/>
      <c r="L766" s="145"/>
      <c r="M766" s="145"/>
    </row>
    <row r="767" spans="1:15" x14ac:dyDescent="0.35">
      <c r="A767" s="145"/>
      <c r="B767" s="145"/>
      <c r="C767" s="145"/>
      <c r="D767" s="145"/>
      <c r="E767" s="145"/>
      <c r="F767" s="145"/>
      <c r="G767" s="102"/>
      <c r="H767" s="145"/>
      <c r="I767" s="145"/>
      <c r="J767" s="145"/>
      <c r="K767" s="145"/>
      <c r="L767" s="145"/>
      <c r="M767" s="145"/>
    </row>
    <row r="768" spans="1:15" x14ac:dyDescent="0.35">
      <c r="A768" s="145"/>
      <c r="B768" s="145"/>
      <c r="C768" s="145"/>
      <c r="D768" s="145"/>
      <c r="E768" s="145"/>
      <c r="F768" s="145"/>
      <c r="G768" s="102"/>
      <c r="H768" s="145"/>
      <c r="I768" s="145"/>
      <c r="J768" s="145"/>
      <c r="K768" s="145"/>
      <c r="L768" s="145"/>
      <c r="M768" s="145"/>
    </row>
    <row r="769" spans="1:15" x14ac:dyDescent="0.35">
      <c r="A769" s="145"/>
      <c r="B769" s="145"/>
      <c r="C769" s="145"/>
      <c r="D769" s="145"/>
      <c r="E769" s="145"/>
      <c r="F769" s="145"/>
      <c r="G769" s="102"/>
      <c r="H769" s="145"/>
      <c r="I769" s="145"/>
      <c r="J769" s="145"/>
      <c r="K769" s="145"/>
      <c r="L769" s="145"/>
      <c r="M769" s="145"/>
      <c r="N769" s="145"/>
      <c r="O769" s="145"/>
    </row>
    <row r="770" spans="1:15" x14ac:dyDescent="0.35">
      <c r="A770" s="145"/>
      <c r="B770" s="145"/>
      <c r="C770" s="145"/>
      <c r="D770" s="145"/>
      <c r="E770" s="145"/>
      <c r="F770" s="145"/>
      <c r="G770" s="102"/>
      <c r="H770" s="145"/>
      <c r="I770" s="145"/>
      <c r="J770" s="145"/>
      <c r="K770" s="145"/>
      <c r="L770" s="145"/>
      <c r="M770" s="145"/>
      <c r="N770" s="145"/>
      <c r="O770" s="145"/>
    </row>
    <row r="771" spans="1:15" x14ac:dyDescent="0.35">
      <c r="A771" s="145"/>
      <c r="B771" s="145"/>
      <c r="C771" s="145"/>
      <c r="D771" s="145"/>
      <c r="E771" s="145"/>
      <c r="F771" s="145"/>
      <c r="G771" s="102"/>
      <c r="H771" s="145"/>
      <c r="I771" s="145"/>
      <c r="J771" s="145"/>
      <c r="K771" s="145"/>
      <c r="L771" s="145"/>
      <c r="M771" s="145"/>
      <c r="N771" s="145"/>
      <c r="O771" s="145"/>
    </row>
    <row r="772" spans="1:15" x14ac:dyDescent="0.35">
      <c r="A772" s="145"/>
      <c r="B772" s="145"/>
      <c r="C772" s="145"/>
      <c r="D772" s="145"/>
      <c r="E772" s="145"/>
      <c r="F772" s="145"/>
      <c r="G772" s="102"/>
      <c r="H772" s="145"/>
      <c r="I772" s="145"/>
      <c r="J772" s="145"/>
      <c r="K772" s="145"/>
      <c r="L772" s="145"/>
      <c r="M772" s="145"/>
      <c r="N772" s="145"/>
      <c r="O772" s="145"/>
    </row>
    <row r="773" spans="1:15" x14ac:dyDescent="0.35">
      <c r="A773" s="145"/>
      <c r="B773" s="145"/>
      <c r="C773" s="145"/>
      <c r="D773" s="145"/>
      <c r="E773" s="145"/>
      <c r="F773" s="145"/>
      <c r="G773" s="102"/>
      <c r="H773" s="145"/>
      <c r="I773" s="145"/>
      <c r="J773" s="145"/>
      <c r="K773" s="145"/>
      <c r="L773" s="145"/>
      <c r="M773" s="145"/>
      <c r="N773" s="145"/>
      <c r="O773" s="145"/>
    </row>
    <row r="774" spans="1:15" x14ac:dyDescent="0.35">
      <c r="A774" s="145"/>
      <c r="B774" s="145"/>
      <c r="C774" s="145"/>
      <c r="D774" s="145"/>
      <c r="E774" s="145"/>
      <c r="F774" s="145"/>
      <c r="G774" s="102"/>
      <c r="H774" s="145"/>
      <c r="I774" s="145"/>
      <c r="J774" s="145"/>
      <c r="K774" s="145"/>
      <c r="L774" s="145"/>
      <c r="M774" s="145"/>
      <c r="N774" s="145"/>
      <c r="O774" s="145"/>
    </row>
    <row r="775" spans="1:15" x14ac:dyDescent="0.35">
      <c r="A775" s="145"/>
      <c r="B775" s="145"/>
      <c r="C775" s="145"/>
      <c r="D775" s="145"/>
      <c r="E775" s="145"/>
      <c r="F775" s="145"/>
      <c r="G775" s="102"/>
      <c r="H775" s="145"/>
      <c r="I775" s="145"/>
      <c r="J775" s="145"/>
      <c r="K775" s="145"/>
      <c r="L775" s="145"/>
      <c r="M775" s="145"/>
      <c r="N775" s="145"/>
      <c r="O775" s="145"/>
    </row>
    <row r="776" spans="1:15" x14ac:dyDescent="0.35">
      <c r="A776" s="145"/>
      <c r="B776" s="145"/>
      <c r="C776" s="145"/>
      <c r="D776" s="145"/>
      <c r="E776" s="145"/>
      <c r="F776" s="145"/>
      <c r="G776" s="102"/>
      <c r="H776" s="145"/>
      <c r="I776" s="145"/>
      <c r="J776" s="145"/>
      <c r="K776" s="145"/>
      <c r="L776" s="145"/>
      <c r="M776" s="145"/>
      <c r="N776" s="145"/>
      <c r="O776" s="145"/>
    </row>
    <row r="777" spans="1:15" x14ac:dyDescent="0.35">
      <c r="A777" s="145"/>
      <c r="B777" s="145"/>
      <c r="C777" s="145"/>
      <c r="D777" s="145"/>
      <c r="E777" s="145"/>
      <c r="F777" s="145"/>
      <c r="G777" s="102"/>
      <c r="H777" s="145"/>
      <c r="I777" s="145"/>
      <c r="J777" s="145"/>
      <c r="K777" s="145"/>
      <c r="L777" s="145"/>
      <c r="M777" s="145"/>
      <c r="N777" s="145"/>
      <c r="O777" s="145"/>
    </row>
    <row r="778" spans="1:15" x14ac:dyDescent="0.35">
      <c r="A778" s="145"/>
      <c r="B778" s="145"/>
      <c r="C778" s="145"/>
      <c r="D778" s="145"/>
      <c r="E778" s="145"/>
      <c r="F778" s="145"/>
      <c r="G778" s="102"/>
      <c r="H778" s="145"/>
      <c r="I778" s="145"/>
      <c r="J778" s="145"/>
      <c r="K778" s="145"/>
      <c r="L778" s="145"/>
      <c r="M778" s="145"/>
      <c r="N778" s="145"/>
      <c r="O778" s="145"/>
    </row>
    <row r="779" spans="1:15" x14ac:dyDescent="0.35">
      <c r="A779" s="145"/>
      <c r="B779" s="145"/>
      <c r="C779" s="145"/>
      <c r="D779" s="145"/>
      <c r="E779" s="145"/>
      <c r="F779" s="145"/>
      <c r="G779" s="102"/>
      <c r="H779" s="145"/>
      <c r="I779" s="145"/>
      <c r="J779" s="145"/>
      <c r="K779" s="145"/>
      <c r="L779" s="145"/>
      <c r="M779" s="145"/>
    </row>
    <row r="780" spans="1:15" x14ac:dyDescent="0.35">
      <c r="A780" s="145"/>
      <c r="B780" s="145"/>
      <c r="C780" s="145"/>
      <c r="D780" s="145"/>
      <c r="E780" s="145"/>
      <c r="F780" s="145"/>
      <c r="G780" s="102"/>
      <c r="H780" s="145"/>
      <c r="I780" s="145"/>
      <c r="J780" s="145"/>
      <c r="K780" s="145"/>
      <c r="L780" s="145"/>
      <c r="M780" s="145"/>
      <c r="N780" s="145"/>
      <c r="O780" s="145"/>
    </row>
    <row r="781" spans="1:15" x14ac:dyDescent="0.35">
      <c r="A781" s="145"/>
      <c r="B781" s="145"/>
      <c r="C781" s="145"/>
      <c r="D781" s="145"/>
      <c r="E781" s="145"/>
      <c r="F781" s="145"/>
      <c r="G781" s="102"/>
      <c r="H781" s="145"/>
      <c r="I781" s="145"/>
      <c r="J781" s="145"/>
      <c r="K781" s="145"/>
      <c r="L781" s="145"/>
      <c r="M781" s="145"/>
      <c r="N781" s="145"/>
      <c r="O781" s="145"/>
    </row>
    <row r="782" spans="1:15" x14ac:dyDescent="0.35">
      <c r="A782" s="145"/>
      <c r="B782" s="145"/>
      <c r="C782" s="145"/>
      <c r="D782" s="145"/>
      <c r="E782" s="145"/>
      <c r="F782" s="145"/>
      <c r="G782" s="102"/>
      <c r="H782" s="145"/>
      <c r="I782" s="145"/>
      <c r="J782" s="145"/>
      <c r="K782" s="145"/>
      <c r="L782" s="145"/>
      <c r="M782" s="145"/>
      <c r="N782" s="31"/>
      <c r="O782" s="31"/>
    </row>
    <row r="783" spans="1:15" x14ac:dyDescent="0.35">
      <c r="A783" s="145"/>
      <c r="B783" s="145"/>
      <c r="C783" s="145"/>
      <c r="D783" s="145"/>
      <c r="E783" s="145"/>
      <c r="F783" s="145"/>
      <c r="G783" s="102"/>
      <c r="H783" s="145"/>
      <c r="I783" s="145"/>
      <c r="J783" s="145"/>
      <c r="K783" s="145"/>
      <c r="L783" s="145"/>
      <c r="M783" s="145"/>
      <c r="N783" s="145"/>
      <c r="O783" s="145"/>
    </row>
    <row r="784" spans="1:15" x14ac:dyDescent="0.35">
      <c r="A784" s="145"/>
      <c r="B784" s="145"/>
      <c r="C784" s="145"/>
      <c r="D784" s="145"/>
      <c r="E784" s="145"/>
      <c r="F784" s="145"/>
      <c r="G784" s="102"/>
      <c r="H784" s="145"/>
      <c r="I784" s="145"/>
      <c r="J784" s="145"/>
      <c r="K784" s="145"/>
      <c r="L784" s="145"/>
      <c r="M784" s="145"/>
      <c r="N784" s="145"/>
      <c r="O784" s="145"/>
    </row>
    <row r="785" spans="1:15" x14ac:dyDescent="0.35">
      <c r="A785" s="145"/>
      <c r="B785" s="145"/>
      <c r="C785" s="145"/>
      <c r="D785" s="145"/>
      <c r="E785" s="145"/>
      <c r="F785" s="145"/>
      <c r="G785" s="102"/>
      <c r="H785" s="145"/>
      <c r="I785" s="145"/>
      <c r="J785" s="145"/>
      <c r="K785" s="145"/>
      <c r="L785" s="145"/>
      <c r="M785" s="145"/>
      <c r="N785" s="145"/>
      <c r="O785" s="145"/>
    </row>
    <row r="786" spans="1:15" x14ac:dyDescent="0.35">
      <c r="A786" s="145"/>
      <c r="B786" s="145"/>
      <c r="C786" s="145"/>
      <c r="D786" s="145"/>
      <c r="E786" s="145"/>
      <c r="F786" s="145"/>
      <c r="G786" s="102"/>
      <c r="H786" s="145"/>
      <c r="I786" s="145"/>
      <c r="J786" s="145"/>
      <c r="K786" s="145"/>
      <c r="L786" s="145"/>
      <c r="M786" s="145"/>
      <c r="N786" s="31"/>
      <c r="O786" s="31"/>
    </row>
    <row r="787" spans="1:15" x14ac:dyDescent="0.35">
      <c r="A787" s="145"/>
      <c r="B787" s="145"/>
      <c r="C787" s="145"/>
      <c r="D787" s="145"/>
      <c r="E787" s="145"/>
      <c r="F787" s="145"/>
      <c r="G787" s="102"/>
      <c r="H787" s="145"/>
      <c r="I787" s="145"/>
      <c r="J787" s="145"/>
      <c r="K787" s="145"/>
      <c r="L787" s="145"/>
      <c r="M787" s="145"/>
    </row>
    <row r="788" spans="1:15" x14ac:dyDescent="0.35">
      <c r="A788" s="145"/>
      <c r="B788" s="145"/>
      <c r="C788" s="145"/>
      <c r="D788" s="145"/>
      <c r="E788" s="145"/>
      <c r="F788" s="145"/>
      <c r="G788" s="102"/>
      <c r="H788" s="145"/>
      <c r="I788" s="145"/>
      <c r="J788" s="145"/>
      <c r="K788" s="145"/>
      <c r="L788" s="145"/>
      <c r="M788" s="145"/>
    </row>
    <row r="789" spans="1:15" x14ac:dyDescent="0.35">
      <c r="A789" s="145"/>
      <c r="B789" s="145"/>
      <c r="C789" s="145"/>
      <c r="D789" s="145"/>
      <c r="E789" s="145"/>
      <c r="F789" s="145"/>
      <c r="G789" s="102"/>
      <c r="H789" s="145"/>
      <c r="I789" s="145"/>
      <c r="J789" s="145"/>
      <c r="K789" s="145"/>
      <c r="L789" s="145"/>
      <c r="M789" s="145"/>
    </row>
    <row r="790" spans="1:15" x14ac:dyDescent="0.35">
      <c r="A790" s="145"/>
      <c r="B790" s="145"/>
      <c r="C790" s="145"/>
      <c r="D790" s="145"/>
      <c r="E790" s="145"/>
      <c r="F790" s="145"/>
      <c r="G790" s="102"/>
      <c r="H790" s="145"/>
      <c r="I790" s="145"/>
      <c r="J790" s="145"/>
      <c r="K790" s="145"/>
      <c r="L790" s="145"/>
      <c r="M790" s="145"/>
    </row>
    <row r="791" spans="1:15" x14ac:dyDescent="0.35">
      <c r="A791" s="145"/>
      <c r="B791" s="145"/>
      <c r="C791" s="145"/>
      <c r="D791" s="145"/>
      <c r="E791" s="145"/>
      <c r="F791" s="145"/>
      <c r="G791" s="102"/>
      <c r="H791" s="145"/>
      <c r="I791" s="145"/>
      <c r="J791" s="145"/>
      <c r="K791" s="145"/>
      <c r="L791" s="145"/>
      <c r="M791" s="145"/>
    </row>
    <row r="792" spans="1:15" x14ac:dyDescent="0.35">
      <c r="A792" s="145"/>
      <c r="B792" s="145"/>
      <c r="C792" s="145"/>
      <c r="D792" s="145"/>
      <c r="E792" s="145"/>
      <c r="F792" s="145"/>
      <c r="G792" s="102"/>
      <c r="H792" s="145"/>
      <c r="I792" s="145"/>
      <c r="J792" s="145"/>
      <c r="K792" s="145"/>
      <c r="L792" s="145"/>
      <c r="M792" s="145"/>
    </row>
    <row r="793" spans="1:15" x14ac:dyDescent="0.35">
      <c r="A793" s="145"/>
      <c r="B793" s="145"/>
      <c r="C793" s="145"/>
      <c r="D793" s="145"/>
      <c r="E793" s="145"/>
      <c r="F793" s="145"/>
      <c r="G793" s="102"/>
      <c r="H793" s="145"/>
      <c r="I793" s="145"/>
      <c r="J793" s="145"/>
      <c r="K793" s="145"/>
      <c r="L793" s="145"/>
      <c r="M793" s="145"/>
      <c r="N793" s="145"/>
      <c r="O793" s="145"/>
    </row>
    <row r="794" spans="1:15" x14ac:dyDescent="0.35">
      <c r="A794" s="145"/>
      <c r="B794" s="145"/>
      <c r="C794" s="145"/>
      <c r="D794" s="145"/>
      <c r="E794" s="145"/>
      <c r="F794" s="145"/>
      <c r="G794" s="102"/>
      <c r="H794" s="145"/>
      <c r="I794" s="145"/>
      <c r="J794" s="145"/>
      <c r="K794" s="145"/>
      <c r="L794" s="145"/>
      <c r="M794" s="145"/>
      <c r="N794" s="145"/>
      <c r="O794" s="145"/>
    </row>
    <row r="795" spans="1:15" x14ac:dyDescent="0.35">
      <c r="A795" s="145"/>
      <c r="B795" s="145"/>
      <c r="C795" s="145"/>
      <c r="D795" s="145"/>
      <c r="E795" s="145"/>
      <c r="F795" s="145"/>
      <c r="G795" s="102"/>
      <c r="H795" s="145"/>
      <c r="I795" s="145"/>
      <c r="J795" s="145"/>
      <c r="K795" s="145"/>
      <c r="L795" s="145"/>
      <c r="M795" s="145"/>
      <c r="N795" s="145"/>
      <c r="O795" s="145"/>
    </row>
    <row r="796" spans="1:15" x14ac:dyDescent="0.35">
      <c r="A796" s="145"/>
      <c r="B796" s="145"/>
      <c r="C796" s="145"/>
      <c r="D796" s="145"/>
      <c r="E796" s="145"/>
      <c r="F796" s="145"/>
      <c r="G796" s="102"/>
      <c r="H796" s="145"/>
      <c r="I796" s="145"/>
      <c r="J796" s="145"/>
      <c r="K796" s="145"/>
      <c r="L796" s="145"/>
      <c r="M796" s="145"/>
    </row>
    <row r="797" spans="1:15" x14ac:dyDescent="0.35">
      <c r="A797" s="145"/>
      <c r="B797" s="145"/>
      <c r="C797" s="145"/>
      <c r="D797" s="145"/>
      <c r="E797" s="145"/>
      <c r="F797" s="145"/>
      <c r="G797" s="102"/>
      <c r="H797" s="145"/>
      <c r="I797" s="145"/>
      <c r="J797" s="145"/>
      <c r="K797" s="145"/>
      <c r="L797" s="145"/>
      <c r="M797" s="145"/>
    </row>
    <row r="798" spans="1:15" x14ac:dyDescent="0.35">
      <c r="A798" s="145"/>
      <c r="B798" s="145"/>
      <c r="C798" s="145"/>
      <c r="D798" s="145"/>
      <c r="E798" s="145"/>
      <c r="F798" s="145"/>
      <c r="G798" s="102"/>
      <c r="H798" s="145"/>
      <c r="I798" s="145"/>
      <c r="J798" s="145"/>
      <c r="K798" s="145"/>
      <c r="L798" s="145"/>
      <c r="M798" s="145"/>
      <c r="N798" s="145"/>
      <c r="O798" s="145"/>
    </row>
    <row r="799" spans="1:15" x14ac:dyDescent="0.35">
      <c r="A799" s="145"/>
      <c r="B799" s="145"/>
      <c r="C799" s="145"/>
      <c r="D799" s="145"/>
      <c r="E799" s="145"/>
      <c r="F799" s="145"/>
      <c r="G799" s="102"/>
      <c r="H799" s="145"/>
      <c r="I799" s="145"/>
      <c r="J799" s="145"/>
      <c r="K799" s="145"/>
      <c r="L799" s="145"/>
      <c r="M799" s="145"/>
      <c r="N799" s="145"/>
      <c r="O799" s="145"/>
    </row>
    <row r="800" spans="1:15" x14ac:dyDescent="0.35">
      <c r="A800" s="145"/>
      <c r="B800" s="145"/>
      <c r="C800" s="145"/>
      <c r="D800" s="145"/>
      <c r="E800" s="145"/>
      <c r="F800" s="145"/>
      <c r="G800" s="102"/>
      <c r="H800" s="145"/>
      <c r="I800" s="145"/>
      <c r="J800" s="145"/>
      <c r="K800" s="145"/>
      <c r="L800" s="145"/>
      <c r="M800" s="145"/>
      <c r="N800" s="145"/>
      <c r="O800" s="145"/>
    </row>
    <row r="801" spans="1:15" x14ac:dyDescent="0.35">
      <c r="A801" s="145"/>
      <c r="B801" s="145"/>
      <c r="C801" s="145"/>
      <c r="D801" s="145"/>
      <c r="E801" s="145"/>
      <c r="F801" s="145"/>
      <c r="G801" s="102"/>
      <c r="H801" s="145"/>
      <c r="I801" s="145"/>
      <c r="J801" s="145"/>
      <c r="K801" s="145"/>
      <c r="L801" s="145"/>
      <c r="M801" s="145"/>
      <c r="N801" s="145"/>
      <c r="O801" s="145"/>
    </row>
    <row r="802" spans="1:15" x14ac:dyDescent="0.35">
      <c r="A802" s="145"/>
      <c r="B802" s="145"/>
      <c r="C802" s="145"/>
      <c r="D802" s="145"/>
      <c r="E802" s="145"/>
      <c r="F802" s="145"/>
      <c r="G802" s="102"/>
      <c r="H802" s="145"/>
      <c r="I802" s="145"/>
      <c r="J802" s="145"/>
      <c r="K802" s="145"/>
      <c r="L802" s="145"/>
      <c r="M802" s="145"/>
      <c r="N802" s="145"/>
      <c r="O802" s="145"/>
    </row>
    <row r="803" spans="1:15" x14ac:dyDescent="0.35">
      <c r="A803" s="145"/>
      <c r="B803" s="145"/>
      <c r="C803" s="145"/>
      <c r="D803" s="145"/>
      <c r="E803" s="145"/>
      <c r="F803" s="145"/>
      <c r="G803" s="102"/>
      <c r="H803" s="145"/>
      <c r="I803" s="145"/>
      <c r="J803" s="145"/>
      <c r="K803" s="145"/>
      <c r="L803" s="145"/>
      <c r="M803" s="145"/>
      <c r="N803" s="145"/>
      <c r="O803" s="145"/>
    </row>
    <row r="804" spans="1:15" x14ac:dyDescent="0.35">
      <c r="A804" s="145"/>
      <c r="B804" s="145"/>
      <c r="C804" s="145"/>
      <c r="D804" s="145"/>
      <c r="E804" s="145"/>
      <c r="F804" s="145"/>
      <c r="G804" s="102"/>
      <c r="H804" s="145"/>
      <c r="I804" s="145"/>
      <c r="J804" s="145"/>
      <c r="K804" s="145"/>
      <c r="L804" s="145"/>
      <c r="M804" s="145"/>
      <c r="N804" s="145"/>
      <c r="O804" s="145"/>
    </row>
    <row r="805" spans="1:15" x14ac:dyDescent="0.35">
      <c r="A805" s="145"/>
      <c r="B805" s="145"/>
      <c r="C805" s="145"/>
      <c r="D805" s="145"/>
      <c r="E805" s="145"/>
      <c r="F805" s="145"/>
      <c r="G805" s="102"/>
      <c r="H805" s="145"/>
      <c r="I805" s="145"/>
      <c r="J805" s="145"/>
      <c r="K805" s="145"/>
      <c r="L805" s="145"/>
      <c r="M805" s="145"/>
    </row>
    <row r="806" spans="1:15" x14ac:dyDescent="0.35">
      <c r="A806" s="145"/>
      <c r="B806" s="145"/>
      <c r="C806" s="145"/>
      <c r="D806" s="145"/>
      <c r="E806" s="145"/>
      <c r="F806" s="145"/>
      <c r="G806" s="102"/>
      <c r="H806" s="145"/>
      <c r="I806" s="145"/>
      <c r="J806" s="145"/>
      <c r="K806" s="145"/>
      <c r="L806" s="145"/>
      <c r="M806" s="145"/>
      <c r="N806" s="145"/>
      <c r="O806" s="145"/>
    </row>
    <row r="807" spans="1:15" x14ac:dyDescent="0.35">
      <c r="A807" s="145"/>
      <c r="B807" s="145"/>
      <c r="C807" s="145"/>
      <c r="D807" s="145"/>
      <c r="E807" s="145"/>
      <c r="F807" s="145"/>
      <c r="G807" s="102"/>
      <c r="H807" s="145"/>
      <c r="I807" s="145"/>
      <c r="J807" s="145"/>
      <c r="K807" s="145"/>
      <c r="L807" s="145"/>
      <c r="M807" s="145"/>
      <c r="N807" s="145"/>
      <c r="O807" s="145"/>
    </row>
    <row r="808" spans="1:15" x14ac:dyDescent="0.35">
      <c r="A808" s="145"/>
      <c r="B808" s="145"/>
      <c r="C808" s="145"/>
      <c r="D808" s="145"/>
      <c r="E808" s="145"/>
      <c r="F808" s="145"/>
      <c r="G808" s="102"/>
      <c r="H808" s="145"/>
      <c r="I808" s="145"/>
      <c r="J808" s="145"/>
      <c r="K808" s="145"/>
      <c r="L808" s="145"/>
      <c r="M808" s="145"/>
      <c r="N808" s="145"/>
      <c r="O808" s="145"/>
    </row>
    <row r="809" spans="1:15" x14ac:dyDescent="0.35">
      <c r="A809" s="145"/>
      <c r="B809" s="145"/>
      <c r="C809" s="145"/>
      <c r="D809" s="145"/>
      <c r="E809" s="145"/>
      <c r="F809" s="145"/>
      <c r="G809" s="102"/>
      <c r="H809" s="145"/>
      <c r="I809" s="145"/>
      <c r="J809" s="145"/>
      <c r="K809" s="145"/>
      <c r="L809" s="145"/>
      <c r="M809" s="145"/>
    </row>
    <row r="810" spans="1:15" x14ac:dyDescent="0.35">
      <c r="A810" s="145"/>
      <c r="B810" s="145"/>
      <c r="C810" s="145"/>
      <c r="D810" s="145"/>
      <c r="E810" s="145"/>
      <c r="F810" s="145"/>
      <c r="G810" s="102"/>
      <c r="H810" s="145"/>
      <c r="I810" s="145"/>
      <c r="J810" s="145"/>
      <c r="K810" s="145"/>
      <c r="L810" s="145"/>
      <c r="M810" s="145"/>
      <c r="N810" s="145"/>
      <c r="O810" s="145"/>
    </row>
    <row r="811" spans="1:15" x14ac:dyDescent="0.35">
      <c r="A811" s="145"/>
      <c r="B811" s="145"/>
      <c r="C811" s="145"/>
      <c r="D811" s="145"/>
      <c r="E811" s="145"/>
      <c r="F811" s="145"/>
      <c r="G811" s="102"/>
      <c r="H811" s="145"/>
      <c r="I811" s="145"/>
      <c r="J811" s="145"/>
      <c r="K811" s="145"/>
      <c r="L811" s="145"/>
      <c r="M811" s="145"/>
      <c r="N811" s="145"/>
      <c r="O811" s="145"/>
    </row>
    <row r="812" spans="1:15" x14ac:dyDescent="0.35">
      <c r="A812" s="145"/>
      <c r="B812" s="145"/>
      <c r="C812" s="145"/>
      <c r="D812" s="145"/>
      <c r="E812" s="145"/>
      <c r="F812" s="145"/>
      <c r="G812" s="102"/>
      <c r="H812" s="145"/>
      <c r="I812" s="145"/>
      <c r="J812" s="145"/>
      <c r="K812" s="145"/>
      <c r="L812" s="145"/>
      <c r="M812" s="145"/>
      <c r="N812" s="145"/>
      <c r="O812" s="145"/>
    </row>
    <row r="813" spans="1:15" x14ac:dyDescent="0.35">
      <c r="A813" s="145"/>
      <c r="B813" s="145"/>
      <c r="C813" s="145"/>
      <c r="D813" s="145"/>
      <c r="E813" s="145"/>
      <c r="F813" s="145"/>
      <c r="G813" s="102"/>
      <c r="H813" s="145"/>
      <c r="I813" s="145"/>
      <c r="J813" s="145"/>
      <c r="K813" s="145"/>
      <c r="L813" s="145"/>
      <c r="M813" s="145"/>
      <c r="N813" s="145"/>
      <c r="O813" s="145"/>
    </row>
    <row r="814" spans="1:15" x14ac:dyDescent="0.35">
      <c r="A814" s="145"/>
      <c r="B814" s="145"/>
      <c r="C814" s="145"/>
      <c r="D814" s="145"/>
      <c r="E814" s="145"/>
      <c r="F814" s="145"/>
      <c r="G814" s="102"/>
      <c r="H814" s="145"/>
      <c r="I814" s="145"/>
      <c r="J814" s="145"/>
      <c r="K814" s="145"/>
      <c r="L814" s="145"/>
      <c r="M814" s="145"/>
      <c r="N814" s="145"/>
      <c r="O814" s="145"/>
    </row>
    <row r="815" spans="1:15" x14ac:dyDescent="0.35">
      <c r="A815" s="145"/>
      <c r="B815" s="145"/>
      <c r="C815" s="145"/>
      <c r="D815" s="145"/>
      <c r="E815" s="145"/>
      <c r="F815" s="145"/>
      <c r="G815" s="102"/>
      <c r="H815" s="145"/>
      <c r="I815" s="145"/>
      <c r="J815" s="145"/>
      <c r="K815" s="145"/>
      <c r="L815" s="145"/>
      <c r="M815" s="145"/>
    </row>
    <row r="816" spans="1:15" x14ac:dyDescent="0.35">
      <c r="A816" s="145"/>
      <c r="B816" s="145"/>
      <c r="C816" s="145"/>
      <c r="D816" s="145"/>
      <c r="E816" s="145"/>
      <c r="F816" s="145"/>
      <c r="G816" s="102"/>
      <c r="H816" s="145"/>
      <c r="I816" s="145"/>
      <c r="J816" s="145"/>
      <c r="K816" s="145"/>
      <c r="L816" s="145"/>
      <c r="M816" s="145"/>
    </row>
    <row r="817" spans="1:15" x14ac:dyDescent="0.35">
      <c r="A817" s="145"/>
      <c r="B817" s="145"/>
      <c r="C817" s="145"/>
      <c r="D817" s="145"/>
      <c r="E817" s="145"/>
      <c r="F817" s="145"/>
      <c r="G817" s="102"/>
      <c r="H817" s="145"/>
      <c r="I817" s="145"/>
      <c r="J817" s="145"/>
      <c r="K817" s="145"/>
      <c r="L817" s="145"/>
      <c r="M817" s="145"/>
      <c r="N817" s="31"/>
      <c r="O817" s="31"/>
    </row>
    <row r="818" spans="1:15" x14ac:dyDescent="0.35">
      <c r="A818" s="145"/>
      <c r="B818" s="145"/>
      <c r="C818" s="145"/>
      <c r="D818" s="145"/>
      <c r="E818" s="145"/>
      <c r="F818" s="145"/>
      <c r="G818" s="102"/>
      <c r="H818" s="145"/>
      <c r="I818" s="145"/>
      <c r="J818" s="145"/>
      <c r="K818" s="145"/>
      <c r="L818" s="145"/>
      <c r="M818" s="145"/>
    </row>
    <row r="819" spans="1:15" x14ac:dyDescent="0.35">
      <c r="A819" s="145"/>
      <c r="B819" s="145"/>
      <c r="C819" s="145"/>
      <c r="D819" s="145"/>
      <c r="E819" s="145"/>
      <c r="F819" s="145"/>
      <c r="G819" s="102"/>
      <c r="H819" s="145"/>
      <c r="I819" s="145"/>
      <c r="J819" s="145"/>
      <c r="K819" s="145"/>
      <c r="L819" s="145"/>
      <c r="M819" s="145"/>
    </row>
    <row r="820" spans="1:15" x14ac:dyDescent="0.35">
      <c r="A820" s="145"/>
      <c r="B820" s="145"/>
      <c r="C820" s="145"/>
      <c r="D820" s="145"/>
      <c r="E820" s="145"/>
      <c r="F820" s="145"/>
      <c r="G820" s="102"/>
      <c r="H820" s="145"/>
      <c r="I820" s="145"/>
      <c r="J820" s="145"/>
      <c r="K820" s="145"/>
      <c r="L820" s="145"/>
      <c r="M820" s="145"/>
    </row>
    <row r="821" spans="1:15" x14ac:dyDescent="0.35">
      <c r="A821" s="145"/>
      <c r="B821" s="145"/>
      <c r="C821" s="145"/>
      <c r="D821" s="145"/>
      <c r="E821" s="145"/>
      <c r="F821" s="145"/>
      <c r="G821" s="102"/>
      <c r="H821" s="145"/>
      <c r="I821" s="145"/>
      <c r="J821" s="145"/>
      <c r="K821" s="145"/>
      <c r="L821" s="145"/>
      <c r="M821" s="145"/>
      <c r="N821" s="145"/>
      <c r="O821" s="145"/>
    </row>
    <row r="822" spans="1:15" x14ac:dyDescent="0.35">
      <c r="A822" s="145"/>
      <c r="B822" s="145"/>
      <c r="C822" s="145"/>
      <c r="D822" s="145"/>
      <c r="E822" s="145"/>
      <c r="F822" s="145"/>
      <c r="G822" s="102"/>
      <c r="H822" s="145"/>
      <c r="I822" s="145"/>
      <c r="J822" s="145"/>
      <c r="K822" s="145"/>
      <c r="L822" s="145"/>
      <c r="M822" s="145"/>
    </row>
    <row r="823" spans="1:15" x14ac:dyDescent="0.35">
      <c r="A823" s="145"/>
      <c r="B823" s="145"/>
      <c r="C823" s="145"/>
      <c r="D823" s="145"/>
      <c r="E823" s="145"/>
      <c r="F823" s="145"/>
      <c r="G823" s="102"/>
      <c r="H823" s="145"/>
      <c r="I823" s="145"/>
      <c r="J823" s="145"/>
      <c r="K823" s="145"/>
      <c r="L823" s="145"/>
      <c r="M823" s="145"/>
    </row>
    <row r="824" spans="1:15" x14ac:dyDescent="0.35">
      <c r="A824" s="145"/>
      <c r="B824" s="145"/>
      <c r="C824" s="145"/>
      <c r="D824" s="145"/>
      <c r="E824" s="145"/>
      <c r="F824" s="145"/>
      <c r="G824" s="102"/>
      <c r="H824" s="145"/>
      <c r="I824" s="145"/>
      <c r="J824" s="145"/>
      <c r="K824" s="145"/>
      <c r="L824" s="145"/>
      <c r="M824" s="145"/>
      <c r="N824" s="145"/>
      <c r="O824" s="145"/>
    </row>
    <row r="825" spans="1:15" x14ac:dyDescent="0.35">
      <c r="A825" s="145"/>
      <c r="B825" s="145"/>
      <c r="C825" s="145"/>
      <c r="D825" s="145"/>
      <c r="E825" s="145"/>
      <c r="F825" s="145"/>
      <c r="G825" s="102"/>
      <c r="H825" s="145"/>
      <c r="I825" s="145"/>
      <c r="J825" s="145"/>
      <c r="K825" s="145"/>
      <c r="L825" s="145"/>
      <c r="M825" s="145"/>
      <c r="N825" s="145"/>
      <c r="O825" s="145"/>
    </row>
    <row r="826" spans="1:15" x14ac:dyDescent="0.35">
      <c r="A826" s="145"/>
      <c r="B826" s="145"/>
      <c r="C826" s="145"/>
      <c r="D826" s="145"/>
      <c r="E826" s="145"/>
      <c r="F826" s="145"/>
      <c r="G826" s="102"/>
      <c r="H826" s="145"/>
      <c r="I826" s="145"/>
      <c r="J826" s="145"/>
      <c r="K826" s="145"/>
      <c r="L826" s="145"/>
      <c r="M826" s="145"/>
      <c r="N826" s="31"/>
      <c r="O826" s="31"/>
    </row>
    <row r="827" spans="1:15" x14ac:dyDescent="0.35">
      <c r="A827" s="145"/>
      <c r="B827" s="145"/>
      <c r="C827" s="145"/>
      <c r="D827" s="145"/>
      <c r="E827" s="145"/>
      <c r="F827" s="145"/>
      <c r="G827" s="102"/>
      <c r="H827" s="145"/>
      <c r="I827" s="145"/>
      <c r="J827" s="145"/>
      <c r="K827" s="145"/>
      <c r="L827" s="145"/>
      <c r="M827" s="145"/>
      <c r="N827" s="31"/>
      <c r="O827" s="31"/>
    </row>
    <row r="828" spans="1:15" x14ac:dyDescent="0.35">
      <c r="A828" s="145"/>
      <c r="B828" s="145"/>
      <c r="C828" s="145"/>
      <c r="D828" s="145"/>
      <c r="E828" s="145"/>
      <c r="F828" s="145"/>
      <c r="G828" s="102"/>
      <c r="H828" s="145"/>
      <c r="I828" s="145"/>
      <c r="J828" s="145"/>
      <c r="K828" s="145"/>
      <c r="L828" s="145"/>
      <c r="M828" s="145"/>
    </row>
    <row r="829" spans="1:15" x14ac:dyDescent="0.35">
      <c r="A829" s="145"/>
      <c r="B829" s="145"/>
      <c r="C829" s="145"/>
      <c r="D829" s="145"/>
      <c r="E829" s="145"/>
      <c r="F829" s="145"/>
      <c r="G829" s="102"/>
      <c r="H829" s="145"/>
      <c r="I829" s="145"/>
      <c r="J829" s="145"/>
      <c r="K829" s="145"/>
      <c r="L829" s="145"/>
      <c r="M829" s="145"/>
    </row>
    <row r="830" spans="1:15" x14ac:dyDescent="0.35">
      <c r="A830" s="145"/>
      <c r="B830" s="145"/>
      <c r="C830" s="145"/>
      <c r="D830" s="145"/>
      <c r="E830" s="145"/>
      <c r="F830" s="145"/>
      <c r="G830" s="102"/>
      <c r="H830" s="145"/>
      <c r="I830" s="145"/>
      <c r="J830" s="145"/>
      <c r="K830" s="145"/>
      <c r="L830" s="145"/>
      <c r="M830" s="145"/>
    </row>
    <row r="831" spans="1:15" x14ac:dyDescent="0.35">
      <c r="A831" s="145"/>
      <c r="B831" s="145"/>
      <c r="C831" s="145"/>
      <c r="D831" s="145"/>
      <c r="E831" s="145"/>
      <c r="F831" s="145"/>
      <c r="G831" s="102"/>
      <c r="H831" s="145"/>
      <c r="I831" s="145"/>
      <c r="J831" s="145"/>
      <c r="K831" s="145"/>
      <c r="L831" s="145"/>
      <c r="M831" s="145"/>
    </row>
    <row r="832" spans="1:15" x14ac:dyDescent="0.35">
      <c r="A832" s="145"/>
      <c r="B832" s="145"/>
      <c r="C832" s="145"/>
      <c r="D832" s="145"/>
      <c r="E832" s="145"/>
      <c r="F832" s="145"/>
      <c r="G832" s="102"/>
      <c r="H832" s="145"/>
      <c r="I832" s="145"/>
      <c r="J832" s="145"/>
      <c r="K832" s="145"/>
      <c r="L832" s="145"/>
      <c r="M832" s="145"/>
    </row>
    <row r="833" spans="1:15" x14ac:dyDescent="0.35">
      <c r="A833" s="145"/>
      <c r="B833" s="145"/>
      <c r="C833" s="145"/>
      <c r="D833" s="145"/>
      <c r="E833" s="145"/>
      <c r="F833" s="145"/>
      <c r="G833" s="102"/>
      <c r="H833" s="145"/>
      <c r="I833" s="145"/>
      <c r="J833" s="145"/>
      <c r="K833" s="145"/>
      <c r="L833" s="145"/>
      <c r="M833" s="145"/>
      <c r="N833" s="145"/>
      <c r="O833" s="145"/>
    </row>
    <row r="834" spans="1:15" x14ac:dyDescent="0.35">
      <c r="A834" s="145"/>
      <c r="B834" s="145"/>
      <c r="C834" s="145"/>
      <c r="D834" s="145"/>
      <c r="E834" s="145"/>
      <c r="F834" s="145"/>
      <c r="G834" s="102"/>
      <c r="H834" s="145"/>
      <c r="I834" s="145"/>
      <c r="J834" s="145"/>
      <c r="K834" s="145"/>
      <c r="L834" s="145"/>
      <c r="M834" s="145"/>
    </row>
    <row r="835" spans="1:15" x14ac:dyDescent="0.35">
      <c r="A835" s="145"/>
      <c r="B835" s="145"/>
      <c r="C835" s="145"/>
      <c r="D835" s="145"/>
      <c r="E835" s="145"/>
      <c r="F835" s="145"/>
      <c r="G835" s="102"/>
      <c r="H835" s="145"/>
      <c r="I835" s="145"/>
      <c r="J835" s="145"/>
      <c r="K835" s="145"/>
      <c r="L835" s="145"/>
      <c r="M835" s="145"/>
      <c r="N835" s="145"/>
      <c r="O835" s="145"/>
    </row>
    <row r="836" spans="1:15" x14ac:dyDescent="0.35">
      <c r="A836" s="145"/>
      <c r="B836" s="145"/>
      <c r="C836" s="145"/>
      <c r="D836" s="145"/>
      <c r="E836" s="145"/>
      <c r="F836" s="145"/>
      <c r="G836" s="102"/>
      <c r="H836" s="145"/>
      <c r="I836" s="145"/>
      <c r="J836" s="145"/>
      <c r="K836" s="145"/>
      <c r="L836" s="145"/>
      <c r="M836" s="145"/>
      <c r="N836" s="145"/>
      <c r="O836" s="145"/>
    </row>
    <row r="837" spans="1:15" x14ac:dyDescent="0.35">
      <c r="A837" s="145"/>
      <c r="B837" s="145"/>
      <c r="C837" s="145"/>
      <c r="D837" s="145"/>
      <c r="E837" s="145"/>
      <c r="F837" s="145"/>
      <c r="G837" s="102"/>
      <c r="H837" s="145"/>
      <c r="I837" s="145"/>
      <c r="J837" s="145"/>
      <c r="K837" s="145"/>
      <c r="L837" s="145"/>
      <c r="M837" s="145"/>
      <c r="N837" s="145"/>
      <c r="O837" s="145"/>
    </row>
    <row r="838" spans="1:15" x14ac:dyDescent="0.35">
      <c r="A838" s="145"/>
      <c r="B838" s="145"/>
      <c r="C838" s="145"/>
      <c r="D838" s="145"/>
      <c r="E838" s="145"/>
      <c r="F838" s="145"/>
      <c r="G838" s="102"/>
      <c r="H838" s="145"/>
      <c r="I838" s="145"/>
      <c r="J838" s="145"/>
      <c r="K838" s="145"/>
      <c r="L838" s="145"/>
      <c r="M838" s="145"/>
      <c r="N838" s="145"/>
      <c r="O838" s="145"/>
    </row>
    <row r="839" spans="1:15" x14ac:dyDescent="0.35">
      <c r="A839" s="145"/>
      <c r="B839" s="145"/>
      <c r="C839" s="145"/>
      <c r="D839" s="145"/>
      <c r="E839" s="145"/>
      <c r="F839" s="145"/>
      <c r="G839" s="102"/>
      <c r="H839" s="145"/>
      <c r="I839" s="145"/>
      <c r="J839" s="145"/>
      <c r="K839" s="145"/>
      <c r="L839" s="145"/>
      <c r="M839" s="145"/>
      <c r="N839" s="145"/>
      <c r="O839" s="145"/>
    </row>
    <row r="840" spans="1:15" x14ac:dyDescent="0.35">
      <c r="A840" s="145"/>
      <c r="B840" s="145"/>
      <c r="C840" s="145"/>
      <c r="D840" s="145"/>
      <c r="E840" s="145"/>
      <c r="F840" s="145"/>
      <c r="G840" s="102"/>
      <c r="H840" s="145"/>
      <c r="I840" s="145"/>
      <c r="J840" s="145"/>
      <c r="K840" s="145"/>
      <c r="L840" s="145"/>
      <c r="M840" s="145"/>
      <c r="N840" s="31"/>
      <c r="O840" s="31"/>
    </row>
    <row r="841" spans="1:15" x14ac:dyDescent="0.35">
      <c r="A841" s="145"/>
      <c r="B841" s="145"/>
      <c r="C841" s="145"/>
      <c r="D841" s="145"/>
      <c r="E841" s="145"/>
      <c r="F841" s="145"/>
      <c r="G841" s="102"/>
      <c r="H841" s="145"/>
      <c r="I841" s="145"/>
      <c r="J841" s="145"/>
      <c r="K841" s="145"/>
      <c r="L841" s="145"/>
      <c r="M841" s="145"/>
    </row>
    <row r="842" spans="1:15" x14ac:dyDescent="0.35">
      <c r="A842" s="145"/>
      <c r="B842" s="145"/>
      <c r="C842" s="145"/>
      <c r="D842" s="145"/>
      <c r="E842" s="145"/>
      <c r="F842" s="145"/>
      <c r="G842" s="102"/>
      <c r="H842" s="145"/>
      <c r="I842" s="145"/>
      <c r="J842" s="145"/>
      <c r="K842" s="145"/>
      <c r="L842" s="145"/>
      <c r="M842" s="145"/>
      <c r="N842" s="31"/>
      <c r="O842" s="31"/>
    </row>
    <row r="843" spans="1:15" x14ac:dyDescent="0.35">
      <c r="A843" s="145"/>
      <c r="B843" s="145"/>
      <c r="C843" s="145"/>
      <c r="D843" s="145"/>
      <c r="E843" s="145"/>
      <c r="F843" s="145"/>
      <c r="G843" s="102"/>
      <c r="H843" s="145"/>
      <c r="I843" s="145"/>
      <c r="J843" s="145"/>
      <c r="K843" s="145"/>
      <c r="L843" s="145"/>
      <c r="M843" s="145"/>
    </row>
    <row r="844" spans="1:15" x14ac:dyDescent="0.35">
      <c r="A844" s="145"/>
      <c r="B844" s="145"/>
      <c r="C844" s="145"/>
      <c r="D844" s="145"/>
      <c r="E844" s="145"/>
      <c r="F844" s="145"/>
      <c r="G844" s="102"/>
      <c r="H844" s="145"/>
      <c r="I844" s="145"/>
      <c r="J844" s="145"/>
      <c r="K844" s="145"/>
      <c r="L844" s="145"/>
      <c r="M844" s="145"/>
    </row>
    <row r="845" spans="1:15" x14ac:dyDescent="0.35">
      <c r="A845" s="145"/>
      <c r="B845" s="145"/>
      <c r="C845" s="145"/>
      <c r="D845" s="145"/>
      <c r="E845" s="145"/>
      <c r="F845" s="145"/>
      <c r="G845" s="102"/>
      <c r="H845" s="145"/>
      <c r="I845" s="145"/>
      <c r="J845" s="145"/>
      <c r="K845" s="145"/>
      <c r="L845" s="145"/>
      <c r="M845" s="145"/>
    </row>
    <row r="846" spans="1:15" x14ac:dyDescent="0.35">
      <c r="A846" s="145"/>
      <c r="B846" s="145"/>
      <c r="C846" s="145"/>
      <c r="D846" s="145"/>
      <c r="E846" s="145"/>
      <c r="F846" s="145"/>
      <c r="G846" s="102"/>
      <c r="H846" s="145"/>
      <c r="I846" s="145"/>
      <c r="J846" s="145"/>
      <c r="K846" s="145"/>
      <c r="L846" s="145"/>
      <c r="M846" s="145"/>
    </row>
    <row r="847" spans="1:15" x14ac:dyDescent="0.35">
      <c r="A847" s="145"/>
      <c r="B847" s="145"/>
      <c r="C847" s="145"/>
      <c r="D847" s="145"/>
      <c r="E847" s="145"/>
      <c r="F847" s="145"/>
      <c r="G847" s="102"/>
      <c r="H847" s="145"/>
      <c r="I847" s="145"/>
      <c r="J847" s="145"/>
      <c r="K847" s="145"/>
      <c r="L847" s="145"/>
      <c r="M847" s="145"/>
    </row>
    <row r="848" spans="1:15" x14ac:dyDescent="0.35">
      <c r="A848" s="145"/>
      <c r="B848" s="145"/>
      <c r="C848" s="145"/>
      <c r="D848" s="145"/>
      <c r="E848" s="145"/>
      <c r="F848" s="145"/>
      <c r="G848" s="102"/>
      <c r="H848" s="145"/>
      <c r="I848" s="145"/>
      <c r="J848" s="145"/>
      <c r="K848" s="145"/>
      <c r="L848" s="145"/>
      <c r="M848" s="145"/>
      <c r="N848" s="145"/>
      <c r="O848" s="145"/>
    </row>
    <row r="849" spans="1:15" x14ac:dyDescent="0.35">
      <c r="A849" s="145"/>
      <c r="B849" s="145"/>
      <c r="C849" s="145"/>
      <c r="D849" s="145"/>
      <c r="E849" s="145"/>
      <c r="F849" s="145"/>
      <c r="G849" s="102"/>
      <c r="H849" s="145"/>
      <c r="I849" s="145"/>
      <c r="J849" s="145"/>
      <c r="K849" s="145"/>
      <c r="L849" s="145"/>
      <c r="M849" s="145"/>
    </row>
    <row r="850" spans="1:15" x14ac:dyDescent="0.35">
      <c r="A850" s="145"/>
      <c r="B850" s="145"/>
      <c r="C850" s="145"/>
      <c r="D850" s="145"/>
      <c r="E850" s="145"/>
      <c r="F850" s="145"/>
      <c r="G850" s="102"/>
      <c r="H850" s="145"/>
      <c r="I850" s="145"/>
      <c r="J850" s="145"/>
      <c r="K850" s="145"/>
      <c r="L850" s="145"/>
      <c r="M850" s="145"/>
      <c r="N850" s="145"/>
      <c r="O850" s="145"/>
    </row>
    <row r="851" spans="1:15" x14ac:dyDescent="0.35">
      <c r="A851" s="145"/>
      <c r="B851" s="145"/>
      <c r="C851" s="145"/>
      <c r="D851" s="145"/>
      <c r="E851" s="145"/>
      <c r="F851" s="145"/>
      <c r="G851" s="102"/>
      <c r="H851" s="145"/>
      <c r="I851" s="145"/>
      <c r="J851" s="145"/>
      <c r="K851" s="145"/>
      <c r="L851" s="145"/>
      <c r="M851" s="145"/>
      <c r="N851" s="145"/>
      <c r="O851" s="145"/>
    </row>
    <row r="852" spans="1:15" x14ac:dyDescent="0.35">
      <c r="A852" s="145"/>
      <c r="B852" s="145"/>
      <c r="C852" s="145"/>
      <c r="D852" s="145"/>
      <c r="E852" s="145"/>
      <c r="F852" s="145"/>
      <c r="G852" s="102"/>
      <c r="H852" s="145"/>
      <c r="I852" s="145"/>
      <c r="J852" s="145"/>
      <c r="K852" s="145"/>
      <c r="L852" s="145"/>
      <c r="M852" s="145"/>
      <c r="N852" s="145"/>
      <c r="O852" s="145"/>
    </row>
    <row r="853" spans="1:15" x14ac:dyDescent="0.35">
      <c r="A853" s="145"/>
      <c r="B853" s="145"/>
      <c r="C853" s="145"/>
      <c r="D853" s="145"/>
      <c r="E853" s="145"/>
      <c r="F853" s="145"/>
      <c r="G853" s="102"/>
      <c r="H853" s="145"/>
      <c r="I853" s="145"/>
      <c r="J853" s="145"/>
      <c r="K853" s="145"/>
      <c r="L853" s="145"/>
      <c r="M853" s="145"/>
      <c r="N853" s="145"/>
      <c r="O853" s="145"/>
    </row>
    <row r="854" spans="1:15" x14ac:dyDescent="0.35">
      <c r="A854" s="145"/>
      <c r="B854" s="145"/>
      <c r="C854" s="145"/>
      <c r="D854" s="145"/>
      <c r="E854" s="145"/>
      <c r="F854" s="145"/>
      <c r="G854" s="102"/>
      <c r="H854" s="145"/>
      <c r="I854" s="145"/>
      <c r="J854" s="145"/>
      <c r="K854" s="145"/>
      <c r="L854" s="145"/>
      <c r="M854" s="145"/>
      <c r="N854" s="31"/>
      <c r="O854" s="31"/>
    </row>
    <row r="855" spans="1:15" x14ac:dyDescent="0.35">
      <c r="A855" s="145"/>
      <c r="B855" s="145"/>
      <c r="C855" s="145"/>
      <c r="D855" s="145"/>
      <c r="E855" s="145"/>
      <c r="F855" s="145"/>
      <c r="G855" s="102"/>
      <c r="H855" s="145"/>
      <c r="I855" s="145"/>
      <c r="J855" s="145"/>
      <c r="K855" s="145"/>
      <c r="L855" s="145"/>
      <c r="M855" s="145"/>
      <c r="N855" s="31"/>
      <c r="O855" s="31"/>
    </row>
    <row r="856" spans="1:15" x14ac:dyDescent="0.35">
      <c r="A856" s="145"/>
      <c r="B856" s="145"/>
      <c r="C856" s="145"/>
      <c r="D856" s="145"/>
      <c r="E856" s="145"/>
      <c r="F856" s="145"/>
      <c r="G856" s="102"/>
      <c r="H856" s="145"/>
      <c r="I856" s="145"/>
      <c r="J856" s="145"/>
      <c r="K856" s="145"/>
      <c r="L856" s="145"/>
      <c r="M856" s="145"/>
    </row>
    <row r="857" spans="1:15" x14ac:dyDescent="0.35">
      <c r="A857" s="145"/>
      <c r="B857" s="145"/>
      <c r="C857" s="145"/>
      <c r="D857" s="145"/>
      <c r="E857" s="145"/>
      <c r="F857" s="145"/>
      <c r="G857" s="102"/>
      <c r="H857" s="145"/>
      <c r="I857" s="145"/>
      <c r="J857" s="145"/>
      <c r="K857" s="145"/>
      <c r="L857" s="145"/>
      <c r="M857" s="145"/>
    </row>
    <row r="858" spans="1:15" x14ac:dyDescent="0.35">
      <c r="A858" s="145"/>
      <c r="B858" s="145"/>
      <c r="C858" s="145"/>
      <c r="D858" s="145"/>
      <c r="E858" s="145"/>
      <c r="F858" s="145"/>
      <c r="G858" s="102"/>
      <c r="H858" s="145"/>
      <c r="I858" s="145"/>
      <c r="J858" s="145"/>
      <c r="K858" s="145"/>
      <c r="L858" s="145"/>
      <c r="M858" s="145"/>
    </row>
    <row r="859" spans="1:15" x14ac:dyDescent="0.35">
      <c r="A859" s="145"/>
      <c r="B859" s="145"/>
      <c r="C859" s="145"/>
      <c r="D859" s="145"/>
      <c r="E859" s="145"/>
      <c r="F859" s="145"/>
      <c r="G859" s="102"/>
      <c r="H859" s="145"/>
      <c r="I859" s="145"/>
      <c r="J859" s="145"/>
      <c r="K859" s="145"/>
      <c r="L859" s="145"/>
      <c r="M859" s="145"/>
      <c r="N859" s="145"/>
      <c r="O859" s="145"/>
    </row>
    <row r="860" spans="1:15" x14ac:dyDescent="0.35">
      <c r="A860" s="145"/>
      <c r="B860" s="145"/>
      <c r="C860" s="145"/>
      <c r="D860" s="145"/>
      <c r="E860" s="145"/>
      <c r="F860" s="145"/>
      <c r="G860" s="102"/>
      <c r="H860" s="145"/>
      <c r="I860" s="145"/>
      <c r="J860" s="145"/>
      <c r="K860" s="145"/>
      <c r="L860" s="145"/>
      <c r="M860" s="145"/>
    </row>
    <row r="861" spans="1:15" x14ac:dyDescent="0.35">
      <c r="A861" s="145"/>
      <c r="B861" s="145"/>
      <c r="C861" s="145"/>
      <c r="D861" s="145"/>
      <c r="E861" s="145"/>
      <c r="F861" s="145"/>
      <c r="G861" s="102"/>
      <c r="H861" s="145"/>
      <c r="I861" s="145"/>
      <c r="J861" s="145"/>
      <c r="K861" s="145"/>
      <c r="L861" s="145"/>
      <c r="M861" s="145"/>
      <c r="N861" s="31"/>
      <c r="O861" s="31"/>
    </row>
    <row r="862" spans="1:15" x14ac:dyDescent="0.35">
      <c r="A862" s="145"/>
      <c r="B862" s="145"/>
      <c r="C862" s="145"/>
      <c r="D862" s="145"/>
      <c r="E862" s="145"/>
      <c r="F862" s="145"/>
      <c r="G862" s="102"/>
      <c r="H862" s="145"/>
      <c r="I862" s="145"/>
      <c r="J862" s="145"/>
      <c r="K862" s="145"/>
      <c r="L862" s="145"/>
      <c r="M862" s="145"/>
    </row>
    <row r="863" spans="1:15" x14ac:dyDescent="0.35">
      <c r="A863" s="145"/>
      <c r="B863" s="145"/>
      <c r="C863" s="145"/>
      <c r="D863" s="145"/>
      <c r="E863" s="145"/>
      <c r="F863" s="145"/>
      <c r="G863" s="102"/>
      <c r="H863" s="145"/>
      <c r="I863" s="145"/>
      <c r="J863" s="145"/>
      <c r="K863" s="145"/>
      <c r="L863" s="145"/>
      <c r="M863" s="145"/>
      <c r="N863" s="145"/>
      <c r="O863" s="145"/>
    </row>
    <row r="864" spans="1:15" x14ac:dyDescent="0.35">
      <c r="A864" s="145"/>
      <c r="B864" s="145"/>
      <c r="C864" s="145"/>
      <c r="D864" s="145"/>
      <c r="E864" s="145"/>
      <c r="F864" s="145"/>
      <c r="G864" s="102"/>
      <c r="H864" s="145"/>
      <c r="I864" s="145"/>
      <c r="J864" s="145"/>
      <c r="K864" s="145"/>
      <c r="L864" s="145"/>
      <c r="M864" s="145"/>
    </row>
    <row r="865" spans="1:15" x14ac:dyDescent="0.35">
      <c r="A865" s="145"/>
      <c r="B865" s="145"/>
      <c r="C865" s="145"/>
      <c r="D865" s="145"/>
      <c r="E865" s="145"/>
      <c r="F865" s="145"/>
      <c r="G865" s="102"/>
      <c r="H865" s="145"/>
      <c r="I865" s="145"/>
      <c r="J865" s="145"/>
      <c r="K865" s="145"/>
      <c r="L865" s="145"/>
      <c r="M865" s="145"/>
      <c r="N865" s="145"/>
      <c r="O865" s="145"/>
    </row>
    <row r="866" spans="1:15" x14ac:dyDescent="0.35">
      <c r="A866" s="145"/>
      <c r="B866" s="145"/>
      <c r="C866" s="145"/>
      <c r="D866" s="145"/>
      <c r="E866" s="145"/>
      <c r="F866" s="145"/>
      <c r="G866" s="102"/>
      <c r="H866" s="145"/>
      <c r="I866" s="145"/>
      <c r="J866" s="145"/>
      <c r="K866" s="145"/>
      <c r="L866" s="145"/>
      <c r="M866" s="145"/>
    </row>
    <row r="867" spans="1:15" x14ac:dyDescent="0.35">
      <c r="A867" s="145"/>
      <c r="B867" s="145"/>
      <c r="C867" s="145"/>
      <c r="D867" s="145"/>
      <c r="E867" s="145"/>
      <c r="F867" s="145"/>
      <c r="G867" s="102"/>
      <c r="H867" s="145"/>
      <c r="I867" s="145"/>
      <c r="J867" s="145"/>
      <c r="K867" s="145"/>
      <c r="L867" s="145"/>
      <c r="M867" s="145"/>
      <c r="N867" s="145"/>
      <c r="O867" s="145"/>
    </row>
    <row r="868" spans="1:15" x14ac:dyDescent="0.35">
      <c r="A868" s="145"/>
      <c r="B868" s="145"/>
      <c r="C868" s="145"/>
      <c r="D868" s="145"/>
      <c r="E868" s="145"/>
      <c r="F868" s="145"/>
      <c r="G868" s="102"/>
      <c r="H868" s="145"/>
      <c r="I868" s="145"/>
      <c r="J868" s="145"/>
      <c r="K868" s="145"/>
      <c r="L868" s="145"/>
      <c r="M868" s="145"/>
      <c r="N868" s="145"/>
      <c r="O868" s="145"/>
    </row>
    <row r="869" spans="1:15" x14ac:dyDescent="0.35">
      <c r="A869" s="145"/>
      <c r="B869" s="145"/>
      <c r="C869" s="145"/>
      <c r="D869" s="145"/>
      <c r="E869" s="145"/>
      <c r="F869" s="145"/>
      <c r="G869" s="102"/>
      <c r="H869" s="145"/>
      <c r="I869" s="145"/>
      <c r="J869" s="145"/>
      <c r="K869" s="145"/>
      <c r="L869" s="145"/>
      <c r="M869" s="145"/>
      <c r="N869" s="145"/>
      <c r="O869" s="145"/>
    </row>
    <row r="870" spans="1:15" x14ac:dyDescent="0.35">
      <c r="A870" s="145"/>
      <c r="B870" s="145"/>
      <c r="C870" s="145"/>
      <c r="D870" s="145"/>
      <c r="E870" s="145"/>
      <c r="F870" s="145"/>
      <c r="G870" s="102"/>
      <c r="H870" s="145"/>
      <c r="I870" s="145"/>
      <c r="J870" s="145"/>
      <c r="K870" s="145"/>
      <c r="L870" s="145"/>
      <c r="M870" s="145"/>
      <c r="N870" s="145"/>
      <c r="O870" s="145"/>
    </row>
    <row r="871" spans="1:15" x14ac:dyDescent="0.35">
      <c r="A871" s="145"/>
      <c r="B871" s="145"/>
      <c r="C871" s="145"/>
      <c r="D871" s="145"/>
      <c r="E871" s="145"/>
      <c r="F871" s="145"/>
      <c r="G871" s="102"/>
      <c r="H871" s="145"/>
      <c r="I871" s="145"/>
      <c r="J871" s="145"/>
      <c r="K871" s="145"/>
      <c r="L871" s="145"/>
      <c r="M871" s="145"/>
      <c r="N871" s="145"/>
      <c r="O871" s="145"/>
    </row>
    <row r="872" spans="1:15" x14ac:dyDescent="0.35">
      <c r="A872" s="145"/>
      <c r="B872" s="145"/>
      <c r="C872" s="145"/>
      <c r="D872" s="145"/>
      <c r="E872" s="145"/>
      <c r="F872" s="145"/>
      <c r="G872" s="102"/>
      <c r="H872" s="145"/>
      <c r="I872" s="145"/>
      <c r="J872" s="145"/>
      <c r="K872" s="145"/>
      <c r="L872" s="145"/>
      <c r="M872" s="145"/>
      <c r="N872" s="145"/>
      <c r="O872" s="145"/>
    </row>
    <row r="873" spans="1:15" x14ac:dyDescent="0.35">
      <c r="A873" s="145"/>
      <c r="B873" s="145"/>
      <c r="C873" s="145"/>
      <c r="D873" s="145"/>
      <c r="E873" s="145"/>
      <c r="F873" s="145"/>
      <c r="G873" s="102"/>
      <c r="H873" s="145"/>
      <c r="I873" s="145"/>
      <c r="J873" s="145"/>
      <c r="K873" s="145"/>
      <c r="L873" s="145"/>
      <c r="M873" s="145"/>
      <c r="N873" s="145"/>
      <c r="O873" s="145"/>
    </row>
    <row r="874" spans="1:15" x14ac:dyDescent="0.35">
      <c r="A874" s="145"/>
      <c r="B874" s="145"/>
      <c r="C874" s="145"/>
      <c r="D874" s="145"/>
      <c r="E874" s="145"/>
      <c r="F874" s="145"/>
      <c r="G874" s="102"/>
      <c r="H874" s="145"/>
      <c r="I874" s="145"/>
      <c r="J874" s="145"/>
      <c r="K874" s="145"/>
      <c r="L874" s="145"/>
      <c r="M874" s="145"/>
    </row>
    <row r="875" spans="1:15" x14ac:dyDescent="0.35">
      <c r="A875" s="145"/>
      <c r="B875" s="145"/>
      <c r="C875" s="145"/>
      <c r="D875" s="145"/>
      <c r="E875" s="145"/>
      <c r="F875" s="145"/>
      <c r="G875" s="102"/>
      <c r="H875" s="145"/>
      <c r="I875" s="145"/>
      <c r="J875" s="145"/>
      <c r="K875" s="145"/>
      <c r="L875" s="145"/>
      <c r="M875" s="145"/>
      <c r="N875" s="145"/>
      <c r="O875" s="145"/>
    </row>
    <row r="876" spans="1:15" x14ac:dyDescent="0.35">
      <c r="A876" s="145"/>
      <c r="B876" s="145"/>
      <c r="C876" s="145"/>
      <c r="D876" s="145"/>
      <c r="E876" s="145"/>
      <c r="F876" s="145"/>
      <c r="G876" s="102"/>
      <c r="H876" s="145"/>
      <c r="I876" s="145"/>
      <c r="J876" s="145"/>
      <c r="K876" s="145"/>
      <c r="L876" s="145"/>
      <c r="M876" s="145"/>
      <c r="N876" s="145"/>
      <c r="O876" s="145"/>
    </row>
    <row r="877" spans="1:15" x14ac:dyDescent="0.35">
      <c r="A877" s="145"/>
      <c r="B877" s="145"/>
      <c r="C877" s="145"/>
      <c r="D877" s="145"/>
      <c r="E877" s="145"/>
      <c r="F877" s="145"/>
      <c r="G877" s="102"/>
      <c r="H877" s="145"/>
      <c r="I877" s="145"/>
      <c r="J877" s="145"/>
      <c r="K877" s="145"/>
      <c r="L877" s="145"/>
      <c r="M877" s="145"/>
      <c r="N877" s="145"/>
      <c r="O877" s="145"/>
    </row>
    <row r="878" spans="1:15" x14ac:dyDescent="0.35">
      <c r="A878" s="145"/>
      <c r="B878" s="145"/>
      <c r="C878" s="145"/>
      <c r="D878" s="145"/>
      <c r="E878" s="145"/>
      <c r="F878" s="145"/>
      <c r="G878" s="102"/>
      <c r="H878" s="145"/>
      <c r="I878" s="145"/>
      <c r="J878" s="145"/>
      <c r="K878" s="145"/>
      <c r="L878" s="145"/>
      <c r="M878" s="145"/>
      <c r="N878" s="145"/>
      <c r="O878" s="145"/>
    </row>
    <row r="879" spans="1:15" x14ac:dyDescent="0.35">
      <c r="A879" s="145"/>
      <c r="B879" s="145"/>
      <c r="C879" s="145"/>
      <c r="D879" s="145"/>
      <c r="E879" s="145"/>
      <c r="F879" s="145"/>
      <c r="G879" s="102"/>
      <c r="H879" s="145"/>
      <c r="I879" s="145"/>
      <c r="J879" s="145"/>
      <c r="K879" s="145"/>
      <c r="L879" s="145"/>
      <c r="M879" s="145"/>
      <c r="N879" s="145"/>
      <c r="O879" s="145"/>
    </row>
    <row r="880" spans="1:15" x14ac:dyDescent="0.35">
      <c r="A880" s="145"/>
      <c r="B880" s="145"/>
      <c r="C880" s="145"/>
      <c r="D880" s="145"/>
      <c r="E880" s="145"/>
      <c r="F880" s="145"/>
      <c r="G880" s="102"/>
      <c r="H880" s="145"/>
      <c r="I880" s="145"/>
      <c r="J880" s="145"/>
      <c r="K880" s="145"/>
      <c r="L880" s="145"/>
      <c r="M880" s="145"/>
      <c r="N880" s="145"/>
      <c r="O880" s="145"/>
    </row>
    <row r="881" spans="1:15" x14ac:dyDescent="0.35">
      <c r="A881" s="145"/>
      <c r="B881" s="145"/>
      <c r="C881" s="145"/>
      <c r="D881" s="145"/>
      <c r="E881" s="145"/>
      <c r="F881" s="145"/>
      <c r="G881" s="102"/>
      <c r="H881" s="145"/>
      <c r="I881" s="145"/>
      <c r="J881" s="145"/>
      <c r="K881" s="145"/>
      <c r="L881" s="145"/>
      <c r="M881" s="145"/>
    </row>
    <row r="882" spans="1:15" x14ac:dyDescent="0.35">
      <c r="A882" s="145"/>
      <c r="B882" s="145"/>
      <c r="C882" s="145"/>
      <c r="D882" s="145"/>
      <c r="E882" s="145"/>
      <c r="F882" s="145"/>
      <c r="G882" s="102"/>
      <c r="H882" s="145"/>
      <c r="I882" s="145"/>
      <c r="J882" s="145"/>
      <c r="K882" s="145"/>
      <c r="L882" s="145"/>
      <c r="M882" s="145"/>
    </row>
    <row r="883" spans="1:15" x14ac:dyDescent="0.35">
      <c r="A883" s="145"/>
      <c r="B883" s="145"/>
      <c r="C883" s="145"/>
      <c r="D883" s="145"/>
      <c r="E883" s="145"/>
      <c r="F883" s="145"/>
      <c r="G883" s="102"/>
      <c r="H883" s="145"/>
      <c r="I883" s="145"/>
      <c r="J883" s="145"/>
      <c r="K883" s="145"/>
      <c r="L883" s="145"/>
      <c r="M883" s="145"/>
    </row>
    <row r="884" spans="1:15" x14ac:dyDescent="0.35">
      <c r="A884" s="145"/>
      <c r="B884" s="145"/>
      <c r="C884" s="145"/>
      <c r="D884" s="145"/>
      <c r="E884" s="145"/>
      <c r="F884" s="145"/>
      <c r="G884" s="102"/>
      <c r="H884" s="145"/>
      <c r="I884" s="145"/>
      <c r="J884" s="145"/>
      <c r="K884" s="145"/>
      <c r="L884" s="145"/>
      <c r="M884" s="145"/>
    </row>
    <row r="885" spans="1:15" x14ac:dyDescent="0.35">
      <c r="A885" s="145"/>
      <c r="B885" s="145"/>
      <c r="C885" s="145"/>
      <c r="D885" s="145"/>
      <c r="E885" s="145"/>
      <c r="F885" s="145"/>
      <c r="G885" s="102"/>
      <c r="H885" s="145"/>
      <c r="I885" s="145"/>
      <c r="J885" s="145"/>
      <c r="K885" s="145"/>
      <c r="L885" s="145"/>
      <c r="M885" s="145"/>
      <c r="N885" s="145"/>
      <c r="O885" s="145"/>
    </row>
    <row r="886" spans="1:15" x14ac:dyDescent="0.35">
      <c r="A886" s="145"/>
      <c r="B886" s="145"/>
      <c r="C886" s="145"/>
      <c r="D886" s="145"/>
      <c r="E886" s="145"/>
      <c r="F886" s="145"/>
      <c r="G886" s="102"/>
      <c r="H886" s="145"/>
      <c r="I886" s="145"/>
      <c r="J886" s="145"/>
      <c r="K886" s="145"/>
      <c r="L886" s="145"/>
      <c r="M886" s="145"/>
      <c r="N886" s="145"/>
      <c r="O886" s="145"/>
    </row>
    <row r="887" spans="1:15" x14ac:dyDescent="0.35">
      <c r="A887" s="145"/>
      <c r="B887" s="145"/>
      <c r="C887" s="145"/>
      <c r="D887" s="145"/>
      <c r="E887" s="145"/>
      <c r="F887" s="145"/>
      <c r="G887" s="102"/>
      <c r="H887" s="145"/>
      <c r="I887" s="145"/>
      <c r="J887" s="145"/>
      <c r="K887" s="145"/>
      <c r="L887" s="145"/>
      <c r="M887" s="145"/>
      <c r="N887" s="145"/>
      <c r="O887" s="145"/>
    </row>
    <row r="888" spans="1:15" x14ac:dyDescent="0.35">
      <c r="A888" s="145"/>
      <c r="B888" s="145"/>
      <c r="C888" s="145"/>
      <c r="D888" s="145"/>
      <c r="E888" s="145"/>
      <c r="F888" s="145"/>
      <c r="G888" s="102"/>
      <c r="H888" s="145"/>
      <c r="I888" s="145"/>
      <c r="J888" s="145"/>
      <c r="K888" s="145"/>
      <c r="L888" s="145"/>
      <c r="M888" s="145"/>
      <c r="N888" s="145"/>
      <c r="O888" s="145"/>
    </row>
    <row r="889" spans="1:15" x14ac:dyDescent="0.35">
      <c r="A889" s="145"/>
      <c r="B889" s="145"/>
      <c r="C889" s="145"/>
      <c r="D889" s="145"/>
      <c r="E889" s="145"/>
      <c r="F889" s="145"/>
      <c r="G889" s="102"/>
      <c r="H889" s="145"/>
      <c r="I889" s="145"/>
      <c r="J889" s="145"/>
      <c r="K889" s="145"/>
      <c r="L889" s="145"/>
      <c r="M889" s="145"/>
      <c r="N889" s="31"/>
      <c r="O889" s="31"/>
    </row>
    <row r="890" spans="1:15" x14ac:dyDescent="0.35">
      <c r="A890" s="145"/>
      <c r="B890" s="145"/>
      <c r="C890" s="145"/>
      <c r="D890" s="145"/>
      <c r="E890" s="145"/>
      <c r="F890" s="145"/>
      <c r="G890" s="102"/>
      <c r="H890" s="145"/>
      <c r="I890" s="145"/>
      <c r="J890" s="145"/>
      <c r="K890" s="145"/>
      <c r="L890" s="145"/>
      <c r="M890" s="145"/>
      <c r="N890" s="31"/>
      <c r="O890" s="31"/>
    </row>
    <row r="891" spans="1:15" x14ac:dyDescent="0.35">
      <c r="A891" s="145"/>
      <c r="B891" s="145"/>
      <c r="C891" s="145"/>
      <c r="D891" s="145"/>
      <c r="E891" s="145"/>
      <c r="F891" s="145"/>
      <c r="G891" s="102"/>
      <c r="H891" s="145"/>
      <c r="I891" s="145"/>
      <c r="J891" s="145"/>
      <c r="K891" s="145"/>
      <c r="L891" s="145"/>
      <c r="M891" s="145"/>
    </row>
    <row r="892" spans="1:15" x14ac:dyDescent="0.35">
      <c r="A892" s="145"/>
      <c r="B892" s="145"/>
      <c r="C892" s="145"/>
      <c r="D892" s="145"/>
      <c r="E892" s="145"/>
      <c r="F892" s="145"/>
      <c r="G892" s="102"/>
      <c r="H892" s="145"/>
      <c r="I892" s="145"/>
      <c r="J892" s="145"/>
      <c r="K892" s="145"/>
      <c r="L892" s="145"/>
      <c r="M892" s="145"/>
    </row>
    <row r="893" spans="1:15" x14ac:dyDescent="0.35">
      <c r="A893" s="145"/>
      <c r="B893" s="145"/>
      <c r="C893" s="145"/>
      <c r="D893" s="145"/>
      <c r="E893" s="145"/>
      <c r="F893" s="145"/>
      <c r="G893" s="102"/>
      <c r="H893" s="145"/>
      <c r="I893" s="145"/>
      <c r="J893" s="145"/>
      <c r="K893" s="145"/>
      <c r="L893" s="145"/>
      <c r="M893" s="145"/>
    </row>
    <row r="894" spans="1:15" x14ac:dyDescent="0.35">
      <c r="A894" s="145"/>
      <c r="B894" s="145"/>
      <c r="C894" s="145"/>
      <c r="D894" s="145"/>
      <c r="E894" s="145"/>
      <c r="F894" s="145"/>
      <c r="G894" s="102"/>
      <c r="H894" s="145"/>
      <c r="I894" s="145"/>
      <c r="J894" s="145"/>
      <c r="K894" s="145"/>
      <c r="L894" s="145"/>
      <c r="M894" s="145"/>
    </row>
    <row r="895" spans="1:15" x14ac:dyDescent="0.35">
      <c r="A895" s="145"/>
      <c r="B895" s="145"/>
      <c r="C895" s="145"/>
      <c r="D895" s="145"/>
      <c r="E895" s="145"/>
      <c r="F895" s="145"/>
      <c r="G895" s="102"/>
      <c r="H895" s="145"/>
      <c r="I895" s="145"/>
      <c r="J895" s="145"/>
      <c r="K895" s="145"/>
      <c r="L895" s="145"/>
      <c r="M895" s="145"/>
    </row>
    <row r="896" spans="1:15" x14ac:dyDescent="0.35">
      <c r="A896" s="145"/>
      <c r="B896" s="145"/>
      <c r="C896" s="145"/>
      <c r="D896" s="145"/>
      <c r="E896" s="145"/>
      <c r="F896" s="145"/>
      <c r="G896" s="102"/>
      <c r="H896" s="145"/>
      <c r="I896" s="145"/>
      <c r="J896" s="145"/>
      <c r="K896" s="145"/>
      <c r="L896" s="145"/>
      <c r="M896" s="145"/>
      <c r="N896" s="145"/>
      <c r="O896" s="145"/>
    </row>
    <row r="897" spans="1:15" x14ac:dyDescent="0.35">
      <c r="A897" s="145"/>
      <c r="B897" s="145"/>
      <c r="C897" s="145"/>
      <c r="D897" s="145"/>
      <c r="E897" s="145"/>
      <c r="F897" s="145"/>
      <c r="G897" s="102"/>
      <c r="H897" s="145"/>
      <c r="I897" s="145"/>
      <c r="J897" s="145"/>
      <c r="K897" s="145"/>
      <c r="L897" s="145"/>
      <c r="M897" s="145"/>
    </row>
    <row r="898" spans="1:15" x14ac:dyDescent="0.35">
      <c r="A898" s="145"/>
      <c r="B898" s="145"/>
      <c r="C898" s="145"/>
      <c r="D898" s="145"/>
      <c r="E898" s="145"/>
      <c r="F898" s="145"/>
      <c r="G898" s="102"/>
      <c r="H898" s="145"/>
      <c r="I898" s="145"/>
      <c r="J898" s="145"/>
      <c r="K898" s="145"/>
      <c r="L898" s="145"/>
      <c r="M898" s="145"/>
      <c r="N898" s="145"/>
      <c r="O898" s="145"/>
    </row>
    <row r="899" spans="1:15" x14ac:dyDescent="0.35">
      <c r="A899" s="145"/>
      <c r="B899" s="145"/>
      <c r="C899" s="145"/>
      <c r="D899" s="145"/>
      <c r="E899" s="145"/>
      <c r="F899" s="145"/>
      <c r="G899" s="102"/>
      <c r="H899" s="145"/>
      <c r="I899" s="145"/>
      <c r="J899" s="145"/>
      <c r="K899" s="145"/>
      <c r="L899" s="145"/>
      <c r="M899" s="145"/>
      <c r="N899" s="145"/>
      <c r="O899" s="145"/>
    </row>
    <row r="900" spans="1:15" x14ac:dyDescent="0.35">
      <c r="A900" s="145"/>
      <c r="B900" s="145"/>
      <c r="C900" s="145"/>
      <c r="D900" s="145"/>
      <c r="E900" s="145"/>
      <c r="F900" s="145"/>
      <c r="G900" s="102"/>
      <c r="H900" s="145"/>
      <c r="I900" s="145"/>
      <c r="J900" s="145"/>
      <c r="K900" s="145"/>
      <c r="L900" s="145"/>
      <c r="M900" s="145"/>
      <c r="N900" s="145"/>
      <c r="O900" s="145"/>
    </row>
    <row r="901" spans="1:15" x14ac:dyDescent="0.35">
      <c r="A901" s="145"/>
      <c r="B901" s="145"/>
      <c r="C901" s="145"/>
      <c r="D901" s="145"/>
      <c r="E901" s="145"/>
      <c r="F901" s="145"/>
      <c r="G901" s="102"/>
      <c r="H901" s="145"/>
      <c r="I901" s="145"/>
      <c r="J901" s="145"/>
      <c r="K901" s="145"/>
      <c r="L901" s="145"/>
      <c r="M901" s="145"/>
      <c r="N901" s="145"/>
      <c r="O901" s="145"/>
    </row>
    <row r="902" spans="1:15" x14ac:dyDescent="0.35">
      <c r="A902" s="145"/>
      <c r="B902" s="145"/>
      <c r="C902" s="145"/>
      <c r="D902" s="145"/>
      <c r="E902" s="145"/>
      <c r="F902" s="145"/>
      <c r="G902" s="102"/>
      <c r="H902" s="145"/>
      <c r="I902" s="145"/>
      <c r="J902" s="145"/>
      <c r="K902" s="145"/>
      <c r="L902" s="145"/>
      <c r="M902" s="145"/>
      <c r="N902" s="145"/>
      <c r="O902" s="145"/>
    </row>
    <row r="903" spans="1:15" x14ac:dyDescent="0.35">
      <c r="A903" s="145"/>
      <c r="B903" s="145"/>
      <c r="C903" s="145"/>
      <c r="D903" s="145"/>
      <c r="E903" s="145"/>
      <c r="F903" s="145"/>
      <c r="G903" s="102"/>
      <c r="H903" s="145"/>
      <c r="I903" s="145"/>
      <c r="J903" s="145"/>
      <c r="K903" s="145"/>
      <c r="L903" s="145"/>
      <c r="M903" s="145"/>
      <c r="N903" s="145"/>
      <c r="O903" s="145"/>
    </row>
    <row r="904" spans="1:15" x14ac:dyDescent="0.35">
      <c r="A904" s="145"/>
      <c r="B904" s="145"/>
      <c r="C904" s="145"/>
      <c r="D904" s="145"/>
      <c r="E904" s="145"/>
      <c r="F904" s="145"/>
      <c r="G904" s="102"/>
      <c r="H904" s="145"/>
      <c r="I904" s="145"/>
      <c r="J904" s="145"/>
      <c r="K904" s="145"/>
      <c r="L904" s="145"/>
      <c r="M904" s="145"/>
      <c r="N904" s="145"/>
      <c r="O904" s="145"/>
    </row>
    <row r="905" spans="1:15" x14ac:dyDescent="0.35">
      <c r="A905" s="145"/>
      <c r="B905" s="145"/>
      <c r="C905" s="145"/>
      <c r="D905" s="145"/>
      <c r="E905" s="145"/>
      <c r="F905" s="145"/>
      <c r="G905" s="102"/>
      <c r="H905" s="145"/>
      <c r="I905" s="145"/>
      <c r="J905" s="145"/>
      <c r="K905" s="145"/>
      <c r="L905" s="145"/>
      <c r="M905" s="145"/>
      <c r="N905" s="145"/>
      <c r="O905" s="145"/>
    </row>
    <row r="906" spans="1:15" x14ac:dyDescent="0.35">
      <c r="A906" s="145"/>
      <c r="B906" s="145"/>
      <c r="C906" s="145"/>
      <c r="D906" s="145"/>
      <c r="E906" s="145"/>
      <c r="F906" s="145"/>
      <c r="G906" s="102"/>
      <c r="H906" s="145"/>
      <c r="I906" s="145"/>
      <c r="J906" s="145"/>
      <c r="K906" s="145"/>
      <c r="L906" s="145"/>
      <c r="M906" s="145"/>
      <c r="N906" s="145"/>
      <c r="O906" s="145"/>
    </row>
    <row r="907" spans="1:15" x14ac:dyDescent="0.35">
      <c r="A907" s="145"/>
      <c r="B907" s="145"/>
      <c r="C907" s="145"/>
      <c r="D907" s="145"/>
      <c r="E907" s="145"/>
      <c r="F907" s="145"/>
      <c r="G907" s="102"/>
      <c r="H907" s="145"/>
      <c r="I907" s="145"/>
      <c r="J907" s="145"/>
      <c r="K907" s="145"/>
      <c r="L907" s="145"/>
      <c r="M907" s="145"/>
      <c r="N907" s="145"/>
      <c r="O907" s="145"/>
    </row>
    <row r="908" spans="1:15" x14ac:dyDescent="0.35">
      <c r="A908" s="145"/>
      <c r="B908" s="145"/>
      <c r="C908" s="145"/>
      <c r="D908" s="145"/>
      <c r="E908" s="145"/>
      <c r="F908" s="145"/>
      <c r="G908" s="102"/>
      <c r="H908" s="145"/>
      <c r="I908" s="145"/>
      <c r="J908" s="145"/>
      <c r="K908" s="145"/>
      <c r="L908" s="145"/>
      <c r="M908" s="145"/>
      <c r="N908" s="145"/>
      <c r="O908" s="145"/>
    </row>
    <row r="909" spans="1:15" x14ac:dyDescent="0.35">
      <c r="A909" s="145"/>
      <c r="B909" s="145"/>
      <c r="C909" s="145"/>
      <c r="D909" s="145"/>
      <c r="E909" s="145"/>
      <c r="F909" s="145"/>
      <c r="G909" s="102"/>
      <c r="H909" s="145"/>
      <c r="I909" s="145"/>
      <c r="J909" s="145"/>
      <c r="K909" s="145"/>
      <c r="L909" s="145"/>
      <c r="M909" s="145"/>
      <c r="N909" s="145"/>
      <c r="O909" s="145"/>
    </row>
    <row r="910" spans="1:15" x14ac:dyDescent="0.35">
      <c r="A910" s="145"/>
      <c r="B910" s="145"/>
      <c r="C910" s="145"/>
      <c r="D910" s="145"/>
      <c r="E910" s="145"/>
      <c r="F910" s="145"/>
      <c r="G910" s="102"/>
      <c r="H910" s="145"/>
      <c r="I910" s="145"/>
      <c r="J910" s="145"/>
      <c r="K910" s="145"/>
      <c r="L910" s="145"/>
      <c r="M910" s="145"/>
      <c r="N910" s="145"/>
      <c r="O910" s="145"/>
    </row>
    <row r="911" spans="1:15" x14ac:dyDescent="0.35">
      <c r="A911" s="145"/>
      <c r="B911" s="145"/>
      <c r="C911" s="145"/>
      <c r="D911" s="145"/>
      <c r="E911" s="145"/>
      <c r="F911" s="145"/>
      <c r="G911" s="102"/>
      <c r="H911" s="145"/>
      <c r="I911" s="145"/>
      <c r="J911" s="145"/>
      <c r="K911" s="145"/>
      <c r="L911" s="145"/>
      <c r="M911" s="145"/>
      <c r="N911" s="145"/>
      <c r="O911" s="145"/>
    </row>
    <row r="912" spans="1:15" x14ac:dyDescent="0.35">
      <c r="A912" s="145"/>
      <c r="B912" s="145"/>
      <c r="C912" s="145"/>
      <c r="D912" s="145"/>
      <c r="E912" s="145"/>
      <c r="F912" s="145"/>
      <c r="G912" s="102"/>
      <c r="H912" s="145"/>
      <c r="I912" s="145"/>
      <c r="J912" s="145"/>
      <c r="K912" s="145"/>
      <c r="L912" s="145"/>
      <c r="M912" s="145"/>
      <c r="N912" s="145"/>
      <c r="O912" s="145"/>
    </row>
    <row r="913" spans="1:15" x14ac:dyDescent="0.35">
      <c r="A913" s="145"/>
      <c r="B913" s="145"/>
      <c r="C913" s="145"/>
      <c r="D913" s="145"/>
      <c r="E913" s="145"/>
      <c r="F913" s="145"/>
      <c r="G913" s="102"/>
      <c r="H913" s="145"/>
      <c r="I913" s="145"/>
      <c r="J913" s="145"/>
      <c r="K913" s="145"/>
      <c r="L913" s="145"/>
      <c r="M913" s="145"/>
      <c r="N913" s="145"/>
      <c r="O913" s="145"/>
    </row>
    <row r="914" spans="1:15" x14ac:dyDescent="0.35">
      <c r="A914" s="145"/>
      <c r="B914" s="145"/>
      <c r="C914" s="145"/>
      <c r="D914" s="145"/>
      <c r="E914" s="145"/>
      <c r="F914" s="145"/>
      <c r="G914" s="102"/>
      <c r="H914" s="145"/>
      <c r="I914" s="145"/>
      <c r="J914" s="145"/>
      <c r="K914" s="145"/>
      <c r="L914" s="145"/>
      <c r="M914" s="145"/>
      <c r="N914" s="145"/>
      <c r="O914" s="145"/>
    </row>
    <row r="915" spans="1:15" x14ac:dyDescent="0.35">
      <c r="A915" s="145"/>
      <c r="B915" s="145"/>
      <c r="C915" s="145"/>
      <c r="D915" s="145"/>
      <c r="E915" s="145"/>
      <c r="F915" s="145"/>
      <c r="G915" s="102"/>
      <c r="H915" s="145"/>
      <c r="I915" s="145"/>
      <c r="J915" s="145"/>
      <c r="K915" s="145"/>
      <c r="L915" s="145"/>
      <c r="M915" s="145"/>
      <c r="N915" s="145"/>
      <c r="O915" s="145"/>
    </row>
    <row r="916" spans="1:15" x14ac:dyDescent="0.35">
      <c r="A916" s="145"/>
      <c r="B916" s="145"/>
      <c r="C916" s="145"/>
      <c r="D916" s="145"/>
      <c r="E916" s="145"/>
      <c r="F916" s="145"/>
      <c r="G916" s="102"/>
      <c r="H916" s="145"/>
      <c r="I916" s="145"/>
      <c r="J916" s="145"/>
      <c r="K916" s="145"/>
      <c r="L916" s="145"/>
      <c r="M916" s="145"/>
      <c r="N916" s="145"/>
      <c r="O916" s="145"/>
    </row>
    <row r="917" spans="1:15" x14ac:dyDescent="0.35">
      <c r="A917" s="145"/>
      <c r="B917" s="145"/>
      <c r="C917" s="145"/>
      <c r="D917" s="145"/>
      <c r="E917" s="145"/>
      <c r="F917" s="145"/>
      <c r="G917" s="102"/>
      <c r="H917" s="145"/>
      <c r="I917" s="145"/>
      <c r="J917" s="145"/>
      <c r="K917" s="145"/>
      <c r="L917" s="145"/>
      <c r="M917" s="145"/>
      <c r="N917" s="145"/>
      <c r="O917" s="145"/>
    </row>
    <row r="918" spans="1:15" x14ac:dyDescent="0.35">
      <c r="A918" s="145"/>
      <c r="B918" s="145"/>
      <c r="C918" s="145"/>
      <c r="D918" s="145"/>
      <c r="E918" s="145"/>
      <c r="F918" s="145"/>
      <c r="G918" s="102"/>
      <c r="H918" s="145"/>
      <c r="I918" s="145"/>
      <c r="J918" s="145"/>
      <c r="K918" s="145"/>
      <c r="L918" s="145"/>
      <c r="M918" s="145"/>
      <c r="N918" s="145"/>
      <c r="O918" s="145"/>
    </row>
    <row r="919" spans="1:15" x14ac:dyDescent="0.35">
      <c r="A919" s="145"/>
      <c r="B919" s="145"/>
      <c r="C919" s="145"/>
      <c r="D919" s="145"/>
      <c r="E919" s="145"/>
      <c r="F919" s="145"/>
      <c r="G919" s="102"/>
      <c r="H919" s="145"/>
      <c r="I919" s="145"/>
      <c r="J919" s="145"/>
      <c r="K919" s="145"/>
      <c r="L919" s="145"/>
      <c r="M919" s="145"/>
      <c r="N919" s="145"/>
      <c r="O919" s="145"/>
    </row>
    <row r="920" spans="1:15" x14ac:dyDescent="0.35">
      <c r="A920" s="145"/>
      <c r="B920" s="145"/>
      <c r="C920" s="145"/>
      <c r="D920" s="145"/>
      <c r="E920" s="145"/>
      <c r="F920" s="145"/>
      <c r="G920" s="102"/>
      <c r="H920" s="145"/>
      <c r="I920" s="145"/>
      <c r="J920" s="145"/>
      <c r="K920" s="145"/>
      <c r="L920" s="145"/>
      <c r="M920" s="145"/>
      <c r="N920" s="145"/>
      <c r="O920" s="145"/>
    </row>
    <row r="921" spans="1:15" x14ac:dyDescent="0.35">
      <c r="A921" s="145"/>
      <c r="B921" s="145"/>
      <c r="C921" s="145"/>
      <c r="D921" s="145"/>
      <c r="E921" s="145"/>
      <c r="F921" s="145"/>
      <c r="G921" s="102"/>
      <c r="H921" s="145"/>
      <c r="I921" s="145"/>
      <c r="J921" s="145"/>
      <c r="K921" s="145"/>
      <c r="L921" s="145"/>
      <c r="M921" s="145"/>
      <c r="N921" s="145"/>
      <c r="O921" s="145"/>
    </row>
    <row r="922" spans="1:15" x14ac:dyDescent="0.35">
      <c r="A922" s="145"/>
      <c r="B922" s="145"/>
      <c r="C922" s="145"/>
      <c r="D922" s="145"/>
      <c r="E922" s="145"/>
      <c r="F922" s="145"/>
      <c r="G922" s="102"/>
      <c r="H922" s="145"/>
      <c r="I922" s="145"/>
      <c r="J922" s="145"/>
      <c r="K922" s="145"/>
      <c r="L922" s="145"/>
      <c r="M922" s="145"/>
      <c r="N922" s="145"/>
      <c r="O922" s="145"/>
    </row>
    <row r="923" spans="1:15" x14ac:dyDescent="0.35">
      <c r="A923" s="145"/>
      <c r="B923" s="145"/>
      <c r="C923" s="145"/>
      <c r="D923" s="145"/>
      <c r="E923" s="145"/>
      <c r="F923" s="145"/>
      <c r="G923" s="102"/>
      <c r="H923" s="145"/>
      <c r="I923" s="145"/>
      <c r="J923" s="145"/>
      <c r="K923" s="145"/>
      <c r="L923" s="145"/>
      <c r="M923" s="145"/>
      <c r="N923" s="145"/>
      <c r="O923" s="145"/>
    </row>
    <row r="924" spans="1:15" x14ac:dyDescent="0.35">
      <c r="A924" s="145"/>
      <c r="B924" s="145"/>
      <c r="C924" s="145"/>
      <c r="D924" s="145"/>
      <c r="E924" s="145"/>
      <c r="F924" s="145"/>
      <c r="G924" s="102"/>
      <c r="H924" s="145"/>
      <c r="I924" s="145"/>
      <c r="J924" s="145"/>
      <c r="K924" s="145"/>
      <c r="L924" s="145"/>
      <c r="M924" s="145"/>
      <c r="N924" s="145"/>
      <c r="O924" s="145"/>
    </row>
    <row r="925" spans="1:15" x14ac:dyDescent="0.35">
      <c r="A925" s="145"/>
      <c r="B925" s="145"/>
      <c r="C925" s="145"/>
      <c r="D925" s="145"/>
      <c r="E925" s="145"/>
      <c r="F925" s="145"/>
      <c r="G925" s="102"/>
      <c r="H925" s="145"/>
      <c r="I925" s="145"/>
      <c r="J925" s="145"/>
      <c r="K925" s="145"/>
      <c r="L925" s="145"/>
      <c r="M925" s="145"/>
    </row>
    <row r="926" spans="1:15" x14ac:dyDescent="0.35">
      <c r="A926" s="145"/>
      <c r="B926" s="145"/>
      <c r="C926" s="145"/>
      <c r="D926" s="145"/>
      <c r="E926" s="145"/>
      <c r="F926" s="145"/>
      <c r="G926" s="102"/>
      <c r="H926" s="145"/>
      <c r="I926" s="145"/>
      <c r="J926" s="145"/>
      <c r="K926" s="145"/>
      <c r="L926" s="145"/>
      <c r="M926" s="145"/>
      <c r="N926" s="145"/>
      <c r="O926" s="145"/>
    </row>
    <row r="927" spans="1:15" x14ac:dyDescent="0.35">
      <c r="A927" s="145"/>
      <c r="B927" s="145"/>
      <c r="C927" s="145"/>
      <c r="D927" s="145"/>
      <c r="E927" s="145"/>
      <c r="F927" s="145"/>
      <c r="G927" s="102"/>
      <c r="H927" s="145"/>
      <c r="I927" s="145"/>
      <c r="J927" s="145"/>
      <c r="K927" s="145"/>
      <c r="L927" s="145"/>
      <c r="M927" s="145"/>
    </row>
    <row r="928" spans="1:15" x14ac:dyDescent="0.35">
      <c r="A928" s="145"/>
      <c r="B928" s="145"/>
      <c r="C928" s="145"/>
      <c r="D928" s="145"/>
      <c r="E928" s="145"/>
      <c r="F928" s="145"/>
      <c r="G928" s="102"/>
      <c r="H928" s="145"/>
      <c r="I928" s="145"/>
      <c r="J928" s="145"/>
      <c r="K928" s="145"/>
      <c r="L928" s="145"/>
      <c r="M928" s="145"/>
      <c r="N928" s="145"/>
      <c r="O928" s="145"/>
    </row>
    <row r="929" spans="1:15" x14ac:dyDescent="0.35">
      <c r="A929" s="145"/>
      <c r="B929" s="145"/>
      <c r="C929" s="145"/>
      <c r="D929" s="145"/>
      <c r="E929" s="145"/>
      <c r="F929" s="145"/>
      <c r="G929" s="102"/>
      <c r="H929" s="145"/>
      <c r="I929" s="145"/>
      <c r="J929" s="145"/>
      <c r="K929" s="145"/>
      <c r="L929" s="145"/>
      <c r="M929" s="145"/>
      <c r="N929" s="145"/>
      <c r="O929" s="145"/>
    </row>
    <row r="930" spans="1:15" x14ac:dyDescent="0.35">
      <c r="A930" s="145"/>
      <c r="B930" s="145"/>
      <c r="C930" s="145"/>
      <c r="D930" s="145"/>
      <c r="E930" s="145"/>
      <c r="F930" s="145"/>
      <c r="G930" s="102"/>
      <c r="H930" s="145"/>
      <c r="I930" s="145"/>
      <c r="J930" s="145"/>
      <c r="K930" s="145"/>
      <c r="L930" s="145"/>
      <c r="M930" s="145"/>
      <c r="N930" s="145"/>
      <c r="O930" s="145"/>
    </row>
    <row r="931" spans="1:15" x14ac:dyDescent="0.35">
      <c r="A931" s="145"/>
      <c r="B931" s="145"/>
      <c r="C931" s="145"/>
      <c r="D931" s="145"/>
      <c r="E931" s="145"/>
      <c r="F931" s="145"/>
      <c r="G931" s="102"/>
      <c r="H931" s="145"/>
      <c r="I931" s="145"/>
      <c r="J931" s="145"/>
      <c r="K931" s="145"/>
      <c r="L931" s="145"/>
      <c r="M931" s="145"/>
      <c r="N931" s="145"/>
      <c r="O931" s="145"/>
    </row>
    <row r="932" spans="1:15" x14ac:dyDescent="0.35">
      <c r="A932" s="145"/>
      <c r="B932" s="145"/>
      <c r="C932" s="145"/>
      <c r="D932" s="145"/>
      <c r="E932" s="145"/>
      <c r="F932" s="145"/>
      <c r="G932" s="102"/>
      <c r="H932" s="145"/>
      <c r="I932" s="145"/>
      <c r="J932" s="145"/>
      <c r="K932" s="145"/>
      <c r="L932" s="145"/>
      <c r="M932" s="145"/>
      <c r="N932" s="145"/>
      <c r="O932" s="145"/>
    </row>
    <row r="933" spans="1:15" x14ac:dyDescent="0.35">
      <c r="A933" s="145"/>
      <c r="B933" s="145"/>
      <c r="C933" s="145"/>
      <c r="D933" s="145"/>
      <c r="E933" s="145"/>
      <c r="F933" s="145"/>
      <c r="G933" s="102"/>
      <c r="H933" s="145"/>
      <c r="I933" s="145"/>
      <c r="J933" s="145"/>
      <c r="K933" s="145"/>
      <c r="L933" s="145"/>
      <c r="M933" s="145"/>
      <c r="N933" s="145"/>
      <c r="O933" s="145"/>
    </row>
    <row r="934" spans="1:15" x14ac:dyDescent="0.35">
      <c r="A934" s="145"/>
      <c r="B934" s="145"/>
      <c r="C934" s="145"/>
      <c r="D934" s="145"/>
      <c r="E934" s="145"/>
      <c r="F934" s="145"/>
      <c r="G934" s="102"/>
      <c r="H934" s="145"/>
      <c r="I934" s="145"/>
      <c r="J934" s="145"/>
      <c r="K934" s="145"/>
      <c r="L934" s="145"/>
      <c r="M934" s="145"/>
      <c r="N934" s="145"/>
      <c r="O934" s="145"/>
    </row>
    <row r="935" spans="1:15" x14ac:dyDescent="0.35">
      <c r="A935" s="145"/>
      <c r="B935" s="145"/>
      <c r="C935" s="145"/>
      <c r="D935" s="145"/>
      <c r="E935" s="145"/>
      <c r="F935" s="145"/>
      <c r="G935" s="102"/>
      <c r="H935" s="145"/>
      <c r="I935" s="145"/>
      <c r="J935" s="145"/>
      <c r="K935" s="145"/>
      <c r="L935" s="145"/>
      <c r="M935" s="145"/>
      <c r="N935" s="145"/>
      <c r="O935" s="145"/>
    </row>
    <row r="936" spans="1:15" x14ac:dyDescent="0.35">
      <c r="A936" s="145"/>
      <c r="B936" s="145"/>
      <c r="C936" s="145"/>
      <c r="D936" s="145"/>
      <c r="E936" s="145"/>
      <c r="F936" s="145"/>
      <c r="G936" s="102"/>
      <c r="H936" s="145"/>
      <c r="I936" s="145"/>
      <c r="J936" s="145"/>
      <c r="K936" s="145"/>
      <c r="L936" s="145"/>
      <c r="M936" s="145"/>
      <c r="N936" s="145"/>
      <c r="O936" s="145"/>
    </row>
    <row r="937" spans="1:15" x14ac:dyDescent="0.35">
      <c r="A937" s="145"/>
      <c r="B937" s="145"/>
      <c r="C937" s="145"/>
      <c r="D937" s="145"/>
      <c r="E937" s="145"/>
      <c r="F937" s="145"/>
      <c r="G937" s="102"/>
      <c r="H937" s="145"/>
      <c r="I937" s="145"/>
      <c r="J937" s="145"/>
      <c r="K937" s="145"/>
      <c r="L937" s="145"/>
      <c r="M937" s="145"/>
      <c r="N937" s="31"/>
      <c r="O937" s="31"/>
    </row>
    <row r="938" spans="1:15" x14ac:dyDescent="0.35">
      <c r="A938" s="145"/>
      <c r="B938" s="145"/>
      <c r="C938" s="145"/>
      <c r="D938" s="145"/>
      <c r="E938" s="145"/>
      <c r="F938" s="145"/>
      <c r="G938" s="102"/>
      <c r="H938" s="145"/>
      <c r="I938" s="145"/>
      <c r="J938" s="145"/>
      <c r="K938" s="145"/>
      <c r="L938" s="145"/>
      <c r="M938" s="145"/>
      <c r="N938" s="31"/>
      <c r="O938" s="31"/>
    </row>
    <row r="939" spans="1:15" x14ac:dyDescent="0.35">
      <c r="A939" s="145"/>
      <c r="B939" s="145"/>
      <c r="C939" s="145"/>
      <c r="D939" s="145"/>
      <c r="E939" s="145"/>
      <c r="F939" s="145"/>
      <c r="G939" s="102"/>
      <c r="H939" s="145"/>
      <c r="I939" s="145"/>
      <c r="J939" s="145"/>
      <c r="K939" s="145"/>
      <c r="L939" s="145"/>
      <c r="M939" s="145"/>
    </row>
    <row r="940" spans="1:15" x14ac:dyDescent="0.35">
      <c r="A940" s="145"/>
      <c r="B940" s="145"/>
      <c r="C940" s="145"/>
      <c r="D940" s="145"/>
      <c r="E940" s="145"/>
      <c r="F940" s="145"/>
      <c r="G940" s="102"/>
      <c r="H940" s="145"/>
      <c r="I940" s="145"/>
      <c r="J940" s="145"/>
      <c r="K940" s="145"/>
      <c r="L940" s="145"/>
      <c r="M940" s="145"/>
    </row>
    <row r="941" spans="1:15" x14ac:dyDescent="0.35">
      <c r="A941" s="145"/>
      <c r="B941" s="145"/>
      <c r="C941" s="145"/>
      <c r="D941" s="145"/>
      <c r="E941" s="145"/>
      <c r="F941" s="145"/>
      <c r="G941" s="102"/>
      <c r="H941" s="145"/>
      <c r="I941" s="145"/>
      <c r="J941" s="145"/>
      <c r="K941" s="145"/>
      <c r="L941" s="145"/>
      <c r="M941" s="145"/>
    </row>
    <row r="942" spans="1:15" x14ac:dyDescent="0.35">
      <c r="A942" s="145"/>
      <c r="B942" s="145"/>
      <c r="C942" s="145"/>
      <c r="D942" s="145"/>
      <c r="E942" s="145"/>
      <c r="F942" s="145"/>
      <c r="G942" s="102"/>
      <c r="H942" s="145"/>
      <c r="I942" s="145"/>
      <c r="J942" s="145"/>
      <c r="K942" s="145"/>
      <c r="L942" s="145"/>
      <c r="M942" s="145"/>
    </row>
    <row r="943" spans="1:15" x14ac:dyDescent="0.35">
      <c r="A943" s="145"/>
      <c r="B943" s="145"/>
      <c r="C943" s="145"/>
      <c r="D943" s="145"/>
      <c r="E943" s="145"/>
      <c r="F943" s="145"/>
      <c r="G943" s="102"/>
      <c r="H943" s="145"/>
      <c r="I943" s="145"/>
      <c r="J943" s="145"/>
      <c r="K943" s="145"/>
      <c r="L943" s="145"/>
      <c r="M943" s="145"/>
    </row>
    <row r="944" spans="1:15" x14ac:dyDescent="0.35">
      <c r="A944" s="145"/>
      <c r="B944" s="145"/>
      <c r="C944" s="145"/>
      <c r="D944" s="145"/>
      <c r="E944" s="145"/>
      <c r="F944" s="145"/>
      <c r="G944" s="102"/>
      <c r="H944" s="145"/>
      <c r="I944" s="145"/>
      <c r="J944" s="145"/>
      <c r="K944" s="145"/>
      <c r="L944" s="145"/>
      <c r="M944" s="145"/>
    </row>
    <row r="945" spans="1:15" x14ac:dyDescent="0.35">
      <c r="A945" s="145"/>
      <c r="B945" s="145"/>
      <c r="C945" s="145"/>
      <c r="D945" s="145"/>
      <c r="E945" s="145"/>
      <c r="F945" s="145"/>
      <c r="G945" s="102"/>
      <c r="H945" s="145"/>
      <c r="I945" s="145"/>
      <c r="J945" s="145"/>
      <c r="K945" s="145"/>
      <c r="L945" s="145"/>
      <c r="M945" s="145"/>
    </row>
    <row r="946" spans="1:15" x14ac:dyDescent="0.35">
      <c r="A946" s="145"/>
      <c r="B946" s="145"/>
      <c r="C946" s="145"/>
      <c r="D946" s="145"/>
      <c r="E946" s="145"/>
      <c r="F946" s="145"/>
      <c r="G946" s="102"/>
      <c r="H946" s="145"/>
      <c r="I946" s="145"/>
      <c r="J946" s="145"/>
      <c r="K946" s="145"/>
      <c r="L946" s="145"/>
      <c r="M946" s="145"/>
      <c r="N946" s="145"/>
      <c r="O946" s="145"/>
    </row>
    <row r="947" spans="1:15" x14ac:dyDescent="0.35">
      <c r="A947" s="145"/>
      <c r="B947" s="145"/>
      <c r="C947" s="145"/>
      <c r="D947" s="145"/>
      <c r="E947" s="145"/>
      <c r="F947" s="145"/>
      <c r="G947" s="102"/>
      <c r="H947" s="145"/>
      <c r="I947" s="145"/>
      <c r="J947" s="145"/>
      <c r="K947" s="145"/>
      <c r="L947" s="145"/>
      <c r="M947" s="145"/>
      <c r="N947" s="145"/>
      <c r="O947" s="145"/>
    </row>
    <row r="948" spans="1:15" x14ac:dyDescent="0.35">
      <c r="A948" s="145"/>
      <c r="B948" s="145"/>
      <c r="C948" s="145"/>
      <c r="D948" s="145"/>
      <c r="E948" s="145"/>
      <c r="F948" s="145"/>
      <c r="G948" s="102"/>
      <c r="H948" s="145"/>
      <c r="I948" s="145"/>
      <c r="J948" s="145"/>
      <c r="K948" s="145"/>
      <c r="L948" s="145"/>
      <c r="M948" s="145"/>
    </row>
    <row r="949" spans="1:15" x14ac:dyDescent="0.35">
      <c r="A949" s="145"/>
      <c r="B949" s="145"/>
      <c r="C949" s="145"/>
      <c r="D949" s="145"/>
      <c r="E949" s="145"/>
      <c r="F949" s="145"/>
      <c r="G949" s="102"/>
      <c r="H949" s="145"/>
      <c r="I949" s="145"/>
      <c r="J949" s="145"/>
      <c r="K949" s="145"/>
      <c r="L949" s="145"/>
      <c r="M949" s="145"/>
      <c r="N949" s="145"/>
      <c r="O949" s="145"/>
    </row>
    <row r="950" spans="1:15" x14ac:dyDescent="0.35">
      <c r="A950" s="145"/>
      <c r="B950" s="145"/>
      <c r="C950" s="145"/>
      <c r="D950" s="145"/>
      <c r="E950" s="145"/>
      <c r="F950" s="145"/>
      <c r="G950" s="102"/>
      <c r="H950" s="145"/>
      <c r="I950" s="145"/>
      <c r="J950" s="145"/>
      <c r="K950" s="145"/>
      <c r="L950" s="145"/>
      <c r="M950" s="145"/>
    </row>
    <row r="951" spans="1:15" x14ac:dyDescent="0.35">
      <c r="A951" s="145"/>
      <c r="B951" s="145"/>
      <c r="C951" s="145"/>
      <c r="D951" s="145"/>
      <c r="E951" s="145"/>
      <c r="F951" s="145"/>
      <c r="G951" s="102"/>
      <c r="H951" s="145"/>
      <c r="I951" s="145"/>
      <c r="J951" s="145"/>
      <c r="K951" s="145"/>
      <c r="L951" s="145"/>
      <c r="M951" s="145"/>
    </row>
    <row r="952" spans="1:15" x14ac:dyDescent="0.35">
      <c r="A952" s="145"/>
      <c r="B952" s="145"/>
      <c r="C952" s="145"/>
      <c r="D952" s="145"/>
      <c r="E952" s="145"/>
      <c r="F952" s="145"/>
      <c r="G952" s="102"/>
      <c r="H952" s="145"/>
      <c r="I952" s="145"/>
      <c r="J952" s="145"/>
      <c r="K952" s="145"/>
      <c r="L952" s="145"/>
      <c r="M952" s="145"/>
    </row>
    <row r="953" spans="1:15" x14ac:dyDescent="0.35">
      <c r="A953" s="145"/>
      <c r="B953" s="145"/>
      <c r="C953" s="145"/>
      <c r="D953" s="145"/>
      <c r="E953" s="145"/>
      <c r="F953" s="145"/>
      <c r="G953" s="102"/>
      <c r="H953" s="145"/>
      <c r="I953" s="145"/>
      <c r="J953" s="145"/>
      <c r="K953" s="145"/>
      <c r="L953" s="145"/>
      <c r="M953" s="145"/>
    </row>
    <row r="954" spans="1:15" x14ac:dyDescent="0.35">
      <c r="A954" s="145"/>
      <c r="B954" s="145"/>
      <c r="C954" s="145"/>
      <c r="D954" s="145"/>
      <c r="E954" s="145"/>
      <c r="F954" s="145"/>
      <c r="G954" s="102"/>
      <c r="H954" s="145"/>
      <c r="I954" s="145"/>
      <c r="J954" s="145"/>
      <c r="K954" s="145"/>
      <c r="L954" s="145"/>
      <c r="M954" s="145"/>
      <c r="N954" s="145"/>
      <c r="O954" s="145"/>
    </row>
    <row r="955" spans="1:15" x14ac:dyDescent="0.35">
      <c r="A955" s="145"/>
      <c r="B955" s="145"/>
      <c r="C955" s="145"/>
      <c r="D955" s="145"/>
      <c r="E955" s="145"/>
      <c r="F955" s="145"/>
      <c r="G955" s="102"/>
      <c r="H955" s="145"/>
      <c r="I955" s="145"/>
      <c r="J955" s="145"/>
      <c r="K955" s="145"/>
      <c r="L955" s="145"/>
      <c r="M955" s="145"/>
    </row>
    <row r="956" spans="1:15" x14ac:dyDescent="0.35">
      <c r="A956" s="145"/>
      <c r="B956" s="145"/>
      <c r="C956" s="145"/>
      <c r="D956" s="145"/>
      <c r="E956" s="145"/>
      <c r="F956" s="145"/>
      <c r="G956" s="102"/>
      <c r="H956" s="145"/>
      <c r="I956" s="145"/>
      <c r="J956" s="145"/>
      <c r="K956" s="145"/>
      <c r="L956" s="145"/>
      <c r="M956" s="145"/>
      <c r="N956" s="145"/>
      <c r="O956" s="145"/>
    </row>
    <row r="957" spans="1:15" x14ac:dyDescent="0.35">
      <c r="A957" s="145"/>
      <c r="B957" s="145"/>
      <c r="C957" s="145"/>
      <c r="D957" s="145"/>
      <c r="E957" s="145"/>
      <c r="F957" s="145"/>
      <c r="G957" s="102"/>
      <c r="H957" s="145"/>
      <c r="I957" s="145"/>
      <c r="J957" s="145"/>
      <c r="K957" s="145"/>
      <c r="L957" s="145"/>
      <c r="M957" s="145"/>
      <c r="N957" s="145"/>
      <c r="O957" s="145"/>
    </row>
    <row r="958" spans="1:15" x14ac:dyDescent="0.35">
      <c r="A958" s="145"/>
      <c r="B958" s="145"/>
      <c r="C958" s="145"/>
      <c r="D958" s="145"/>
      <c r="E958" s="145"/>
      <c r="F958" s="145"/>
      <c r="G958" s="102"/>
      <c r="H958" s="145"/>
      <c r="I958" s="145"/>
      <c r="J958" s="145"/>
      <c r="K958" s="145"/>
      <c r="L958" s="145"/>
      <c r="M958" s="145"/>
      <c r="N958" s="145"/>
      <c r="O958" s="145"/>
    </row>
    <row r="959" spans="1:15" x14ac:dyDescent="0.35">
      <c r="A959" s="145"/>
      <c r="B959" s="145"/>
      <c r="C959" s="145"/>
      <c r="D959" s="145"/>
      <c r="E959" s="145"/>
      <c r="F959" s="145"/>
      <c r="G959" s="102"/>
      <c r="H959" s="145"/>
      <c r="I959" s="145"/>
      <c r="J959" s="145"/>
      <c r="K959" s="145"/>
      <c r="L959" s="145"/>
      <c r="M959" s="145"/>
      <c r="N959" s="145"/>
      <c r="O959" s="145"/>
    </row>
    <row r="960" spans="1:15" x14ac:dyDescent="0.35">
      <c r="A960" s="145"/>
      <c r="B960" s="145"/>
      <c r="C960" s="145"/>
      <c r="D960" s="145"/>
      <c r="E960" s="145"/>
      <c r="F960" s="145"/>
      <c r="G960" s="102"/>
      <c r="H960" s="145"/>
      <c r="I960" s="145"/>
      <c r="J960" s="145"/>
      <c r="K960" s="145"/>
      <c r="L960" s="145"/>
      <c r="M960" s="145"/>
      <c r="N960" s="145"/>
      <c r="O960" s="145"/>
    </row>
    <row r="961" spans="1:15" x14ac:dyDescent="0.35">
      <c r="A961" s="145"/>
      <c r="B961" s="145"/>
      <c r="C961" s="145"/>
      <c r="D961" s="145"/>
      <c r="E961" s="145"/>
      <c r="F961" s="145"/>
      <c r="G961" s="102"/>
      <c r="H961" s="145"/>
      <c r="I961" s="145"/>
      <c r="J961" s="145"/>
      <c r="K961" s="145"/>
      <c r="L961" s="145"/>
      <c r="M961" s="145"/>
      <c r="N961" s="145"/>
      <c r="O961" s="145"/>
    </row>
    <row r="962" spans="1:15" x14ac:dyDescent="0.35">
      <c r="A962" s="145"/>
      <c r="B962" s="145"/>
      <c r="C962" s="145"/>
      <c r="D962" s="145"/>
      <c r="E962" s="145"/>
      <c r="F962" s="145"/>
      <c r="G962" s="102"/>
      <c r="H962" s="145"/>
      <c r="I962" s="145"/>
      <c r="J962" s="145"/>
      <c r="K962" s="145"/>
      <c r="L962" s="145"/>
      <c r="M962" s="145"/>
      <c r="N962" s="145"/>
      <c r="O962" s="145"/>
    </row>
    <row r="963" spans="1:15" x14ac:dyDescent="0.35">
      <c r="A963" s="145"/>
      <c r="B963" s="145"/>
      <c r="C963" s="145"/>
      <c r="D963" s="145"/>
      <c r="E963" s="145"/>
      <c r="F963" s="145"/>
      <c r="G963" s="102"/>
      <c r="H963" s="145"/>
      <c r="I963" s="145"/>
      <c r="J963" s="145"/>
      <c r="K963" s="145"/>
      <c r="L963" s="145"/>
      <c r="M963" s="145"/>
      <c r="N963" s="145"/>
      <c r="O963" s="145"/>
    </row>
    <row r="964" spans="1:15" x14ac:dyDescent="0.35">
      <c r="A964" s="145"/>
      <c r="B964" s="145"/>
      <c r="C964" s="145"/>
      <c r="D964" s="145"/>
      <c r="E964" s="145"/>
      <c r="F964" s="145"/>
      <c r="G964" s="102"/>
      <c r="H964" s="145"/>
      <c r="I964" s="145"/>
      <c r="J964" s="145"/>
      <c r="K964" s="145"/>
      <c r="L964" s="145"/>
      <c r="M964" s="145"/>
      <c r="N964" s="145"/>
      <c r="O964" s="145"/>
    </row>
    <row r="965" spans="1:15" x14ac:dyDescent="0.35">
      <c r="A965" s="145"/>
      <c r="B965" s="145"/>
      <c r="C965" s="145"/>
      <c r="D965" s="145"/>
      <c r="E965" s="145"/>
      <c r="F965" s="145"/>
      <c r="G965" s="102"/>
      <c r="H965" s="145"/>
      <c r="I965" s="145"/>
      <c r="J965" s="145"/>
      <c r="K965" s="145"/>
      <c r="L965" s="145"/>
      <c r="M965" s="145"/>
      <c r="N965" s="145"/>
      <c r="O965" s="145"/>
    </row>
    <row r="966" spans="1:15" x14ac:dyDescent="0.35">
      <c r="A966" s="145"/>
      <c r="B966" s="145"/>
      <c r="C966" s="145"/>
      <c r="D966" s="145"/>
      <c r="E966" s="145"/>
      <c r="F966" s="145"/>
      <c r="G966" s="102"/>
      <c r="H966" s="145"/>
      <c r="I966" s="145"/>
      <c r="J966" s="145"/>
      <c r="K966" s="145"/>
      <c r="L966" s="145"/>
      <c r="M966" s="145"/>
      <c r="N966" s="145"/>
      <c r="O966" s="145"/>
    </row>
    <row r="967" spans="1:15" x14ac:dyDescent="0.35">
      <c r="A967" s="145"/>
      <c r="B967" s="145"/>
      <c r="C967" s="145"/>
      <c r="D967" s="145"/>
      <c r="E967" s="145"/>
      <c r="F967" s="145"/>
      <c r="G967" s="102"/>
      <c r="H967" s="145"/>
      <c r="I967" s="145"/>
      <c r="J967" s="145"/>
      <c r="K967" s="145"/>
      <c r="L967" s="145"/>
      <c r="M967" s="145"/>
      <c r="N967" s="145"/>
      <c r="O967" s="145"/>
    </row>
    <row r="968" spans="1:15" x14ac:dyDescent="0.35">
      <c r="A968" s="145"/>
      <c r="B968" s="145"/>
      <c r="C968" s="145"/>
      <c r="D968" s="145"/>
      <c r="E968" s="145"/>
      <c r="F968" s="145"/>
      <c r="G968" s="102"/>
      <c r="H968" s="145"/>
      <c r="I968" s="145"/>
      <c r="J968" s="145"/>
      <c r="K968" s="145"/>
      <c r="L968" s="145"/>
      <c r="M968" s="145"/>
      <c r="N968" s="145"/>
      <c r="O968" s="145"/>
    </row>
    <row r="969" spans="1:15" x14ac:dyDescent="0.35">
      <c r="A969" s="145"/>
      <c r="B969" s="145"/>
      <c r="C969" s="145"/>
      <c r="D969" s="145"/>
      <c r="E969" s="145"/>
      <c r="F969" s="145"/>
      <c r="G969" s="102"/>
      <c r="H969" s="145"/>
      <c r="I969" s="145"/>
      <c r="J969" s="145"/>
      <c r="K969" s="145"/>
      <c r="L969" s="145"/>
      <c r="M969" s="145"/>
      <c r="N969" s="145"/>
      <c r="O969" s="145"/>
    </row>
    <row r="970" spans="1:15" x14ac:dyDescent="0.35">
      <c r="A970" s="145"/>
      <c r="B970" s="145"/>
      <c r="C970" s="145"/>
      <c r="D970" s="145"/>
      <c r="E970" s="145"/>
      <c r="F970" s="145"/>
      <c r="G970" s="102"/>
      <c r="H970" s="145"/>
      <c r="I970" s="145"/>
      <c r="J970" s="145"/>
      <c r="K970" s="145"/>
      <c r="L970" s="145"/>
      <c r="M970" s="145"/>
      <c r="N970" s="145"/>
      <c r="O970" s="145"/>
    </row>
    <row r="971" spans="1:15" x14ac:dyDescent="0.35">
      <c r="A971" s="145"/>
      <c r="B971" s="145"/>
      <c r="C971" s="145"/>
      <c r="D971" s="145"/>
      <c r="E971" s="145"/>
      <c r="F971" s="145"/>
      <c r="G971" s="102"/>
      <c r="H971" s="145"/>
      <c r="I971" s="145"/>
      <c r="J971" s="145"/>
      <c r="K971" s="145"/>
      <c r="L971" s="145"/>
      <c r="M971" s="145"/>
      <c r="N971" s="145"/>
      <c r="O971" s="145"/>
    </row>
    <row r="972" spans="1:15" x14ac:dyDescent="0.35">
      <c r="A972" s="145"/>
      <c r="B972" s="145"/>
      <c r="C972" s="145"/>
      <c r="D972" s="145"/>
      <c r="E972" s="145"/>
      <c r="F972" s="145"/>
      <c r="G972" s="102"/>
      <c r="H972" s="145"/>
      <c r="I972" s="145"/>
      <c r="J972" s="145"/>
      <c r="K972" s="145"/>
      <c r="L972" s="145"/>
      <c r="M972" s="145"/>
      <c r="N972" s="145"/>
      <c r="O972" s="145"/>
    </row>
    <row r="973" spans="1:15" x14ac:dyDescent="0.35">
      <c r="A973" s="145"/>
      <c r="B973" s="145"/>
      <c r="C973" s="145"/>
      <c r="D973" s="145"/>
      <c r="E973" s="145"/>
      <c r="F973" s="145"/>
      <c r="G973" s="102"/>
      <c r="H973" s="145"/>
      <c r="I973" s="145"/>
      <c r="J973" s="145"/>
      <c r="K973" s="145"/>
      <c r="L973" s="145"/>
      <c r="M973" s="145"/>
      <c r="N973" s="31"/>
      <c r="O973" s="31"/>
    </row>
    <row r="974" spans="1:15" x14ac:dyDescent="0.35">
      <c r="A974" s="145"/>
      <c r="B974" s="145"/>
      <c r="C974" s="145"/>
      <c r="D974" s="145"/>
      <c r="E974" s="145"/>
      <c r="F974" s="145"/>
      <c r="G974" s="102"/>
      <c r="H974" s="145"/>
      <c r="I974" s="145"/>
      <c r="J974" s="145"/>
      <c r="K974" s="145"/>
      <c r="L974" s="145"/>
      <c r="M974" s="145"/>
    </row>
    <row r="975" spans="1:15" x14ac:dyDescent="0.35">
      <c r="A975" s="145"/>
      <c r="B975" s="145"/>
      <c r="C975" s="145"/>
      <c r="D975" s="145"/>
      <c r="E975" s="145"/>
      <c r="F975" s="145"/>
      <c r="G975" s="102"/>
      <c r="H975" s="145"/>
      <c r="I975" s="145"/>
      <c r="J975" s="145"/>
      <c r="K975" s="145"/>
      <c r="L975" s="145"/>
      <c r="M975" s="145"/>
    </row>
    <row r="976" spans="1:15" x14ac:dyDescent="0.35">
      <c r="A976" s="145"/>
      <c r="B976" s="145"/>
      <c r="C976" s="145"/>
      <c r="D976" s="145"/>
      <c r="E976" s="145"/>
      <c r="F976" s="145"/>
      <c r="G976" s="102"/>
      <c r="H976" s="145"/>
      <c r="I976" s="145"/>
      <c r="J976" s="145"/>
      <c r="K976" s="145"/>
      <c r="L976" s="145"/>
      <c r="M976" s="145"/>
    </row>
    <row r="977" spans="1:15" x14ac:dyDescent="0.35">
      <c r="A977" s="145"/>
      <c r="B977" s="145"/>
      <c r="C977" s="145"/>
      <c r="D977" s="145"/>
      <c r="E977" s="145"/>
      <c r="F977" s="145"/>
      <c r="G977" s="102"/>
      <c r="H977" s="145"/>
      <c r="I977" s="145"/>
      <c r="J977" s="145"/>
      <c r="K977" s="145"/>
      <c r="L977" s="145"/>
      <c r="M977" s="145"/>
    </row>
    <row r="978" spans="1:15" x14ac:dyDescent="0.35">
      <c r="A978" s="145"/>
      <c r="B978" s="145"/>
      <c r="C978" s="145"/>
      <c r="D978" s="145"/>
      <c r="E978" s="145"/>
      <c r="F978" s="145"/>
      <c r="G978" s="102"/>
      <c r="H978" s="145"/>
      <c r="I978" s="145"/>
      <c r="J978" s="145"/>
      <c r="K978" s="145"/>
      <c r="L978" s="145"/>
      <c r="M978" s="145"/>
    </row>
    <row r="979" spans="1:15" x14ac:dyDescent="0.35">
      <c r="A979" s="145"/>
      <c r="B979" s="145"/>
      <c r="C979" s="145"/>
      <c r="D979" s="145"/>
      <c r="E979" s="145"/>
      <c r="F979" s="145"/>
      <c r="G979" s="102"/>
      <c r="H979" s="145"/>
      <c r="I979" s="145"/>
      <c r="J979" s="145"/>
      <c r="K979" s="145"/>
      <c r="L979" s="145"/>
      <c r="M979" s="145"/>
      <c r="N979" s="145"/>
      <c r="O979" s="145"/>
    </row>
    <row r="980" spans="1:15" x14ac:dyDescent="0.35">
      <c r="A980" s="145"/>
      <c r="B980" s="145"/>
      <c r="C980" s="145"/>
      <c r="D980" s="145"/>
      <c r="E980" s="145"/>
      <c r="F980" s="145"/>
      <c r="G980" s="102"/>
      <c r="H980" s="145"/>
      <c r="I980" s="145"/>
      <c r="J980" s="145"/>
      <c r="K980" s="145"/>
      <c r="L980" s="145"/>
      <c r="M980" s="145"/>
    </row>
    <row r="981" spans="1:15" x14ac:dyDescent="0.35">
      <c r="A981" s="145"/>
      <c r="B981" s="145"/>
      <c r="C981" s="145"/>
      <c r="D981" s="145"/>
      <c r="E981" s="145"/>
      <c r="F981" s="145"/>
      <c r="G981" s="102"/>
      <c r="H981" s="145"/>
      <c r="I981" s="145"/>
      <c r="J981" s="145"/>
      <c r="K981" s="145"/>
      <c r="L981" s="145"/>
      <c r="M981" s="145"/>
      <c r="N981" s="31"/>
      <c r="O981" s="31"/>
    </row>
    <row r="982" spans="1:15" x14ac:dyDescent="0.35">
      <c r="A982" s="145"/>
      <c r="B982" s="145"/>
      <c r="C982" s="145"/>
      <c r="D982" s="145"/>
      <c r="E982" s="145"/>
      <c r="F982" s="145"/>
      <c r="G982" s="102"/>
      <c r="H982" s="145"/>
      <c r="I982" s="145"/>
      <c r="J982" s="145"/>
      <c r="K982" s="145"/>
      <c r="L982" s="145"/>
      <c r="M982" s="145"/>
      <c r="N982" s="145"/>
      <c r="O982" s="145"/>
    </row>
    <row r="983" spans="1:15" x14ac:dyDescent="0.35">
      <c r="A983" s="145"/>
      <c r="B983" s="145"/>
      <c r="C983" s="145"/>
      <c r="D983" s="145"/>
      <c r="E983" s="145"/>
      <c r="F983" s="145"/>
      <c r="G983" s="102"/>
      <c r="H983" s="145"/>
      <c r="I983" s="145"/>
      <c r="J983" s="145"/>
      <c r="K983" s="145"/>
      <c r="L983" s="145"/>
      <c r="M983" s="145"/>
      <c r="N983" s="145"/>
      <c r="O983" s="145"/>
    </row>
    <row r="984" spans="1:15" x14ac:dyDescent="0.35">
      <c r="A984" s="145"/>
      <c r="B984" s="145"/>
      <c r="C984" s="145"/>
      <c r="D984" s="145"/>
      <c r="E984" s="145"/>
      <c r="F984" s="145"/>
      <c r="G984" s="102"/>
      <c r="H984" s="145"/>
      <c r="I984" s="145"/>
      <c r="J984" s="145"/>
      <c r="K984" s="145"/>
      <c r="L984" s="145"/>
      <c r="M984" s="145"/>
      <c r="N984" s="145"/>
      <c r="O984" s="145"/>
    </row>
    <row r="985" spans="1:15" x14ac:dyDescent="0.35">
      <c r="A985" s="145"/>
      <c r="B985" s="145"/>
      <c r="C985" s="145"/>
      <c r="D985" s="145"/>
      <c r="E985" s="145"/>
      <c r="F985" s="145"/>
      <c r="G985" s="102"/>
      <c r="H985" s="145"/>
      <c r="I985" s="145"/>
      <c r="J985" s="145"/>
      <c r="K985" s="145"/>
      <c r="L985" s="145"/>
      <c r="M985" s="145"/>
      <c r="N985" s="145"/>
      <c r="O985" s="145"/>
    </row>
    <row r="986" spans="1:15" x14ac:dyDescent="0.35">
      <c r="A986" s="145"/>
      <c r="B986" s="145"/>
      <c r="C986" s="145"/>
      <c r="D986" s="145"/>
      <c r="E986" s="145"/>
      <c r="F986" s="145"/>
      <c r="G986" s="102"/>
      <c r="H986" s="145"/>
      <c r="I986" s="145"/>
      <c r="J986" s="145"/>
      <c r="K986" s="145"/>
      <c r="L986" s="145"/>
      <c r="M986" s="145"/>
      <c r="N986" s="145"/>
      <c r="O986" s="145"/>
    </row>
    <row r="987" spans="1:15" x14ac:dyDescent="0.35">
      <c r="A987" s="145"/>
      <c r="B987" s="145"/>
      <c r="C987" s="145"/>
      <c r="D987" s="145"/>
      <c r="E987" s="145"/>
      <c r="F987" s="145"/>
      <c r="G987" s="102"/>
      <c r="H987" s="145"/>
      <c r="I987" s="145"/>
      <c r="J987" s="145"/>
      <c r="K987" s="145"/>
      <c r="L987" s="145"/>
      <c r="M987" s="145"/>
      <c r="N987" s="145"/>
      <c r="O987" s="145"/>
    </row>
    <row r="988" spans="1:15" x14ac:dyDescent="0.35">
      <c r="A988" s="145"/>
      <c r="B988" s="145"/>
      <c r="C988" s="145"/>
      <c r="D988" s="145"/>
      <c r="E988" s="145"/>
      <c r="F988" s="145"/>
      <c r="G988" s="102"/>
      <c r="H988" s="145"/>
      <c r="I988" s="145"/>
      <c r="J988" s="145"/>
      <c r="K988" s="145"/>
      <c r="L988" s="145"/>
      <c r="M988" s="145"/>
      <c r="N988" s="145"/>
      <c r="O988" s="145"/>
    </row>
    <row r="989" spans="1:15" x14ac:dyDescent="0.35">
      <c r="A989" s="145"/>
      <c r="B989" s="145"/>
      <c r="C989" s="145"/>
      <c r="D989" s="145"/>
      <c r="E989" s="145"/>
      <c r="F989" s="145"/>
      <c r="G989" s="102"/>
      <c r="H989" s="145"/>
      <c r="I989" s="145"/>
      <c r="J989" s="145"/>
      <c r="K989" s="145"/>
      <c r="L989" s="145"/>
      <c r="M989" s="145"/>
      <c r="N989" s="145"/>
      <c r="O989" s="145"/>
    </row>
    <row r="990" spans="1:15" x14ac:dyDescent="0.35">
      <c r="A990" s="145"/>
      <c r="B990" s="145"/>
      <c r="C990" s="145"/>
      <c r="D990" s="145"/>
      <c r="E990" s="145"/>
      <c r="F990" s="145"/>
      <c r="G990" s="102"/>
      <c r="H990" s="145"/>
      <c r="I990" s="145"/>
      <c r="J990" s="145"/>
      <c r="K990" s="145"/>
      <c r="L990" s="145"/>
      <c r="M990" s="145"/>
      <c r="N990" s="145"/>
      <c r="O990" s="145"/>
    </row>
    <row r="991" spans="1:15" x14ac:dyDescent="0.35">
      <c r="A991" s="145"/>
      <c r="B991" s="145"/>
      <c r="C991" s="145"/>
      <c r="D991" s="145"/>
      <c r="E991" s="145"/>
      <c r="F991" s="145"/>
      <c r="G991" s="102"/>
      <c r="H991" s="145"/>
      <c r="I991" s="145"/>
      <c r="J991" s="145"/>
      <c r="K991" s="145"/>
      <c r="L991" s="145"/>
      <c r="M991" s="145"/>
      <c r="N991" s="145"/>
      <c r="O991" s="145"/>
    </row>
    <row r="992" spans="1:15" x14ac:dyDescent="0.35">
      <c r="A992" s="145"/>
      <c r="B992" s="145"/>
      <c r="C992" s="145"/>
      <c r="D992" s="145"/>
      <c r="E992" s="145"/>
      <c r="F992" s="145"/>
      <c r="G992" s="102"/>
      <c r="H992" s="145"/>
      <c r="I992" s="145"/>
      <c r="J992" s="145"/>
      <c r="K992" s="145"/>
      <c r="L992" s="145"/>
      <c r="M992" s="145"/>
      <c r="N992" s="145"/>
      <c r="O992" s="145"/>
    </row>
    <row r="993" spans="1:15" x14ac:dyDescent="0.35">
      <c r="A993" s="145"/>
      <c r="B993" s="145"/>
      <c r="C993" s="145"/>
      <c r="D993" s="145"/>
      <c r="E993" s="145"/>
      <c r="F993" s="145"/>
      <c r="G993" s="102"/>
      <c r="H993" s="145"/>
      <c r="I993" s="145"/>
      <c r="J993" s="145"/>
      <c r="K993" s="145"/>
      <c r="L993" s="145"/>
      <c r="M993" s="145"/>
      <c r="N993" s="145"/>
      <c r="O993" s="145"/>
    </row>
    <row r="994" spans="1:15" x14ac:dyDescent="0.35">
      <c r="A994" s="145"/>
      <c r="B994" s="145"/>
      <c r="C994" s="145"/>
      <c r="D994" s="145"/>
      <c r="E994" s="145"/>
      <c r="F994" s="145"/>
      <c r="G994" s="102"/>
      <c r="H994" s="145"/>
      <c r="I994" s="145"/>
      <c r="J994" s="145"/>
      <c r="K994" s="145"/>
      <c r="L994" s="145"/>
      <c r="M994" s="145"/>
      <c r="N994" s="145"/>
      <c r="O994" s="145"/>
    </row>
    <row r="995" spans="1:15" x14ac:dyDescent="0.35">
      <c r="A995" s="145"/>
      <c r="B995" s="145"/>
      <c r="C995" s="145"/>
      <c r="D995" s="145"/>
      <c r="E995" s="145"/>
      <c r="F995" s="145"/>
      <c r="G995" s="102"/>
      <c r="H995" s="145"/>
      <c r="I995" s="145"/>
      <c r="J995" s="145"/>
      <c r="K995" s="145"/>
      <c r="L995" s="145"/>
      <c r="M995" s="145"/>
      <c r="N995" s="145"/>
      <c r="O995" s="145"/>
    </row>
    <row r="996" spans="1:15" x14ac:dyDescent="0.35">
      <c r="A996" s="145"/>
      <c r="B996" s="145"/>
      <c r="C996" s="145"/>
      <c r="D996" s="145"/>
      <c r="E996" s="145"/>
      <c r="F996" s="145"/>
      <c r="G996" s="102"/>
      <c r="H996" s="145"/>
      <c r="I996" s="145"/>
      <c r="J996" s="145"/>
      <c r="K996" s="145"/>
      <c r="L996" s="145"/>
      <c r="M996" s="145"/>
      <c r="N996" s="145"/>
      <c r="O996" s="145"/>
    </row>
    <row r="997" spans="1:15" x14ac:dyDescent="0.35">
      <c r="A997" s="145"/>
      <c r="B997" s="145"/>
      <c r="C997" s="145"/>
      <c r="D997" s="145"/>
      <c r="E997" s="145"/>
      <c r="F997" s="145"/>
      <c r="G997" s="102"/>
      <c r="H997" s="145"/>
      <c r="I997" s="145"/>
      <c r="J997" s="145"/>
      <c r="K997" s="145"/>
      <c r="L997" s="145"/>
      <c r="M997" s="145"/>
      <c r="N997" s="145"/>
      <c r="O997" s="145"/>
    </row>
    <row r="998" spans="1:15" x14ac:dyDescent="0.35">
      <c r="A998" s="145"/>
      <c r="B998" s="145"/>
      <c r="C998" s="145"/>
      <c r="D998" s="145"/>
      <c r="E998" s="145"/>
      <c r="F998" s="145"/>
      <c r="G998" s="102"/>
      <c r="H998" s="145"/>
      <c r="I998" s="145"/>
      <c r="J998" s="145"/>
      <c r="K998" s="145"/>
      <c r="L998" s="145"/>
      <c r="M998" s="145"/>
      <c r="N998" s="145"/>
      <c r="O998" s="145"/>
    </row>
    <row r="999" spans="1:15" x14ac:dyDescent="0.35">
      <c r="A999" s="145"/>
      <c r="B999" s="145"/>
      <c r="C999" s="145"/>
      <c r="D999" s="145"/>
      <c r="E999" s="145"/>
      <c r="F999" s="145"/>
      <c r="G999" s="102"/>
      <c r="H999" s="145"/>
      <c r="I999" s="145"/>
      <c r="J999" s="145"/>
      <c r="K999" s="145"/>
      <c r="L999" s="145"/>
      <c r="M999" s="145"/>
    </row>
    <row r="1000" spans="1:15" x14ac:dyDescent="0.35">
      <c r="A1000" s="145"/>
      <c r="B1000" s="145"/>
      <c r="C1000" s="145"/>
      <c r="D1000" s="145"/>
      <c r="E1000" s="145"/>
      <c r="F1000" s="145"/>
      <c r="G1000" s="102"/>
      <c r="H1000" s="145"/>
      <c r="I1000" s="145"/>
      <c r="J1000" s="145"/>
      <c r="K1000" s="145"/>
      <c r="L1000" s="145"/>
      <c r="M1000" s="145"/>
      <c r="N1000" s="145"/>
      <c r="O1000" s="145"/>
    </row>
    <row r="1001" spans="1:15" x14ac:dyDescent="0.35">
      <c r="A1001" s="145"/>
      <c r="B1001" s="145"/>
      <c r="C1001" s="145"/>
      <c r="D1001" s="145"/>
      <c r="E1001" s="145"/>
      <c r="F1001" s="145"/>
      <c r="G1001" s="102"/>
      <c r="H1001" s="145"/>
      <c r="I1001" s="145"/>
      <c r="J1001" s="145"/>
      <c r="K1001" s="145"/>
      <c r="L1001" s="145"/>
      <c r="M1001" s="145"/>
      <c r="N1001" s="145"/>
      <c r="O1001" s="145"/>
    </row>
    <row r="1002" spans="1:15" x14ac:dyDescent="0.35">
      <c r="A1002" s="145"/>
      <c r="B1002" s="145"/>
      <c r="C1002" s="145"/>
      <c r="D1002" s="145"/>
      <c r="E1002" s="145"/>
      <c r="F1002" s="145"/>
      <c r="G1002" s="102"/>
      <c r="H1002" s="145"/>
      <c r="I1002" s="145"/>
      <c r="J1002" s="145"/>
      <c r="K1002" s="145"/>
      <c r="L1002" s="145"/>
      <c r="M1002" s="145"/>
      <c r="N1002" s="145"/>
      <c r="O1002" s="145"/>
    </row>
    <row r="1003" spans="1:15" x14ac:dyDescent="0.35">
      <c r="A1003" s="145"/>
      <c r="B1003" s="145"/>
      <c r="C1003" s="145"/>
      <c r="D1003" s="145"/>
      <c r="E1003" s="145"/>
      <c r="F1003" s="145"/>
      <c r="G1003" s="102"/>
      <c r="H1003" s="145"/>
      <c r="I1003" s="145"/>
      <c r="J1003" s="145"/>
      <c r="K1003" s="145"/>
      <c r="L1003" s="145"/>
      <c r="M1003" s="145"/>
      <c r="N1003" s="145"/>
      <c r="O1003" s="145"/>
    </row>
    <row r="1004" spans="1:15" x14ac:dyDescent="0.35">
      <c r="A1004" s="145"/>
      <c r="B1004" s="145"/>
      <c r="C1004" s="145"/>
      <c r="D1004" s="145"/>
      <c r="E1004" s="145"/>
      <c r="F1004" s="145"/>
      <c r="G1004" s="102"/>
      <c r="H1004" s="145"/>
      <c r="I1004" s="145"/>
      <c r="J1004" s="145"/>
      <c r="K1004" s="145"/>
      <c r="L1004" s="145"/>
      <c r="M1004" s="145"/>
      <c r="N1004" s="145"/>
      <c r="O1004" s="145"/>
    </row>
    <row r="1005" spans="1:15" x14ac:dyDescent="0.35">
      <c r="A1005" s="145"/>
      <c r="B1005" s="145"/>
      <c r="C1005" s="145"/>
      <c r="D1005" s="145"/>
      <c r="E1005" s="145"/>
      <c r="F1005" s="145"/>
      <c r="G1005" s="102"/>
      <c r="H1005" s="145"/>
      <c r="I1005" s="145"/>
      <c r="J1005" s="145"/>
      <c r="K1005" s="145"/>
      <c r="L1005" s="145"/>
      <c r="M1005" s="145"/>
      <c r="N1005" s="31"/>
      <c r="O1005" s="31"/>
    </row>
    <row r="1006" spans="1:15" x14ac:dyDescent="0.35">
      <c r="A1006" s="145"/>
      <c r="B1006" s="145"/>
      <c r="C1006" s="145"/>
      <c r="D1006" s="145"/>
      <c r="E1006" s="145"/>
      <c r="F1006" s="145"/>
      <c r="G1006" s="102"/>
      <c r="H1006" s="145"/>
      <c r="I1006" s="145"/>
      <c r="J1006" s="145"/>
      <c r="K1006" s="145"/>
      <c r="L1006" s="145"/>
      <c r="M1006" s="145"/>
    </row>
    <row r="1007" spans="1:15" x14ac:dyDescent="0.35">
      <c r="A1007" s="145"/>
      <c r="B1007" s="145"/>
      <c r="C1007" s="145"/>
      <c r="D1007" s="145"/>
      <c r="E1007" s="145"/>
      <c r="F1007" s="145"/>
      <c r="G1007" s="102"/>
      <c r="H1007" s="145"/>
      <c r="I1007" s="145"/>
      <c r="J1007" s="145"/>
      <c r="K1007" s="145"/>
      <c r="L1007" s="145"/>
      <c r="M1007" s="145"/>
    </row>
    <row r="1008" spans="1:15" x14ac:dyDescent="0.35">
      <c r="A1008" s="145"/>
      <c r="B1008" s="145"/>
      <c r="C1008" s="145"/>
      <c r="D1008" s="145"/>
      <c r="E1008" s="145"/>
      <c r="F1008" s="145"/>
      <c r="G1008" s="102"/>
      <c r="H1008" s="145"/>
      <c r="I1008" s="145"/>
      <c r="J1008" s="145"/>
      <c r="K1008" s="145"/>
      <c r="L1008" s="145"/>
      <c r="M1008" s="145"/>
    </row>
    <row r="1009" spans="1:15" x14ac:dyDescent="0.35">
      <c r="A1009" s="145"/>
      <c r="B1009" s="145"/>
      <c r="C1009" s="145"/>
      <c r="D1009" s="145"/>
      <c r="E1009" s="145"/>
      <c r="F1009" s="145"/>
      <c r="G1009" s="102"/>
      <c r="H1009" s="145"/>
      <c r="I1009" s="145"/>
      <c r="J1009" s="145"/>
      <c r="K1009" s="145"/>
      <c r="L1009" s="145"/>
      <c r="M1009" s="145"/>
      <c r="N1009" s="145"/>
      <c r="O1009" s="145"/>
    </row>
    <row r="1010" spans="1:15" x14ac:dyDescent="0.35">
      <c r="A1010" s="145"/>
      <c r="B1010" s="145"/>
      <c r="C1010" s="145"/>
      <c r="D1010" s="145"/>
      <c r="E1010" s="145"/>
      <c r="F1010" s="145"/>
      <c r="G1010" s="102"/>
      <c r="H1010" s="145"/>
      <c r="I1010" s="145"/>
      <c r="J1010" s="145"/>
      <c r="K1010" s="145"/>
      <c r="L1010" s="145"/>
      <c r="M1010" s="145"/>
      <c r="N1010" s="145"/>
      <c r="O1010" s="145"/>
    </row>
    <row r="1011" spans="1:15" x14ac:dyDescent="0.35">
      <c r="A1011" s="145"/>
      <c r="B1011" s="145"/>
      <c r="C1011" s="145"/>
      <c r="D1011" s="145"/>
      <c r="E1011" s="145"/>
      <c r="F1011" s="145"/>
      <c r="G1011" s="102"/>
      <c r="H1011" s="145"/>
      <c r="I1011" s="145"/>
      <c r="J1011" s="145"/>
      <c r="K1011" s="145"/>
      <c r="L1011" s="145"/>
      <c r="M1011" s="145"/>
    </row>
    <row r="1012" spans="1:15" x14ac:dyDescent="0.35">
      <c r="A1012" s="145"/>
      <c r="B1012" s="145"/>
      <c r="C1012" s="145"/>
      <c r="D1012" s="145"/>
      <c r="E1012" s="145"/>
      <c r="F1012" s="145"/>
      <c r="G1012" s="102"/>
      <c r="H1012" s="145"/>
      <c r="I1012" s="145"/>
      <c r="J1012" s="145"/>
      <c r="K1012" s="145"/>
      <c r="L1012" s="145"/>
      <c r="M1012" s="145"/>
    </row>
    <row r="1013" spans="1:15" x14ac:dyDescent="0.35">
      <c r="A1013" s="145"/>
      <c r="B1013" s="145"/>
      <c r="C1013" s="145"/>
      <c r="D1013" s="145"/>
      <c r="E1013" s="145"/>
      <c r="F1013" s="145"/>
      <c r="G1013" s="102"/>
      <c r="H1013" s="145"/>
      <c r="I1013" s="145"/>
      <c r="J1013" s="145"/>
      <c r="K1013" s="145"/>
      <c r="L1013" s="145"/>
      <c r="M1013" s="145"/>
    </row>
    <row r="1014" spans="1:15" x14ac:dyDescent="0.35">
      <c r="A1014" s="145"/>
      <c r="B1014" s="145"/>
      <c r="C1014" s="145"/>
      <c r="D1014" s="145"/>
      <c r="E1014" s="145"/>
      <c r="F1014" s="145"/>
      <c r="G1014" s="102"/>
      <c r="H1014" s="145"/>
      <c r="I1014" s="145"/>
      <c r="J1014" s="145"/>
      <c r="K1014" s="145"/>
      <c r="L1014" s="145"/>
      <c r="M1014" s="145"/>
      <c r="N1014" s="31"/>
      <c r="O1014" s="31"/>
    </row>
    <row r="1015" spans="1:15" x14ac:dyDescent="0.35">
      <c r="A1015" s="145"/>
      <c r="B1015" s="145"/>
      <c r="C1015" s="145"/>
      <c r="D1015" s="145"/>
      <c r="E1015" s="145"/>
      <c r="F1015" s="145"/>
      <c r="G1015" s="102"/>
      <c r="H1015" s="145"/>
      <c r="I1015" s="145"/>
      <c r="J1015" s="145"/>
      <c r="K1015" s="145"/>
      <c r="L1015" s="145"/>
      <c r="M1015" s="145"/>
    </row>
    <row r="1016" spans="1:15" x14ac:dyDescent="0.35">
      <c r="A1016" s="145"/>
      <c r="B1016" s="145"/>
      <c r="C1016" s="145"/>
      <c r="D1016" s="145"/>
      <c r="E1016" s="145"/>
      <c r="F1016" s="145"/>
      <c r="G1016" s="102"/>
      <c r="H1016" s="145"/>
      <c r="I1016" s="145"/>
      <c r="J1016" s="145"/>
      <c r="K1016" s="145"/>
      <c r="L1016" s="145"/>
      <c r="M1016" s="145"/>
      <c r="N1016" s="145"/>
      <c r="O1016" s="145"/>
    </row>
    <row r="1017" spans="1:15" x14ac:dyDescent="0.35">
      <c r="A1017" s="145"/>
      <c r="B1017" s="145"/>
      <c r="C1017" s="145"/>
      <c r="D1017" s="145"/>
      <c r="E1017" s="145"/>
      <c r="F1017" s="145"/>
      <c r="G1017" s="102"/>
      <c r="H1017" s="145"/>
      <c r="I1017" s="145"/>
      <c r="J1017" s="145"/>
      <c r="K1017" s="145"/>
      <c r="L1017" s="145"/>
      <c r="M1017" s="145"/>
      <c r="N1017" s="145"/>
      <c r="O1017" s="145"/>
    </row>
    <row r="1018" spans="1:15" x14ac:dyDescent="0.35">
      <c r="A1018" s="145"/>
      <c r="B1018" s="145"/>
      <c r="C1018" s="145"/>
      <c r="D1018" s="145"/>
      <c r="E1018" s="145"/>
      <c r="F1018" s="145"/>
      <c r="G1018" s="102"/>
      <c r="H1018" s="145"/>
      <c r="I1018" s="145"/>
      <c r="J1018" s="145"/>
      <c r="K1018" s="145"/>
      <c r="L1018" s="145"/>
      <c r="M1018" s="145"/>
      <c r="N1018" s="145"/>
      <c r="O1018" s="145"/>
    </row>
    <row r="1019" spans="1:15" x14ac:dyDescent="0.35">
      <c r="A1019" s="145"/>
      <c r="B1019" s="145"/>
      <c r="C1019" s="145"/>
      <c r="D1019" s="145"/>
      <c r="E1019" s="145"/>
      <c r="F1019" s="145"/>
      <c r="G1019" s="102"/>
      <c r="H1019" s="145"/>
      <c r="I1019" s="145"/>
      <c r="J1019" s="145"/>
      <c r="K1019" s="145"/>
      <c r="L1019" s="145"/>
      <c r="M1019" s="145"/>
      <c r="N1019" s="145"/>
      <c r="O1019" s="145"/>
    </row>
    <row r="1020" spans="1:15" x14ac:dyDescent="0.35">
      <c r="A1020" s="145"/>
      <c r="B1020" s="145"/>
      <c r="C1020" s="145"/>
      <c r="D1020" s="145"/>
      <c r="E1020" s="145"/>
      <c r="F1020" s="145"/>
      <c r="G1020" s="102"/>
      <c r="H1020" s="145"/>
      <c r="I1020" s="145"/>
      <c r="J1020" s="145"/>
      <c r="K1020" s="145"/>
      <c r="L1020" s="145"/>
      <c r="M1020" s="145"/>
      <c r="N1020" s="145"/>
      <c r="O1020" s="145"/>
    </row>
    <row r="1021" spans="1:15" x14ac:dyDescent="0.35">
      <c r="A1021" s="145"/>
      <c r="B1021" s="145"/>
      <c r="C1021" s="145"/>
      <c r="D1021" s="145"/>
      <c r="E1021" s="145"/>
      <c r="F1021" s="145"/>
      <c r="G1021" s="102"/>
      <c r="H1021" s="145"/>
      <c r="I1021" s="145"/>
      <c r="J1021" s="145"/>
      <c r="K1021" s="145"/>
      <c r="L1021" s="145"/>
      <c r="M1021" s="145"/>
      <c r="N1021" s="145"/>
      <c r="O1021" s="145"/>
    </row>
    <row r="1022" spans="1:15" x14ac:dyDescent="0.35">
      <c r="A1022" s="145"/>
      <c r="B1022" s="145"/>
      <c r="C1022" s="145"/>
      <c r="D1022" s="145"/>
      <c r="E1022" s="145"/>
      <c r="F1022" s="145"/>
      <c r="G1022" s="102"/>
      <c r="H1022" s="145"/>
      <c r="I1022" s="145"/>
      <c r="J1022" s="145"/>
      <c r="K1022" s="145"/>
      <c r="L1022" s="145"/>
      <c r="M1022" s="145"/>
      <c r="N1022" s="145"/>
      <c r="O1022" s="145"/>
    </row>
    <row r="1023" spans="1:15" x14ac:dyDescent="0.35">
      <c r="A1023" s="145"/>
      <c r="B1023" s="145"/>
      <c r="C1023" s="145"/>
      <c r="D1023" s="145"/>
      <c r="E1023" s="145"/>
      <c r="F1023" s="145"/>
      <c r="G1023" s="102"/>
      <c r="H1023" s="145"/>
      <c r="I1023" s="145"/>
      <c r="J1023" s="145"/>
      <c r="K1023" s="145"/>
      <c r="L1023" s="145"/>
      <c r="M1023" s="145"/>
      <c r="N1023" s="145"/>
      <c r="O1023" s="145"/>
    </row>
    <row r="1024" spans="1:15" x14ac:dyDescent="0.35">
      <c r="A1024" s="145"/>
      <c r="B1024" s="145"/>
      <c r="C1024" s="145"/>
      <c r="D1024" s="145"/>
      <c r="E1024" s="145"/>
      <c r="F1024" s="145"/>
      <c r="G1024" s="102"/>
      <c r="H1024" s="145"/>
      <c r="I1024" s="145"/>
      <c r="J1024" s="145"/>
      <c r="K1024" s="145"/>
      <c r="L1024" s="145"/>
      <c r="M1024" s="145"/>
      <c r="N1024" s="145"/>
      <c r="O1024" s="145"/>
    </row>
    <row r="1025" spans="1:15" x14ac:dyDescent="0.35">
      <c r="A1025" s="145"/>
      <c r="B1025" s="145"/>
      <c r="C1025" s="145"/>
      <c r="D1025" s="145"/>
      <c r="E1025" s="145"/>
      <c r="F1025" s="145"/>
      <c r="G1025" s="102"/>
      <c r="H1025" s="145"/>
      <c r="I1025" s="145"/>
      <c r="J1025" s="145"/>
      <c r="K1025" s="145"/>
      <c r="L1025" s="145"/>
      <c r="M1025" s="145"/>
      <c r="N1025" s="145"/>
      <c r="O1025" s="145"/>
    </row>
    <row r="1026" spans="1:15" x14ac:dyDescent="0.35">
      <c r="A1026" s="145"/>
      <c r="B1026" s="145"/>
      <c r="C1026" s="145"/>
      <c r="D1026" s="145"/>
      <c r="E1026" s="145"/>
      <c r="F1026" s="145"/>
      <c r="G1026" s="102"/>
      <c r="H1026" s="145"/>
      <c r="I1026" s="145"/>
      <c r="J1026" s="145"/>
      <c r="K1026" s="145"/>
      <c r="L1026" s="145"/>
      <c r="M1026" s="145"/>
      <c r="N1026" s="145"/>
      <c r="O1026" s="145"/>
    </row>
    <row r="1027" spans="1:15" x14ac:dyDescent="0.35">
      <c r="A1027" s="145"/>
      <c r="B1027" s="145"/>
      <c r="C1027" s="145"/>
      <c r="D1027" s="145"/>
      <c r="E1027" s="145"/>
      <c r="F1027" s="145"/>
      <c r="G1027" s="102"/>
      <c r="H1027" s="145"/>
      <c r="I1027" s="145"/>
      <c r="J1027" s="145"/>
      <c r="K1027" s="145"/>
      <c r="L1027" s="145"/>
      <c r="M1027" s="145"/>
      <c r="N1027" s="145"/>
      <c r="O1027" s="145"/>
    </row>
    <row r="1028" spans="1:15" x14ac:dyDescent="0.35">
      <c r="A1028" s="145"/>
      <c r="B1028" s="145"/>
      <c r="C1028" s="145"/>
      <c r="D1028" s="145"/>
      <c r="E1028" s="145"/>
      <c r="F1028" s="145"/>
      <c r="G1028" s="102"/>
      <c r="H1028" s="145"/>
      <c r="I1028" s="145"/>
      <c r="J1028" s="145"/>
      <c r="K1028" s="145"/>
      <c r="L1028" s="145"/>
      <c r="M1028" s="145"/>
      <c r="N1028" s="145"/>
      <c r="O1028" s="145"/>
    </row>
    <row r="1029" spans="1:15" x14ac:dyDescent="0.35">
      <c r="A1029" s="145"/>
      <c r="B1029" s="145"/>
      <c r="C1029" s="145"/>
      <c r="D1029" s="145"/>
      <c r="E1029" s="145"/>
      <c r="F1029" s="145"/>
      <c r="G1029" s="102"/>
      <c r="H1029" s="145"/>
      <c r="I1029" s="145"/>
      <c r="J1029" s="145"/>
      <c r="K1029" s="145"/>
      <c r="L1029" s="145"/>
      <c r="M1029" s="145"/>
      <c r="N1029" s="145"/>
      <c r="O1029" s="145"/>
    </row>
    <row r="1030" spans="1:15" x14ac:dyDescent="0.35">
      <c r="A1030" s="145"/>
      <c r="B1030" s="145"/>
      <c r="C1030" s="145"/>
      <c r="D1030" s="145"/>
      <c r="E1030" s="145"/>
      <c r="F1030" s="145"/>
      <c r="G1030" s="102"/>
      <c r="H1030" s="145"/>
      <c r="I1030" s="145"/>
      <c r="J1030" s="145"/>
      <c r="K1030" s="145"/>
      <c r="L1030" s="145"/>
      <c r="M1030" s="145"/>
      <c r="N1030" s="145"/>
      <c r="O1030" s="145"/>
    </row>
    <row r="1031" spans="1:15" x14ac:dyDescent="0.35">
      <c r="A1031" s="145"/>
      <c r="B1031" s="145"/>
      <c r="C1031" s="145"/>
      <c r="D1031" s="145"/>
      <c r="E1031" s="145"/>
      <c r="F1031" s="145"/>
      <c r="G1031" s="102"/>
      <c r="H1031" s="145"/>
      <c r="I1031" s="145"/>
      <c r="J1031" s="145"/>
      <c r="K1031" s="145"/>
      <c r="L1031" s="145"/>
      <c r="M1031" s="145"/>
      <c r="N1031" s="145"/>
      <c r="O1031" s="145"/>
    </row>
    <row r="1032" spans="1:15" x14ac:dyDescent="0.35">
      <c r="A1032" s="145"/>
      <c r="B1032" s="145"/>
      <c r="C1032" s="145"/>
      <c r="D1032" s="145"/>
      <c r="E1032" s="145"/>
      <c r="F1032" s="145"/>
      <c r="G1032" s="102"/>
      <c r="H1032" s="145"/>
      <c r="I1032" s="145"/>
      <c r="J1032" s="145"/>
      <c r="K1032" s="145"/>
      <c r="L1032" s="145"/>
      <c r="M1032" s="145"/>
      <c r="N1032" s="145"/>
      <c r="O1032" s="145"/>
    </row>
    <row r="1033" spans="1:15" x14ac:dyDescent="0.35">
      <c r="A1033" s="145"/>
      <c r="B1033" s="145"/>
      <c r="C1033" s="145"/>
      <c r="D1033" s="145"/>
      <c r="E1033" s="145"/>
      <c r="F1033" s="145"/>
      <c r="G1033" s="102"/>
      <c r="H1033" s="145"/>
      <c r="I1033" s="145"/>
      <c r="J1033" s="145"/>
      <c r="K1033" s="145"/>
      <c r="L1033" s="145"/>
      <c r="M1033" s="145"/>
      <c r="N1033" s="145"/>
      <c r="O1033" s="145"/>
    </row>
    <row r="1034" spans="1:15" x14ac:dyDescent="0.35">
      <c r="A1034" s="145"/>
      <c r="B1034" s="145"/>
      <c r="C1034" s="145"/>
      <c r="D1034" s="145"/>
      <c r="E1034" s="145"/>
      <c r="F1034" s="145"/>
      <c r="G1034" s="102"/>
      <c r="H1034" s="145"/>
      <c r="I1034" s="145"/>
      <c r="J1034" s="145"/>
      <c r="K1034" s="145"/>
      <c r="L1034" s="145"/>
      <c r="M1034" s="145"/>
      <c r="N1034" s="145"/>
      <c r="O1034" s="145"/>
    </row>
    <row r="1035" spans="1:15" x14ac:dyDescent="0.35">
      <c r="A1035" s="145"/>
      <c r="B1035" s="145"/>
      <c r="C1035" s="145"/>
      <c r="D1035" s="145"/>
      <c r="E1035" s="145"/>
      <c r="F1035" s="145"/>
      <c r="G1035" s="102"/>
      <c r="H1035" s="145"/>
      <c r="I1035" s="145"/>
      <c r="J1035" s="145"/>
      <c r="K1035" s="145"/>
      <c r="L1035" s="145"/>
      <c r="M1035" s="145"/>
      <c r="N1035" s="145"/>
      <c r="O1035" s="145"/>
    </row>
    <row r="1036" spans="1:15" x14ac:dyDescent="0.35">
      <c r="A1036" s="145"/>
      <c r="B1036" s="145"/>
      <c r="C1036" s="145"/>
      <c r="D1036" s="145"/>
      <c r="E1036" s="145"/>
      <c r="F1036" s="145"/>
      <c r="G1036" s="102"/>
      <c r="H1036" s="145"/>
      <c r="I1036" s="145"/>
      <c r="J1036" s="145"/>
      <c r="K1036" s="145"/>
      <c r="L1036" s="145"/>
      <c r="M1036" s="145"/>
      <c r="N1036" s="31"/>
      <c r="O1036" s="31"/>
    </row>
    <row r="1037" spans="1:15" x14ac:dyDescent="0.35">
      <c r="A1037" s="145"/>
      <c r="B1037" s="145"/>
      <c r="C1037" s="145"/>
      <c r="D1037" s="145"/>
      <c r="E1037" s="145"/>
      <c r="F1037" s="145"/>
      <c r="G1037" s="102"/>
      <c r="H1037" s="145"/>
      <c r="I1037" s="145"/>
      <c r="J1037" s="145"/>
      <c r="K1037" s="145"/>
      <c r="L1037" s="145"/>
      <c r="M1037" s="145"/>
    </row>
    <row r="1038" spans="1:15" x14ac:dyDescent="0.35">
      <c r="A1038" s="145"/>
      <c r="B1038" s="145"/>
      <c r="C1038" s="145"/>
      <c r="D1038" s="145"/>
      <c r="E1038" s="145"/>
      <c r="F1038" s="145"/>
      <c r="G1038" s="102"/>
      <c r="H1038" s="145"/>
      <c r="I1038" s="145"/>
      <c r="J1038" s="145"/>
      <c r="K1038" s="145"/>
      <c r="L1038" s="145"/>
      <c r="M1038" s="145"/>
    </row>
    <row r="1039" spans="1:15" x14ac:dyDescent="0.35">
      <c r="A1039" s="145"/>
      <c r="B1039" s="145"/>
      <c r="C1039" s="145"/>
      <c r="D1039" s="145"/>
      <c r="E1039" s="145"/>
      <c r="F1039" s="145"/>
      <c r="G1039" s="102"/>
      <c r="H1039" s="145"/>
      <c r="I1039" s="145"/>
      <c r="J1039" s="145"/>
      <c r="K1039" s="145"/>
      <c r="L1039" s="145"/>
      <c r="M1039" s="145"/>
    </row>
    <row r="1040" spans="1:15" x14ac:dyDescent="0.35">
      <c r="A1040" s="145"/>
      <c r="B1040" s="145"/>
      <c r="C1040" s="145"/>
      <c r="D1040" s="145"/>
      <c r="E1040" s="145"/>
      <c r="F1040" s="145"/>
      <c r="G1040" s="102"/>
      <c r="H1040" s="145"/>
      <c r="I1040" s="145"/>
      <c r="J1040" s="145"/>
      <c r="K1040" s="145"/>
      <c r="L1040" s="145"/>
      <c r="M1040" s="145"/>
    </row>
    <row r="1041" spans="1:15" x14ac:dyDescent="0.35">
      <c r="A1041" s="145"/>
      <c r="B1041" s="145"/>
      <c r="C1041" s="145"/>
      <c r="D1041" s="145"/>
      <c r="E1041" s="145"/>
      <c r="F1041" s="145"/>
      <c r="G1041" s="102"/>
      <c r="H1041" s="145"/>
      <c r="I1041" s="145"/>
      <c r="J1041" s="145"/>
      <c r="K1041" s="145"/>
      <c r="L1041" s="145"/>
      <c r="M1041" s="145"/>
    </row>
    <row r="1042" spans="1:15" x14ac:dyDescent="0.35">
      <c r="A1042" s="145"/>
      <c r="B1042" s="145"/>
      <c r="C1042" s="145"/>
      <c r="D1042" s="145"/>
      <c r="E1042" s="145"/>
      <c r="F1042" s="145"/>
      <c r="G1042" s="102"/>
      <c r="H1042" s="145"/>
      <c r="I1042" s="145"/>
      <c r="J1042" s="145"/>
      <c r="K1042" s="145"/>
      <c r="L1042" s="145"/>
      <c r="M1042" s="145"/>
      <c r="N1042" s="145"/>
      <c r="O1042" s="145"/>
    </row>
    <row r="1043" spans="1:15" x14ac:dyDescent="0.35">
      <c r="A1043" s="145"/>
      <c r="B1043" s="145"/>
      <c r="C1043" s="145"/>
      <c r="D1043" s="145"/>
      <c r="E1043" s="145"/>
      <c r="F1043" s="145"/>
      <c r="G1043" s="102"/>
      <c r="H1043" s="145"/>
      <c r="I1043" s="145"/>
      <c r="J1043" s="145"/>
      <c r="K1043" s="145"/>
      <c r="L1043" s="145"/>
      <c r="M1043" s="145"/>
    </row>
    <row r="1044" spans="1:15" x14ac:dyDescent="0.35">
      <c r="A1044" s="145"/>
      <c r="B1044" s="145"/>
      <c r="C1044" s="145"/>
      <c r="D1044" s="145"/>
      <c r="E1044" s="145"/>
      <c r="F1044" s="145"/>
      <c r="G1044" s="102"/>
      <c r="H1044" s="145"/>
      <c r="I1044" s="145"/>
      <c r="J1044" s="145"/>
      <c r="K1044" s="145"/>
      <c r="L1044" s="145"/>
      <c r="M1044" s="145"/>
      <c r="N1044" s="31"/>
      <c r="O1044" s="31"/>
    </row>
    <row r="1045" spans="1:15" x14ac:dyDescent="0.35">
      <c r="A1045" s="145"/>
      <c r="B1045" s="145"/>
      <c r="C1045" s="145"/>
      <c r="D1045" s="145"/>
      <c r="E1045" s="145"/>
      <c r="F1045" s="145"/>
      <c r="G1045" s="102"/>
      <c r="H1045" s="145"/>
      <c r="I1045" s="145"/>
      <c r="J1045" s="145"/>
      <c r="K1045" s="145"/>
      <c r="L1045" s="145"/>
      <c r="M1045" s="145"/>
      <c r="N1045" s="145"/>
      <c r="O1045" s="145"/>
    </row>
    <row r="1046" spans="1:15" x14ac:dyDescent="0.35">
      <c r="A1046" s="145"/>
      <c r="B1046" s="145"/>
      <c r="C1046" s="145"/>
      <c r="D1046" s="145"/>
      <c r="E1046" s="145"/>
      <c r="F1046" s="145"/>
      <c r="G1046" s="102"/>
      <c r="H1046" s="145"/>
      <c r="I1046" s="145"/>
      <c r="J1046" s="145"/>
      <c r="K1046" s="145"/>
      <c r="L1046" s="145"/>
      <c r="M1046" s="145"/>
      <c r="N1046" s="145"/>
      <c r="O1046" s="145"/>
    </row>
    <row r="1047" spans="1:15" x14ac:dyDescent="0.35">
      <c r="A1047" s="145"/>
      <c r="B1047" s="145"/>
      <c r="C1047" s="145"/>
      <c r="D1047" s="145"/>
      <c r="E1047" s="145"/>
      <c r="F1047" s="145"/>
      <c r="G1047" s="102"/>
      <c r="H1047" s="145"/>
      <c r="I1047" s="145"/>
      <c r="J1047" s="145"/>
      <c r="K1047" s="145"/>
      <c r="L1047" s="145"/>
      <c r="M1047" s="145"/>
      <c r="N1047" s="145"/>
      <c r="O1047" s="145"/>
    </row>
    <row r="1048" spans="1:15" x14ac:dyDescent="0.35">
      <c r="A1048" s="145"/>
      <c r="B1048" s="145"/>
      <c r="C1048" s="145"/>
      <c r="D1048" s="145"/>
      <c r="E1048" s="145"/>
      <c r="F1048" s="145"/>
      <c r="G1048" s="102"/>
      <c r="H1048" s="145"/>
      <c r="I1048" s="145"/>
      <c r="J1048" s="145"/>
      <c r="K1048" s="145"/>
      <c r="L1048" s="145"/>
      <c r="M1048" s="145"/>
      <c r="N1048" s="145"/>
      <c r="O1048" s="145"/>
    </row>
    <row r="1049" spans="1:15" x14ac:dyDescent="0.35">
      <c r="A1049" s="145"/>
      <c r="B1049" s="145"/>
      <c r="C1049" s="145"/>
      <c r="D1049" s="145"/>
      <c r="E1049" s="145"/>
      <c r="F1049" s="145"/>
      <c r="G1049" s="102"/>
      <c r="H1049" s="145"/>
      <c r="I1049" s="145"/>
      <c r="J1049" s="145"/>
      <c r="K1049" s="145"/>
      <c r="L1049" s="145"/>
      <c r="M1049" s="145"/>
    </row>
    <row r="1050" spans="1:15" x14ac:dyDescent="0.35">
      <c r="A1050" s="145"/>
      <c r="B1050" s="145"/>
      <c r="C1050" s="145"/>
      <c r="D1050" s="145"/>
      <c r="E1050" s="145"/>
      <c r="F1050" s="145"/>
      <c r="G1050" s="102"/>
      <c r="H1050" s="145"/>
      <c r="I1050" s="145"/>
      <c r="J1050" s="145"/>
      <c r="K1050" s="145"/>
      <c r="L1050" s="145"/>
      <c r="M1050" s="145"/>
      <c r="N1050" s="145"/>
      <c r="O1050" s="145"/>
    </row>
    <row r="1051" spans="1:15" x14ac:dyDescent="0.35">
      <c r="A1051" s="145"/>
      <c r="B1051" s="145"/>
      <c r="C1051" s="145"/>
      <c r="D1051" s="145"/>
      <c r="E1051" s="145"/>
      <c r="F1051" s="145"/>
      <c r="G1051" s="102"/>
      <c r="H1051" s="145"/>
      <c r="I1051" s="145"/>
      <c r="J1051" s="145"/>
      <c r="K1051" s="145"/>
      <c r="L1051" s="145"/>
      <c r="M1051" s="145"/>
      <c r="N1051" s="145"/>
      <c r="O1051" s="145"/>
    </row>
    <row r="1052" spans="1:15" x14ac:dyDescent="0.35">
      <c r="A1052" s="145"/>
      <c r="B1052" s="145"/>
      <c r="C1052" s="145"/>
      <c r="D1052" s="145"/>
      <c r="E1052" s="145"/>
      <c r="F1052" s="145"/>
      <c r="G1052" s="102"/>
      <c r="H1052" s="145"/>
      <c r="I1052" s="145"/>
      <c r="J1052" s="145"/>
      <c r="K1052" s="145"/>
      <c r="L1052" s="145"/>
      <c r="M1052" s="145"/>
      <c r="N1052" s="145"/>
      <c r="O1052" s="145"/>
    </row>
    <row r="1053" spans="1:15" x14ac:dyDescent="0.35">
      <c r="A1053" s="145"/>
      <c r="B1053" s="145"/>
      <c r="C1053" s="145"/>
      <c r="D1053" s="145"/>
      <c r="E1053" s="145"/>
      <c r="F1053" s="145"/>
      <c r="G1053" s="102"/>
      <c r="H1053" s="145"/>
      <c r="I1053" s="145"/>
      <c r="J1053" s="145"/>
      <c r="K1053" s="145"/>
      <c r="L1053" s="145"/>
      <c r="M1053" s="145"/>
      <c r="N1053" s="145"/>
      <c r="O1053" s="145"/>
    </row>
    <row r="1054" spans="1:15" x14ac:dyDescent="0.35">
      <c r="A1054" s="145"/>
      <c r="B1054" s="145"/>
      <c r="C1054" s="145"/>
      <c r="D1054" s="145"/>
      <c r="E1054" s="145"/>
      <c r="F1054" s="145"/>
      <c r="G1054" s="102"/>
      <c r="H1054" s="145"/>
      <c r="I1054" s="145"/>
      <c r="J1054" s="145"/>
      <c r="K1054" s="145"/>
      <c r="L1054" s="145"/>
      <c r="M1054" s="145"/>
      <c r="N1054" s="145"/>
      <c r="O1054" s="145"/>
    </row>
    <row r="1055" spans="1:15" x14ac:dyDescent="0.35">
      <c r="A1055" s="145"/>
      <c r="B1055" s="145"/>
      <c r="C1055" s="145"/>
      <c r="D1055" s="145"/>
      <c r="E1055" s="145"/>
      <c r="F1055" s="145"/>
      <c r="G1055" s="102"/>
      <c r="H1055" s="145"/>
      <c r="I1055" s="145"/>
      <c r="J1055" s="145"/>
      <c r="K1055" s="145"/>
      <c r="L1055" s="145"/>
      <c r="M1055" s="145"/>
      <c r="N1055" s="145"/>
      <c r="O1055" s="145"/>
    </row>
    <row r="1056" spans="1:15" x14ac:dyDescent="0.35">
      <c r="A1056" s="145"/>
      <c r="B1056" s="145"/>
      <c r="C1056" s="145"/>
      <c r="D1056" s="145"/>
      <c r="E1056" s="145"/>
      <c r="F1056" s="145"/>
      <c r="G1056" s="102"/>
      <c r="H1056" s="145"/>
      <c r="I1056" s="145"/>
      <c r="J1056" s="145"/>
      <c r="K1056" s="145"/>
      <c r="L1056" s="145"/>
      <c r="M1056" s="145"/>
      <c r="N1056" s="145"/>
      <c r="O1056" s="145"/>
    </row>
    <row r="1057" spans="1:15" x14ac:dyDescent="0.35">
      <c r="A1057" s="145"/>
      <c r="B1057" s="145"/>
      <c r="C1057" s="145"/>
      <c r="D1057" s="145"/>
      <c r="E1057" s="145"/>
      <c r="F1057" s="145"/>
      <c r="G1057" s="102"/>
      <c r="H1057" s="145"/>
      <c r="I1057" s="145"/>
      <c r="J1057" s="145"/>
      <c r="K1057" s="145"/>
      <c r="L1057" s="145"/>
      <c r="M1057" s="145"/>
      <c r="N1057" s="145"/>
      <c r="O1057" s="145"/>
    </row>
    <row r="1058" spans="1:15" x14ac:dyDescent="0.35">
      <c r="A1058" s="145"/>
      <c r="B1058" s="145"/>
      <c r="C1058" s="145"/>
      <c r="D1058" s="145"/>
      <c r="E1058" s="145"/>
      <c r="F1058" s="145"/>
      <c r="G1058" s="102"/>
      <c r="H1058" s="145"/>
      <c r="I1058" s="145"/>
      <c r="J1058" s="145"/>
      <c r="K1058" s="145"/>
      <c r="L1058" s="145"/>
      <c r="M1058" s="145"/>
      <c r="N1058" s="145"/>
      <c r="O1058" s="145"/>
    </row>
    <row r="1059" spans="1:15" x14ac:dyDescent="0.35">
      <c r="A1059" s="145"/>
      <c r="B1059" s="145"/>
      <c r="C1059" s="145"/>
      <c r="D1059" s="145"/>
      <c r="E1059" s="145"/>
      <c r="F1059" s="145"/>
      <c r="G1059" s="102"/>
      <c r="H1059" s="145"/>
      <c r="I1059" s="145"/>
      <c r="J1059" s="145"/>
      <c r="K1059" s="145"/>
      <c r="L1059" s="145"/>
      <c r="M1059" s="145"/>
      <c r="N1059" s="145"/>
      <c r="O1059" s="145"/>
    </row>
    <row r="1060" spans="1:15" x14ac:dyDescent="0.35">
      <c r="A1060" s="145"/>
      <c r="B1060" s="145"/>
      <c r="C1060" s="145"/>
      <c r="D1060" s="145"/>
      <c r="E1060" s="145"/>
      <c r="F1060" s="145"/>
      <c r="G1060" s="102"/>
      <c r="H1060" s="145"/>
      <c r="I1060" s="145"/>
      <c r="J1060" s="145"/>
      <c r="K1060" s="145"/>
      <c r="L1060" s="145"/>
      <c r="M1060" s="145"/>
      <c r="N1060" s="145"/>
      <c r="O1060" s="145"/>
    </row>
    <row r="1061" spans="1:15" x14ac:dyDescent="0.35">
      <c r="A1061" s="145"/>
      <c r="B1061" s="145"/>
      <c r="C1061" s="145"/>
      <c r="D1061" s="145"/>
      <c r="E1061" s="145"/>
      <c r="F1061" s="145"/>
      <c r="G1061" s="102"/>
      <c r="H1061" s="145"/>
      <c r="I1061" s="145"/>
      <c r="J1061" s="145"/>
      <c r="K1061" s="145"/>
      <c r="L1061" s="145"/>
      <c r="M1061" s="145"/>
      <c r="N1061" s="145"/>
      <c r="O1061" s="145"/>
    </row>
    <row r="1062" spans="1:15" x14ac:dyDescent="0.35">
      <c r="A1062" s="145"/>
      <c r="B1062" s="145"/>
      <c r="C1062" s="145"/>
      <c r="D1062" s="145"/>
      <c r="E1062" s="145"/>
      <c r="F1062" s="145"/>
      <c r="G1062" s="102"/>
      <c r="H1062" s="145"/>
      <c r="I1062" s="145"/>
      <c r="J1062" s="145"/>
      <c r="K1062" s="145"/>
      <c r="L1062" s="145"/>
      <c r="M1062" s="145"/>
      <c r="N1062" s="145"/>
      <c r="O1062" s="145"/>
    </row>
    <row r="1063" spans="1:15" x14ac:dyDescent="0.35">
      <c r="A1063" s="145"/>
      <c r="B1063" s="145"/>
      <c r="C1063" s="145"/>
      <c r="D1063" s="145"/>
      <c r="E1063" s="145"/>
      <c r="F1063" s="145"/>
      <c r="G1063" s="102"/>
      <c r="H1063" s="145"/>
      <c r="I1063" s="145"/>
      <c r="J1063" s="145"/>
      <c r="K1063" s="145"/>
      <c r="L1063" s="145"/>
      <c r="M1063" s="145"/>
      <c r="N1063" s="145"/>
      <c r="O1063" s="145"/>
    </row>
    <row r="1064" spans="1:15" x14ac:dyDescent="0.35">
      <c r="A1064" s="145"/>
      <c r="B1064" s="145"/>
      <c r="C1064" s="145"/>
      <c r="D1064" s="145"/>
      <c r="E1064" s="145"/>
      <c r="F1064" s="145"/>
      <c r="G1064" s="102"/>
      <c r="H1064" s="145"/>
      <c r="I1064" s="145"/>
      <c r="J1064" s="145"/>
      <c r="K1064" s="145"/>
      <c r="L1064" s="145"/>
      <c r="M1064" s="145"/>
      <c r="N1064" s="145"/>
      <c r="O1064" s="145"/>
    </row>
    <row r="1065" spans="1:15" x14ac:dyDescent="0.35">
      <c r="A1065" s="145"/>
      <c r="B1065" s="145"/>
      <c r="C1065" s="145"/>
      <c r="D1065" s="145"/>
      <c r="E1065" s="145"/>
      <c r="F1065" s="145"/>
      <c r="G1065" s="102"/>
      <c r="H1065" s="145"/>
      <c r="I1065" s="145"/>
      <c r="J1065" s="145"/>
      <c r="K1065" s="145"/>
      <c r="L1065" s="145"/>
      <c r="M1065" s="145"/>
      <c r="N1065" s="145"/>
      <c r="O1065" s="145"/>
    </row>
    <row r="1066" spans="1:15" x14ac:dyDescent="0.35">
      <c r="A1066" s="145"/>
      <c r="B1066" s="145"/>
      <c r="C1066" s="145"/>
      <c r="D1066" s="145"/>
      <c r="E1066" s="145"/>
      <c r="F1066" s="145"/>
      <c r="G1066" s="102"/>
      <c r="H1066" s="145"/>
      <c r="I1066" s="145"/>
      <c r="J1066" s="145"/>
      <c r="K1066" s="145"/>
      <c r="L1066" s="145"/>
      <c r="M1066" s="145"/>
    </row>
    <row r="1067" spans="1:15" x14ac:dyDescent="0.35">
      <c r="A1067" s="145"/>
      <c r="B1067" s="145"/>
      <c r="C1067" s="145"/>
      <c r="D1067" s="145"/>
      <c r="E1067" s="145"/>
      <c r="F1067" s="145"/>
      <c r="G1067" s="102"/>
      <c r="H1067" s="145"/>
      <c r="I1067" s="145"/>
      <c r="J1067" s="145"/>
      <c r="K1067" s="145"/>
      <c r="L1067" s="145"/>
      <c r="M1067" s="145"/>
    </row>
    <row r="1068" spans="1:15" x14ac:dyDescent="0.35">
      <c r="A1068" s="145"/>
      <c r="B1068" s="145"/>
      <c r="C1068" s="145"/>
      <c r="D1068" s="145"/>
      <c r="E1068" s="145"/>
      <c r="F1068" s="145"/>
      <c r="G1068" s="102"/>
      <c r="H1068" s="145"/>
      <c r="I1068" s="145"/>
      <c r="J1068" s="145"/>
      <c r="K1068" s="145"/>
      <c r="L1068" s="145"/>
      <c r="M1068" s="145"/>
      <c r="N1068" s="145"/>
      <c r="O1068" s="145"/>
    </row>
    <row r="1069" spans="1:15" x14ac:dyDescent="0.35">
      <c r="A1069" s="145"/>
      <c r="B1069" s="145"/>
      <c r="C1069" s="145"/>
      <c r="D1069" s="145"/>
      <c r="E1069" s="145"/>
      <c r="F1069" s="145"/>
      <c r="G1069" s="102"/>
      <c r="H1069" s="145"/>
      <c r="I1069" s="145"/>
      <c r="J1069" s="145"/>
      <c r="K1069" s="145"/>
      <c r="L1069" s="145"/>
      <c r="M1069" s="145"/>
      <c r="N1069" s="145"/>
      <c r="O1069" s="145"/>
    </row>
    <row r="1070" spans="1:15" x14ac:dyDescent="0.35">
      <c r="A1070" s="145"/>
      <c r="B1070" s="145"/>
      <c r="C1070" s="145"/>
      <c r="D1070" s="145"/>
      <c r="E1070" s="145"/>
      <c r="F1070" s="145"/>
      <c r="G1070" s="102"/>
      <c r="H1070" s="145"/>
      <c r="I1070" s="145"/>
      <c r="J1070" s="145"/>
      <c r="K1070" s="145"/>
      <c r="L1070" s="145"/>
      <c r="M1070" s="145"/>
      <c r="N1070" s="145"/>
      <c r="O1070" s="145"/>
    </row>
    <row r="1071" spans="1:15" x14ac:dyDescent="0.35">
      <c r="A1071" s="145"/>
      <c r="B1071" s="145"/>
      <c r="C1071" s="145"/>
      <c r="D1071" s="145"/>
      <c r="E1071" s="145"/>
      <c r="F1071" s="145"/>
      <c r="G1071" s="102"/>
      <c r="H1071" s="145"/>
      <c r="I1071" s="145"/>
      <c r="J1071" s="145"/>
      <c r="K1071" s="145"/>
      <c r="L1071" s="145"/>
      <c r="M1071" s="145"/>
      <c r="N1071" s="145"/>
      <c r="O1071" s="145"/>
    </row>
    <row r="1072" spans="1:15" x14ac:dyDescent="0.35">
      <c r="A1072" s="145"/>
      <c r="B1072" s="145"/>
      <c r="C1072" s="145"/>
      <c r="D1072" s="145"/>
      <c r="E1072" s="145"/>
      <c r="F1072" s="145"/>
      <c r="G1072" s="102"/>
      <c r="H1072" s="145"/>
      <c r="I1072" s="145"/>
      <c r="J1072" s="145"/>
      <c r="K1072" s="145"/>
      <c r="L1072" s="145"/>
      <c r="M1072" s="145"/>
      <c r="N1072" s="145"/>
      <c r="O1072" s="145"/>
    </row>
    <row r="1073" spans="1:15" x14ac:dyDescent="0.35">
      <c r="A1073" s="145"/>
      <c r="B1073" s="145"/>
      <c r="C1073" s="145"/>
      <c r="D1073" s="145"/>
      <c r="E1073" s="145"/>
      <c r="F1073" s="145"/>
      <c r="G1073" s="102"/>
      <c r="H1073" s="145"/>
      <c r="I1073" s="145"/>
      <c r="J1073" s="145"/>
      <c r="K1073" s="145"/>
      <c r="L1073" s="145"/>
      <c r="M1073" s="145"/>
      <c r="N1073" s="145"/>
      <c r="O1073" s="145"/>
    </row>
    <row r="1074" spans="1:15" x14ac:dyDescent="0.35">
      <c r="A1074" s="145"/>
      <c r="B1074" s="145"/>
      <c r="C1074" s="145"/>
      <c r="D1074" s="145"/>
      <c r="E1074" s="145"/>
      <c r="F1074" s="145"/>
      <c r="G1074" s="102"/>
      <c r="H1074" s="145"/>
      <c r="I1074" s="145"/>
      <c r="J1074" s="145"/>
      <c r="K1074" s="145"/>
      <c r="L1074" s="145"/>
      <c r="M1074" s="145"/>
      <c r="N1074" s="145"/>
      <c r="O1074" s="145"/>
    </row>
    <row r="1075" spans="1:15" x14ac:dyDescent="0.35">
      <c r="A1075" s="145"/>
      <c r="B1075" s="145"/>
      <c r="C1075" s="145"/>
      <c r="D1075" s="145"/>
      <c r="E1075" s="145"/>
      <c r="F1075" s="145"/>
      <c r="G1075" s="102"/>
      <c r="H1075" s="145"/>
      <c r="I1075" s="145"/>
      <c r="J1075" s="145"/>
      <c r="K1075" s="145"/>
      <c r="L1075" s="145"/>
      <c r="M1075" s="145"/>
      <c r="N1075" s="145"/>
      <c r="O1075" s="145"/>
    </row>
    <row r="1076" spans="1:15" x14ac:dyDescent="0.35">
      <c r="A1076" s="145"/>
      <c r="B1076" s="145"/>
      <c r="C1076" s="145"/>
      <c r="D1076" s="145"/>
      <c r="E1076" s="145"/>
      <c r="F1076" s="145"/>
      <c r="G1076" s="102"/>
      <c r="H1076" s="145"/>
      <c r="I1076" s="145"/>
      <c r="J1076" s="145"/>
      <c r="K1076" s="145"/>
      <c r="L1076" s="145"/>
      <c r="M1076" s="145"/>
      <c r="N1076" s="145"/>
      <c r="O1076" s="145"/>
    </row>
    <row r="1077" spans="1:15" x14ac:dyDescent="0.35">
      <c r="A1077" s="145"/>
      <c r="B1077" s="145"/>
      <c r="C1077" s="145"/>
      <c r="D1077" s="145"/>
      <c r="E1077" s="145"/>
      <c r="F1077" s="145"/>
      <c r="G1077" s="102"/>
      <c r="H1077" s="145"/>
      <c r="I1077" s="145"/>
      <c r="J1077" s="145"/>
      <c r="K1077" s="145"/>
      <c r="L1077" s="145"/>
      <c r="M1077" s="145"/>
      <c r="N1077" s="145"/>
      <c r="O1077" s="145"/>
    </row>
    <row r="1078" spans="1:15" x14ac:dyDescent="0.35">
      <c r="A1078" s="145"/>
      <c r="B1078" s="145"/>
      <c r="C1078" s="145"/>
      <c r="D1078" s="145"/>
      <c r="E1078" s="145"/>
      <c r="F1078" s="145"/>
      <c r="G1078" s="102"/>
      <c r="H1078" s="145"/>
      <c r="I1078" s="145"/>
      <c r="J1078" s="145"/>
      <c r="K1078" s="145"/>
      <c r="L1078" s="145"/>
      <c r="M1078" s="145"/>
      <c r="N1078" s="145"/>
      <c r="O1078" s="145"/>
    </row>
    <row r="1079" spans="1:15" x14ac:dyDescent="0.35">
      <c r="A1079" s="145"/>
      <c r="B1079" s="145"/>
      <c r="C1079" s="145"/>
      <c r="D1079" s="145"/>
      <c r="E1079" s="145"/>
      <c r="F1079" s="145"/>
      <c r="G1079" s="102"/>
      <c r="H1079" s="145"/>
      <c r="I1079" s="145"/>
      <c r="J1079" s="145"/>
      <c r="K1079" s="145"/>
      <c r="L1079" s="145"/>
      <c r="M1079" s="145"/>
      <c r="N1079" s="145"/>
      <c r="O1079" s="145"/>
    </row>
    <row r="1080" spans="1:15" x14ac:dyDescent="0.35">
      <c r="A1080" s="145"/>
      <c r="B1080" s="145"/>
      <c r="C1080" s="145"/>
      <c r="D1080" s="145"/>
      <c r="E1080" s="145"/>
      <c r="F1080" s="145"/>
      <c r="G1080" s="102"/>
      <c r="H1080" s="145"/>
      <c r="I1080" s="145"/>
      <c r="J1080" s="145"/>
      <c r="K1080" s="145"/>
      <c r="L1080" s="145"/>
      <c r="M1080" s="145"/>
      <c r="N1080" s="145"/>
      <c r="O1080" s="145"/>
    </row>
    <row r="1081" spans="1:15" x14ac:dyDescent="0.35">
      <c r="A1081" s="145"/>
      <c r="B1081" s="145"/>
      <c r="C1081" s="145"/>
      <c r="D1081" s="145"/>
      <c r="E1081" s="145"/>
      <c r="F1081" s="145"/>
      <c r="G1081" s="102"/>
      <c r="H1081" s="145"/>
      <c r="I1081" s="145"/>
      <c r="J1081" s="145"/>
      <c r="K1081" s="145"/>
      <c r="L1081" s="145"/>
      <c r="M1081" s="145"/>
      <c r="N1081" s="145"/>
      <c r="O1081" s="145"/>
    </row>
    <row r="1082" spans="1:15" x14ac:dyDescent="0.35">
      <c r="A1082" s="145"/>
      <c r="B1082" s="145"/>
      <c r="C1082" s="145"/>
      <c r="D1082" s="145"/>
      <c r="E1082" s="145"/>
      <c r="F1082" s="145"/>
      <c r="G1082" s="102"/>
      <c r="H1082" s="145"/>
      <c r="I1082" s="145"/>
      <c r="J1082" s="145"/>
      <c r="K1082" s="145"/>
      <c r="L1082" s="145"/>
      <c r="M1082" s="145"/>
      <c r="N1082" s="145"/>
      <c r="O1082" s="145"/>
    </row>
    <row r="1083" spans="1:15" x14ac:dyDescent="0.35">
      <c r="A1083" s="145"/>
      <c r="B1083" s="145"/>
      <c r="C1083" s="145"/>
      <c r="D1083" s="145"/>
      <c r="E1083" s="145"/>
      <c r="F1083" s="145"/>
      <c r="G1083" s="102"/>
      <c r="H1083" s="145"/>
      <c r="I1083" s="145"/>
      <c r="J1083" s="145"/>
      <c r="K1083" s="145"/>
      <c r="L1083" s="145"/>
      <c r="M1083" s="145"/>
      <c r="N1083" s="145"/>
      <c r="O1083" s="145"/>
    </row>
    <row r="1084" spans="1:15" x14ac:dyDescent="0.35">
      <c r="A1084" s="145"/>
      <c r="B1084" s="145"/>
      <c r="C1084" s="145"/>
      <c r="D1084" s="145"/>
      <c r="E1084" s="145"/>
      <c r="F1084" s="145"/>
      <c r="G1084" s="102"/>
      <c r="H1084" s="145"/>
      <c r="I1084" s="145"/>
      <c r="J1084" s="145"/>
      <c r="K1084" s="145"/>
      <c r="L1084" s="145"/>
      <c r="M1084" s="145"/>
      <c r="N1084" s="145"/>
      <c r="O1084" s="145"/>
    </row>
    <row r="1085" spans="1:15" x14ac:dyDescent="0.35">
      <c r="A1085" s="145"/>
      <c r="B1085" s="145"/>
      <c r="C1085" s="145"/>
      <c r="D1085" s="145"/>
      <c r="E1085" s="145"/>
      <c r="F1085" s="145"/>
      <c r="G1085" s="102"/>
      <c r="H1085" s="145"/>
      <c r="I1085" s="145"/>
      <c r="J1085" s="145"/>
      <c r="K1085" s="145"/>
      <c r="L1085" s="145"/>
      <c r="M1085" s="145"/>
      <c r="N1085" s="145"/>
      <c r="O1085" s="145"/>
    </row>
    <row r="1086" spans="1:15" x14ac:dyDescent="0.35">
      <c r="A1086" s="145"/>
      <c r="B1086" s="145"/>
      <c r="C1086" s="145"/>
      <c r="D1086" s="145"/>
      <c r="E1086" s="145"/>
      <c r="F1086" s="145"/>
      <c r="G1086" s="102"/>
      <c r="H1086" s="145"/>
      <c r="I1086" s="145"/>
      <c r="J1086" s="145"/>
      <c r="K1086" s="145"/>
      <c r="L1086" s="145"/>
      <c r="M1086" s="145"/>
      <c r="N1086" s="145"/>
      <c r="O1086" s="145"/>
    </row>
    <row r="1087" spans="1:15" x14ac:dyDescent="0.35">
      <c r="A1087" s="145"/>
      <c r="B1087" s="145"/>
      <c r="C1087" s="145"/>
      <c r="D1087" s="145"/>
      <c r="E1087" s="145"/>
      <c r="F1087" s="145"/>
      <c r="G1087" s="102"/>
      <c r="H1087" s="145"/>
      <c r="I1087" s="145"/>
      <c r="J1087" s="145"/>
      <c r="K1087" s="145"/>
      <c r="L1087" s="145"/>
      <c r="M1087" s="145"/>
      <c r="N1087" s="145"/>
      <c r="O1087" s="145"/>
    </row>
    <row r="1088" spans="1:15" x14ac:dyDescent="0.35">
      <c r="A1088" s="145"/>
      <c r="B1088" s="145"/>
      <c r="C1088" s="145"/>
      <c r="D1088" s="145"/>
      <c r="E1088" s="145"/>
      <c r="F1088" s="145"/>
      <c r="G1088" s="102"/>
      <c r="H1088" s="145"/>
      <c r="I1088" s="145"/>
      <c r="J1088" s="145"/>
      <c r="K1088" s="145"/>
      <c r="L1088" s="145"/>
      <c r="M1088" s="145"/>
      <c r="N1088" s="145"/>
      <c r="O1088" s="145"/>
    </row>
    <row r="1089" spans="1:15" x14ac:dyDescent="0.35">
      <c r="A1089" s="145"/>
      <c r="B1089" s="145"/>
      <c r="C1089" s="145"/>
      <c r="D1089" s="145"/>
      <c r="E1089" s="145"/>
      <c r="F1089" s="145"/>
      <c r="G1089" s="102"/>
      <c r="H1089" s="145"/>
      <c r="I1089" s="145"/>
      <c r="J1089" s="145"/>
      <c r="K1089" s="145"/>
      <c r="L1089" s="145"/>
      <c r="M1089" s="145"/>
      <c r="N1089" s="145"/>
      <c r="O1089" s="145"/>
    </row>
    <row r="1090" spans="1:15" x14ac:dyDescent="0.35">
      <c r="A1090" s="145"/>
      <c r="B1090" s="145"/>
      <c r="C1090" s="145"/>
      <c r="D1090" s="145"/>
      <c r="E1090" s="145"/>
      <c r="F1090" s="145"/>
      <c r="G1090" s="102"/>
      <c r="H1090" s="145"/>
      <c r="I1090" s="145"/>
      <c r="J1090" s="145"/>
      <c r="K1090" s="145"/>
      <c r="L1090" s="145"/>
      <c r="M1090" s="145"/>
      <c r="N1090" s="145"/>
      <c r="O1090" s="145"/>
    </row>
    <row r="1091" spans="1:15" x14ac:dyDescent="0.35">
      <c r="A1091" s="145"/>
      <c r="B1091" s="145"/>
      <c r="C1091" s="145"/>
      <c r="D1091" s="145"/>
      <c r="E1091" s="145"/>
      <c r="F1091" s="145"/>
      <c r="G1091" s="102"/>
      <c r="H1091" s="145"/>
      <c r="I1091" s="145"/>
      <c r="J1091" s="145"/>
      <c r="K1091" s="145"/>
      <c r="L1091" s="145"/>
      <c r="M1091" s="145"/>
      <c r="N1091" s="145"/>
      <c r="O1091" s="145"/>
    </row>
    <row r="1092" spans="1:15" x14ac:dyDescent="0.35">
      <c r="A1092" s="145"/>
      <c r="B1092" s="145"/>
      <c r="C1092" s="145"/>
      <c r="D1092" s="145"/>
      <c r="E1092" s="145"/>
      <c r="F1092" s="145"/>
      <c r="G1092" s="102"/>
      <c r="H1092" s="145"/>
      <c r="I1092" s="145"/>
      <c r="J1092" s="145"/>
      <c r="K1092" s="145"/>
      <c r="L1092" s="145"/>
      <c r="M1092" s="145"/>
      <c r="N1092" s="145"/>
      <c r="O1092" s="145"/>
    </row>
    <row r="1093" spans="1:15" x14ac:dyDescent="0.35">
      <c r="A1093" s="145"/>
      <c r="B1093" s="145"/>
      <c r="C1093" s="145"/>
      <c r="D1093" s="145"/>
      <c r="E1093" s="145"/>
      <c r="F1093" s="145"/>
      <c r="G1093" s="102"/>
      <c r="H1093" s="145"/>
      <c r="I1093" s="145"/>
      <c r="J1093" s="145"/>
      <c r="K1093" s="145"/>
      <c r="L1093" s="145"/>
      <c r="M1093" s="145"/>
      <c r="N1093" s="145"/>
      <c r="O1093" s="145"/>
    </row>
    <row r="1094" spans="1:15" x14ac:dyDescent="0.35">
      <c r="A1094" s="145"/>
      <c r="B1094" s="145"/>
      <c r="C1094" s="145"/>
      <c r="D1094" s="145"/>
      <c r="E1094" s="145"/>
      <c r="F1094" s="145"/>
      <c r="G1094" s="102"/>
      <c r="H1094" s="145"/>
      <c r="I1094" s="145"/>
      <c r="J1094" s="145"/>
      <c r="K1094" s="145"/>
      <c r="L1094" s="145"/>
      <c r="M1094" s="145"/>
    </row>
    <row r="1095" spans="1:15" x14ac:dyDescent="0.35">
      <c r="A1095" s="145"/>
      <c r="B1095" s="145"/>
      <c r="C1095" s="145"/>
      <c r="D1095" s="145"/>
      <c r="E1095" s="145"/>
      <c r="F1095" s="145"/>
      <c r="G1095" s="102"/>
      <c r="H1095" s="145"/>
      <c r="I1095" s="145"/>
      <c r="J1095" s="145"/>
      <c r="K1095" s="145"/>
      <c r="L1095" s="145"/>
      <c r="M1095" s="145"/>
    </row>
    <row r="1096" spans="1:15" x14ac:dyDescent="0.35">
      <c r="A1096" s="145"/>
      <c r="B1096" s="145"/>
      <c r="C1096" s="145"/>
      <c r="D1096" s="145"/>
      <c r="E1096" s="145"/>
      <c r="F1096" s="145"/>
      <c r="G1096" s="102"/>
      <c r="H1096" s="145"/>
      <c r="I1096" s="145"/>
      <c r="J1096" s="145"/>
      <c r="K1096" s="145"/>
      <c r="L1096" s="145"/>
      <c r="M1096" s="145"/>
    </row>
    <row r="1097" spans="1:15" x14ac:dyDescent="0.35">
      <c r="A1097" s="145"/>
      <c r="B1097" s="145"/>
      <c r="C1097" s="145"/>
      <c r="D1097" s="145"/>
      <c r="E1097" s="145"/>
      <c r="F1097" s="145"/>
      <c r="G1097" s="102"/>
      <c r="H1097" s="145"/>
      <c r="I1097" s="145"/>
      <c r="J1097" s="145"/>
      <c r="K1097" s="145"/>
      <c r="L1097" s="145"/>
      <c r="M1097" s="145"/>
      <c r="N1097" s="145"/>
      <c r="O1097" s="145"/>
    </row>
    <row r="1098" spans="1:15" x14ac:dyDescent="0.35">
      <c r="A1098" s="145"/>
      <c r="B1098" s="145"/>
      <c r="C1098" s="145"/>
      <c r="D1098" s="145"/>
      <c r="E1098" s="145"/>
      <c r="F1098" s="145"/>
      <c r="G1098" s="102"/>
      <c r="H1098" s="145"/>
      <c r="I1098" s="145"/>
      <c r="J1098" s="145"/>
      <c r="K1098" s="145"/>
      <c r="L1098" s="145"/>
      <c r="M1098" s="145"/>
      <c r="N1098" s="145"/>
      <c r="O1098" s="145"/>
    </row>
    <row r="1099" spans="1:15" x14ac:dyDescent="0.35">
      <c r="A1099" s="145"/>
      <c r="B1099" s="145"/>
      <c r="C1099" s="145"/>
      <c r="D1099" s="145"/>
      <c r="E1099" s="145"/>
      <c r="F1099" s="145"/>
      <c r="G1099" s="102"/>
      <c r="H1099" s="145"/>
      <c r="I1099" s="145"/>
      <c r="J1099" s="145"/>
      <c r="K1099" s="145"/>
      <c r="L1099" s="145"/>
      <c r="M1099" s="145"/>
      <c r="N1099" s="145"/>
      <c r="O1099" s="145"/>
    </row>
    <row r="1100" spans="1:15" x14ac:dyDescent="0.35">
      <c r="A1100" s="145"/>
      <c r="B1100" s="145"/>
      <c r="C1100" s="145"/>
      <c r="D1100" s="145"/>
      <c r="E1100" s="145"/>
      <c r="F1100" s="145"/>
      <c r="G1100" s="102"/>
      <c r="H1100" s="145"/>
      <c r="I1100" s="145"/>
      <c r="J1100" s="145"/>
      <c r="K1100" s="145"/>
      <c r="L1100" s="145"/>
      <c r="M1100" s="145"/>
      <c r="N1100" s="145"/>
      <c r="O1100" s="145"/>
    </row>
    <row r="1101" spans="1:15" x14ac:dyDescent="0.35">
      <c r="A1101" s="145"/>
      <c r="B1101" s="145"/>
      <c r="C1101" s="145"/>
      <c r="D1101" s="145"/>
      <c r="E1101" s="145"/>
      <c r="F1101" s="145"/>
      <c r="G1101" s="102"/>
      <c r="H1101" s="145"/>
      <c r="I1101" s="145"/>
      <c r="J1101" s="145"/>
      <c r="K1101" s="145"/>
      <c r="L1101" s="145"/>
      <c r="M1101" s="145"/>
      <c r="N1101" s="31"/>
      <c r="O1101" s="31"/>
    </row>
    <row r="1102" spans="1:15" x14ac:dyDescent="0.35">
      <c r="A1102" s="145"/>
      <c r="B1102" s="145"/>
      <c r="C1102" s="145"/>
      <c r="D1102" s="145"/>
      <c r="E1102" s="145"/>
      <c r="F1102" s="145"/>
      <c r="G1102" s="102"/>
      <c r="H1102" s="145"/>
      <c r="I1102" s="145"/>
      <c r="J1102" s="145"/>
      <c r="K1102" s="145"/>
      <c r="L1102" s="145"/>
      <c r="M1102" s="145"/>
      <c r="N1102" s="31"/>
      <c r="O1102" s="31"/>
    </row>
    <row r="1103" spans="1:15" x14ac:dyDescent="0.35">
      <c r="A1103" s="145"/>
      <c r="B1103" s="145"/>
      <c r="C1103" s="145"/>
      <c r="D1103" s="145"/>
      <c r="E1103" s="145"/>
      <c r="F1103" s="145"/>
      <c r="G1103" s="102"/>
      <c r="H1103" s="145"/>
      <c r="I1103" s="145"/>
      <c r="J1103" s="145"/>
      <c r="K1103" s="145"/>
      <c r="L1103" s="145"/>
      <c r="M1103" s="145"/>
    </row>
    <row r="1104" spans="1:15" x14ac:dyDescent="0.35">
      <c r="A1104" s="145"/>
      <c r="B1104" s="145"/>
      <c r="C1104" s="145"/>
      <c r="D1104" s="145"/>
      <c r="E1104" s="145"/>
      <c r="F1104" s="145"/>
      <c r="G1104" s="102"/>
      <c r="H1104" s="145"/>
      <c r="I1104" s="145"/>
      <c r="J1104" s="145"/>
      <c r="K1104" s="145"/>
      <c r="L1104" s="145"/>
      <c r="M1104" s="145"/>
    </row>
    <row r="1105" spans="1:15" x14ac:dyDescent="0.35">
      <c r="A1105" s="145"/>
      <c r="B1105" s="145"/>
      <c r="C1105" s="145"/>
      <c r="D1105" s="145"/>
      <c r="E1105" s="145"/>
      <c r="F1105" s="145"/>
      <c r="G1105" s="102"/>
      <c r="H1105" s="145"/>
      <c r="I1105" s="145"/>
      <c r="J1105" s="145"/>
      <c r="K1105" s="145"/>
      <c r="L1105" s="145"/>
      <c r="M1105" s="145"/>
    </row>
    <row r="1106" spans="1:15" x14ac:dyDescent="0.35">
      <c r="A1106" s="145"/>
      <c r="B1106" s="145"/>
      <c r="C1106" s="145"/>
      <c r="D1106" s="145"/>
      <c r="E1106" s="145"/>
      <c r="F1106" s="145"/>
      <c r="G1106" s="102"/>
      <c r="H1106" s="145"/>
      <c r="I1106" s="145"/>
      <c r="J1106" s="145"/>
      <c r="K1106" s="145"/>
      <c r="L1106" s="145"/>
      <c r="M1106" s="145"/>
    </row>
    <row r="1107" spans="1:15" x14ac:dyDescent="0.35">
      <c r="A1107" s="145"/>
      <c r="B1107" s="145"/>
      <c r="C1107" s="145"/>
      <c r="D1107" s="145"/>
      <c r="E1107" s="145"/>
      <c r="F1107" s="145"/>
      <c r="G1107" s="102"/>
      <c r="H1107" s="145"/>
      <c r="I1107" s="145"/>
      <c r="J1107" s="145"/>
      <c r="K1107" s="145"/>
      <c r="L1107" s="145"/>
      <c r="M1107" s="145"/>
    </row>
    <row r="1108" spans="1:15" x14ac:dyDescent="0.35">
      <c r="A1108" s="145"/>
      <c r="B1108" s="145"/>
      <c r="C1108" s="145"/>
      <c r="D1108" s="145"/>
      <c r="E1108" s="145"/>
      <c r="F1108" s="145"/>
      <c r="G1108" s="102"/>
      <c r="H1108" s="145"/>
      <c r="I1108" s="145"/>
      <c r="J1108" s="145"/>
      <c r="K1108" s="145"/>
      <c r="L1108" s="145"/>
      <c r="M1108" s="145"/>
      <c r="N1108" s="145"/>
      <c r="O1108" s="145"/>
    </row>
    <row r="1109" spans="1:15" x14ac:dyDescent="0.35">
      <c r="A1109" s="145"/>
      <c r="B1109" s="145"/>
      <c r="C1109" s="145"/>
      <c r="D1109" s="145"/>
      <c r="E1109" s="145"/>
      <c r="F1109" s="145"/>
      <c r="G1109" s="102"/>
      <c r="H1109" s="145"/>
      <c r="I1109" s="145"/>
      <c r="J1109" s="145"/>
      <c r="K1109" s="145"/>
      <c r="L1109" s="145"/>
      <c r="M1109" s="145"/>
    </row>
    <row r="1110" spans="1:15" x14ac:dyDescent="0.35">
      <c r="A1110" s="145"/>
      <c r="B1110" s="145"/>
      <c r="C1110" s="145"/>
      <c r="D1110" s="145"/>
      <c r="E1110" s="145"/>
      <c r="F1110" s="145"/>
      <c r="G1110" s="102"/>
      <c r="H1110" s="145"/>
      <c r="I1110" s="145"/>
      <c r="J1110" s="145"/>
      <c r="K1110" s="145"/>
      <c r="L1110" s="145"/>
      <c r="M1110" s="145"/>
      <c r="N1110" s="145"/>
      <c r="O1110" s="145"/>
    </row>
    <row r="1111" spans="1:15" x14ac:dyDescent="0.35">
      <c r="A1111" s="145"/>
      <c r="B1111" s="145"/>
      <c r="C1111" s="145"/>
      <c r="D1111" s="145"/>
      <c r="E1111" s="145"/>
      <c r="F1111" s="145"/>
      <c r="G1111" s="102"/>
      <c r="H1111" s="145"/>
      <c r="I1111" s="145"/>
      <c r="J1111" s="145"/>
      <c r="K1111" s="145"/>
      <c r="L1111" s="145"/>
      <c r="M1111" s="145"/>
      <c r="N1111" s="145"/>
      <c r="O1111" s="145"/>
    </row>
    <row r="1112" spans="1:15" x14ac:dyDescent="0.35">
      <c r="A1112" s="145"/>
      <c r="B1112" s="145"/>
      <c r="C1112" s="145"/>
      <c r="D1112" s="145"/>
      <c r="E1112" s="145"/>
      <c r="F1112" s="145"/>
      <c r="G1112" s="102"/>
      <c r="H1112" s="145"/>
      <c r="I1112" s="145"/>
      <c r="J1112" s="145"/>
      <c r="K1112" s="145"/>
      <c r="L1112" s="145"/>
      <c r="M1112" s="145"/>
      <c r="N1112" s="145"/>
      <c r="O1112" s="145"/>
    </row>
    <row r="1113" spans="1:15" x14ac:dyDescent="0.35">
      <c r="A1113" s="145"/>
      <c r="B1113" s="145"/>
      <c r="C1113" s="145"/>
      <c r="D1113" s="145"/>
      <c r="E1113" s="145"/>
      <c r="F1113" s="145"/>
      <c r="G1113" s="102"/>
      <c r="H1113" s="145"/>
      <c r="I1113" s="145"/>
      <c r="J1113" s="145"/>
      <c r="K1113" s="145"/>
      <c r="L1113" s="145"/>
      <c r="M1113" s="145"/>
      <c r="N1113" s="145"/>
      <c r="O1113" s="145"/>
    </row>
    <row r="1114" spans="1:15" x14ac:dyDescent="0.35">
      <c r="A1114" s="145"/>
      <c r="B1114" s="145"/>
      <c r="C1114" s="145"/>
      <c r="D1114" s="145"/>
      <c r="E1114" s="145"/>
      <c r="F1114" s="145"/>
      <c r="G1114" s="102"/>
      <c r="H1114" s="145"/>
      <c r="I1114" s="145"/>
      <c r="J1114" s="145"/>
      <c r="K1114" s="145"/>
      <c r="L1114" s="145"/>
      <c r="M1114" s="145"/>
      <c r="N1114" s="145"/>
      <c r="O1114" s="145"/>
    </row>
    <row r="1115" spans="1:15" x14ac:dyDescent="0.35">
      <c r="A1115" s="145"/>
      <c r="B1115" s="145"/>
      <c r="C1115" s="145"/>
      <c r="D1115" s="145"/>
      <c r="E1115" s="145"/>
      <c r="F1115" s="145"/>
      <c r="G1115" s="102"/>
      <c r="H1115" s="145"/>
      <c r="I1115" s="145"/>
      <c r="J1115" s="145"/>
      <c r="K1115" s="145"/>
      <c r="L1115" s="145"/>
      <c r="M1115" s="145"/>
      <c r="N1115" s="145"/>
      <c r="O1115" s="145"/>
    </row>
    <row r="1116" spans="1:15" x14ac:dyDescent="0.35">
      <c r="A1116" s="145"/>
      <c r="B1116" s="145"/>
      <c r="C1116" s="145"/>
      <c r="D1116" s="145"/>
      <c r="E1116" s="145"/>
      <c r="F1116" s="145"/>
      <c r="G1116" s="102"/>
      <c r="H1116" s="145"/>
      <c r="I1116" s="145"/>
      <c r="J1116" s="145"/>
      <c r="K1116" s="145"/>
      <c r="L1116" s="145"/>
      <c r="M1116" s="145"/>
      <c r="N1116" s="145"/>
      <c r="O1116" s="145"/>
    </row>
    <row r="1117" spans="1:15" x14ac:dyDescent="0.35">
      <c r="A1117" s="145"/>
      <c r="B1117" s="145"/>
      <c r="C1117" s="145"/>
      <c r="D1117" s="145"/>
      <c r="E1117" s="145"/>
      <c r="F1117" s="145"/>
      <c r="G1117" s="102"/>
      <c r="H1117" s="145"/>
      <c r="I1117" s="145"/>
      <c r="J1117" s="145"/>
      <c r="K1117" s="145"/>
      <c r="L1117" s="145"/>
      <c r="M1117" s="145"/>
    </row>
    <row r="1118" spans="1:15" x14ac:dyDescent="0.35">
      <c r="A1118" s="145"/>
      <c r="B1118" s="145"/>
      <c r="C1118" s="145"/>
      <c r="D1118" s="145"/>
      <c r="E1118" s="145"/>
      <c r="F1118" s="145"/>
      <c r="G1118" s="102"/>
      <c r="H1118" s="145"/>
      <c r="I1118" s="145"/>
      <c r="J1118" s="145"/>
      <c r="K1118" s="145"/>
      <c r="L1118" s="145"/>
      <c r="M1118" s="145"/>
      <c r="N1118" s="145"/>
      <c r="O1118" s="145"/>
    </row>
    <row r="1119" spans="1:15" x14ac:dyDescent="0.35">
      <c r="A1119" s="145"/>
      <c r="B1119" s="145"/>
      <c r="C1119" s="145"/>
      <c r="D1119" s="145"/>
      <c r="E1119" s="145"/>
      <c r="F1119" s="145"/>
      <c r="G1119" s="102"/>
      <c r="H1119" s="145"/>
      <c r="I1119" s="145"/>
      <c r="J1119" s="145"/>
      <c r="K1119" s="145"/>
      <c r="L1119" s="145"/>
      <c r="M1119" s="145"/>
      <c r="N1119" s="145"/>
      <c r="O1119" s="145"/>
    </row>
    <row r="1120" spans="1:15" x14ac:dyDescent="0.35">
      <c r="A1120" s="145"/>
      <c r="B1120" s="145"/>
      <c r="C1120" s="145"/>
      <c r="D1120" s="145"/>
      <c r="E1120" s="145"/>
      <c r="F1120" s="145"/>
      <c r="G1120" s="102"/>
      <c r="H1120" s="145"/>
      <c r="I1120" s="145"/>
      <c r="J1120" s="145"/>
      <c r="K1120" s="145"/>
      <c r="L1120" s="145"/>
      <c r="M1120" s="145"/>
      <c r="N1120" s="145"/>
      <c r="O1120" s="145"/>
    </row>
    <row r="1121" spans="1:15" x14ac:dyDescent="0.35">
      <c r="A1121" s="145"/>
      <c r="B1121" s="145"/>
      <c r="C1121" s="145"/>
      <c r="D1121" s="145"/>
      <c r="E1121" s="145"/>
      <c r="F1121" s="145"/>
      <c r="G1121" s="102"/>
      <c r="H1121" s="145"/>
      <c r="I1121" s="145"/>
      <c r="J1121" s="145"/>
      <c r="K1121" s="145"/>
      <c r="L1121" s="145"/>
      <c r="M1121" s="145"/>
      <c r="N1121" s="145"/>
      <c r="O1121" s="145"/>
    </row>
    <row r="1122" spans="1:15" x14ac:dyDescent="0.35">
      <c r="A1122" s="145"/>
      <c r="B1122" s="145"/>
      <c r="C1122" s="145"/>
      <c r="D1122" s="145"/>
      <c r="E1122" s="145"/>
      <c r="F1122" s="145"/>
      <c r="G1122" s="102"/>
      <c r="H1122" s="145"/>
      <c r="I1122" s="145"/>
      <c r="J1122" s="145"/>
      <c r="K1122" s="145"/>
      <c r="L1122" s="145"/>
      <c r="M1122" s="145"/>
      <c r="N1122" s="145"/>
      <c r="O1122" s="145"/>
    </row>
    <row r="1123" spans="1:15" x14ac:dyDescent="0.35">
      <c r="A1123" s="145"/>
      <c r="B1123" s="145"/>
      <c r="C1123" s="145"/>
      <c r="D1123" s="145"/>
      <c r="E1123" s="145"/>
      <c r="F1123" s="145"/>
      <c r="G1123" s="102"/>
      <c r="H1123" s="145"/>
      <c r="I1123" s="145"/>
      <c r="J1123" s="145"/>
      <c r="K1123" s="145"/>
      <c r="L1123" s="145"/>
      <c r="M1123" s="145"/>
      <c r="N1123" s="145"/>
      <c r="O1123" s="145"/>
    </row>
    <row r="1124" spans="1:15" x14ac:dyDescent="0.35">
      <c r="A1124" s="145"/>
      <c r="B1124" s="145"/>
      <c r="C1124" s="145"/>
      <c r="D1124" s="145"/>
      <c r="E1124" s="145"/>
      <c r="F1124" s="145"/>
      <c r="G1124" s="102"/>
      <c r="H1124" s="145"/>
      <c r="I1124" s="145"/>
      <c r="J1124" s="145"/>
      <c r="K1124" s="145"/>
      <c r="L1124" s="145"/>
      <c r="M1124" s="145"/>
      <c r="N1124" s="145"/>
      <c r="O1124" s="145"/>
    </row>
    <row r="1125" spans="1:15" x14ac:dyDescent="0.35">
      <c r="A1125" s="145"/>
      <c r="B1125" s="145"/>
      <c r="C1125" s="145"/>
      <c r="D1125" s="145"/>
      <c r="E1125" s="145"/>
      <c r="F1125" s="145"/>
      <c r="G1125" s="102"/>
      <c r="H1125" s="145"/>
      <c r="I1125" s="145"/>
      <c r="J1125" s="145"/>
      <c r="K1125" s="145"/>
      <c r="L1125" s="145"/>
      <c r="M1125" s="145"/>
      <c r="N1125" s="145"/>
      <c r="O1125" s="145"/>
    </row>
    <row r="1126" spans="1:15" x14ac:dyDescent="0.35">
      <c r="A1126" s="145"/>
      <c r="B1126" s="145"/>
      <c r="C1126" s="145"/>
      <c r="D1126" s="145"/>
      <c r="E1126" s="145"/>
      <c r="F1126" s="145"/>
      <c r="G1126" s="102"/>
      <c r="H1126" s="145"/>
      <c r="I1126" s="145"/>
      <c r="J1126" s="145"/>
      <c r="K1126" s="145"/>
      <c r="L1126" s="145"/>
      <c r="M1126" s="145"/>
      <c r="N1126" s="145"/>
      <c r="O1126" s="145"/>
    </row>
    <row r="1127" spans="1:15" x14ac:dyDescent="0.35">
      <c r="A1127" s="145"/>
      <c r="B1127" s="145"/>
      <c r="C1127" s="145"/>
      <c r="D1127" s="145"/>
      <c r="E1127" s="145"/>
      <c r="F1127" s="145"/>
      <c r="G1127" s="102"/>
      <c r="H1127" s="145"/>
      <c r="I1127" s="145"/>
      <c r="J1127" s="145"/>
      <c r="K1127" s="145"/>
      <c r="L1127" s="145"/>
      <c r="M1127" s="145"/>
      <c r="N1127" s="145"/>
      <c r="O1127" s="145"/>
    </row>
    <row r="1128" spans="1:15" x14ac:dyDescent="0.35">
      <c r="A1128" s="145"/>
      <c r="B1128" s="145"/>
      <c r="C1128" s="145"/>
      <c r="D1128" s="145"/>
      <c r="E1128" s="145"/>
      <c r="F1128" s="145"/>
      <c r="G1128" s="102"/>
      <c r="H1128" s="145"/>
      <c r="I1128" s="145"/>
      <c r="J1128" s="145"/>
      <c r="K1128" s="145"/>
      <c r="L1128" s="145"/>
      <c r="M1128" s="145"/>
    </row>
    <row r="1129" spans="1:15" x14ac:dyDescent="0.35">
      <c r="A1129" s="145"/>
      <c r="B1129" s="145"/>
      <c r="C1129" s="145"/>
      <c r="D1129" s="145"/>
      <c r="E1129" s="145"/>
      <c r="F1129" s="145"/>
      <c r="G1129" s="102"/>
      <c r="H1129" s="145"/>
      <c r="I1129" s="145"/>
      <c r="J1129" s="145"/>
      <c r="K1129" s="145"/>
      <c r="L1129" s="145"/>
      <c r="M1129" s="145"/>
    </row>
    <row r="1130" spans="1:15" x14ac:dyDescent="0.35">
      <c r="A1130" s="145"/>
      <c r="B1130" s="145"/>
      <c r="C1130" s="145"/>
      <c r="D1130" s="145"/>
      <c r="E1130" s="145"/>
      <c r="F1130" s="145"/>
      <c r="G1130" s="102"/>
      <c r="H1130" s="145"/>
      <c r="I1130" s="145"/>
      <c r="J1130" s="145"/>
      <c r="K1130" s="145"/>
      <c r="L1130" s="145"/>
      <c r="M1130" s="145"/>
    </row>
    <row r="1131" spans="1:15" x14ac:dyDescent="0.35">
      <c r="A1131" s="145"/>
      <c r="B1131" s="145"/>
      <c r="C1131" s="145"/>
      <c r="D1131" s="145"/>
      <c r="E1131" s="145"/>
      <c r="F1131" s="145"/>
      <c r="G1131" s="102"/>
      <c r="H1131" s="145"/>
      <c r="I1131" s="145"/>
      <c r="J1131" s="145"/>
      <c r="K1131" s="145"/>
      <c r="L1131" s="145"/>
      <c r="M1131" s="145"/>
    </row>
    <row r="1132" spans="1:15" x14ac:dyDescent="0.35">
      <c r="A1132" s="145"/>
      <c r="B1132" s="145"/>
      <c r="C1132" s="145"/>
      <c r="D1132" s="145"/>
      <c r="E1132" s="145"/>
      <c r="F1132" s="145"/>
      <c r="G1132" s="102"/>
      <c r="H1132" s="145"/>
      <c r="I1132" s="145"/>
      <c r="J1132" s="145"/>
      <c r="K1132" s="145"/>
      <c r="L1132" s="145"/>
      <c r="M1132" s="145"/>
    </row>
    <row r="1133" spans="1:15" x14ac:dyDescent="0.35">
      <c r="A1133" s="145"/>
      <c r="B1133" s="145"/>
      <c r="C1133" s="145"/>
      <c r="D1133" s="145"/>
      <c r="E1133" s="145"/>
      <c r="F1133" s="145"/>
      <c r="G1133" s="102"/>
      <c r="H1133" s="145"/>
      <c r="I1133" s="145"/>
      <c r="J1133" s="145"/>
      <c r="K1133" s="145"/>
      <c r="L1133" s="145"/>
      <c r="M1133" s="145"/>
      <c r="N1133" s="145"/>
      <c r="O1133" s="145"/>
    </row>
    <row r="1134" spans="1:15" x14ac:dyDescent="0.35">
      <c r="A1134" s="145"/>
      <c r="B1134" s="145"/>
      <c r="C1134" s="145"/>
      <c r="D1134" s="145"/>
      <c r="E1134" s="145"/>
      <c r="F1134" s="145"/>
      <c r="G1134" s="102"/>
      <c r="H1134" s="145"/>
      <c r="I1134" s="145"/>
      <c r="J1134" s="145"/>
      <c r="K1134" s="145"/>
      <c r="L1134" s="145"/>
      <c r="M1134" s="145"/>
      <c r="N1134" s="145"/>
      <c r="O1134" s="145"/>
    </row>
    <row r="1135" spans="1:15" x14ac:dyDescent="0.35">
      <c r="A1135" s="145"/>
      <c r="B1135" s="145"/>
      <c r="C1135" s="145"/>
      <c r="D1135" s="145"/>
      <c r="E1135" s="145"/>
      <c r="F1135" s="145"/>
      <c r="G1135" s="102"/>
      <c r="H1135" s="145"/>
      <c r="I1135" s="145"/>
      <c r="J1135" s="145"/>
      <c r="K1135" s="145"/>
      <c r="L1135" s="145"/>
      <c r="M1135" s="145"/>
      <c r="N1135" s="145"/>
      <c r="O1135" s="145"/>
    </row>
    <row r="1136" spans="1:15" x14ac:dyDescent="0.35">
      <c r="A1136" s="145"/>
      <c r="B1136" s="145"/>
      <c r="C1136" s="145"/>
      <c r="D1136" s="145"/>
      <c r="E1136" s="145"/>
      <c r="F1136" s="145"/>
      <c r="G1136" s="102"/>
      <c r="H1136" s="145"/>
      <c r="I1136" s="145"/>
      <c r="J1136" s="145"/>
      <c r="K1136" s="145"/>
      <c r="L1136" s="145"/>
      <c r="M1136" s="145"/>
      <c r="N1136" s="145"/>
      <c r="O1136" s="145"/>
    </row>
    <row r="1137" spans="1:15" x14ac:dyDescent="0.35">
      <c r="A1137" s="145"/>
      <c r="B1137" s="145"/>
      <c r="C1137" s="145"/>
      <c r="D1137" s="145"/>
      <c r="E1137" s="145"/>
      <c r="F1137" s="145"/>
      <c r="G1137" s="102"/>
      <c r="H1137" s="145"/>
      <c r="I1137" s="145"/>
      <c r="J1137" s="145"/>
      <c r="K1137" s="145"/>
      <c r="L1137" s="145"/>
      <c r="M1137" s="145"/>
      <c r="N1137" s="145"/>
      <c r="O1137" s="145"/>
    </row>
    <row r="1138" spans="1:15" x14ac:dyDescent="0.35">
      <c r="A1138" s="145"/>
      <c r="B1138" s="145"/>
      <c r="C1138" s="145"/>
      <c r="D1138" s="145"/>
      <c r="E1138" s="145"/>
      <c r="F1138" s="145"/>
      <c r="G1138" s="102"/>
      <c r="H1138" s="145"/>
      <c r="I1138" s="145"/>
      <c r="J1138" s="145"/>
      <c r="K1138" s="145"/>
      <c r="L1138" s="145"/>
      <c r="M1138" s="145"/>
      <c r="N1138" s="145"/>
      <c r="O1138" s="145"/>
    </row>
    <row r="1139" spans="1:15" x14ac:dyDescent="0.35">
      <c r="A1139" s="145"/>
      <c r="B1139" s="145"/>
      <c r="C1139" s="145"/>
      <c r="D1139" s="145"/>
      <c r="E1139" s="145"/>
      <c r="F1139" s="145"/>
      <c r="G1139" s="102"/>
      <c r="H1139" s="145"/>
      <c r="I1139" s="145"/>
      <c r="J1139" s="145"/>
      <c r="K1139" s="145"/>
      <c r="L1139" s="145"/>
      <c r="M1139" s="145"/>
      <c r="N1139" s="145"/>
      <c r="O1139" s="145"/>
    </row>
    <row r="1140" spans="1:15" x14ac:dyDescent="0.35">
      <c r="A1140" s="145"/>
      <c r="B1140" s="145"/>
      <c r="C1140" s="145"/>
      <c r="D1140" s="145"/>
      <c r="E1140" s="145"/>
      <c r="F1140" s="145"/>
      <c r="G1140" s="102"/>
      <c r="H1140" s="145"/>
      <c r="I1140" s="145"/>
      <c r="J1140" s="145"/>
      <c r="K1140" s="145"/>
      <c r="L1140" s="145"/>
      <c r="M1140" s="145"/>
      <c r="N1140" s="145"/>
      <c r="O1140" s="145"/>
    </row>
    <row r="1141" spans="1:15" x14ac:dyDescent="0.35">
      <c r="A1141" s="145"/>
      <c r="B1141" s="145"/>
      <c r="C1141" s="145"/>
      <c r="D1141" s="145"/>
      <c r="E1141" s="145"/>
      <c r="F1141" s="145"/>
      <c r="G1141" s="102"/>
      <c r="H1141" s="145"/>
      <c r="I1141" s="145"/>
      <c r="J1141" s="145"/>
      <c r="K1141" s="145"/>
      <c r="L1141" s="145"/>
      <c r="M1141" s="145"/>
      <c r="N1141" s="145"/>
      <c r="O1141" s="145"/>
    </row>
    <row r="1142" spans="1:15" x14ac:dyDescent="0.35">
      <c r="A1142" s="145"/>
      <c r="B1142" s="145"/>
      <c r="C1142" s="145"/>
      <c r="D1142" s="145"/>
      <c r="E1142" s="145"/>
      <c r="F1142" s="145"/>
      <c r="G1142" s="102"/>
      <c r="H1142" s="145"/>
      <c r="I1142" s="145"/>
      <c r="J1142" s="145"/>
      <c r="K1142" s="145"/>
      <c r="L1142" s="145"/>
      <c r="M1142" s="145"/>
      <c r="N1142" s="145"/>
      <c r="O1142" s="145"/>
    </row>
    <row r="1143" spans="1:15" x14ac:dyDescent="0.35">
      <c r="A1143" s="145"/>
      <c r="B1143" s="145"/>
      <c r="C1143" s="145"/>
      <c r="D1143" s="145"/>
      <c r="E1143" s="145"/>
      <c r="F1143" s="145"/>
      <c r="G1143" s="102"/>
      <c r="H1143" s="145"/>
      <c r="I1143" s="145"/>
      <c r="J1143" s="145"/>
      <c r="K1143" s="145"/>
      <c r="L1143" s="145"/>
      <c r="M1143" s="145"/>
      <c r="N1143" s="145"/>
      <c r="O1143" s="145"/>
    </row>
    <row r="1144" spans="1:15" x14ac:dyDescent="0.35">
      <c r="A1144" s="145"/>
      <c r="B1144" s="145"/>
      <c r="C1144" s="145"/>
      <c r="D1144" s="145"/>
      <c r="E1144" s="145"/>
      <c r="F1144" s="145"/>
      <c r="G1144" s="102"/>
      <c r="H1144" s="145"/>
      <c r="I1144" s="145"/>
      <c r="J1144" s="145"/>
      <c r="K1144" s="145"/>
      <c r="L1144" s="145"/>
      <c r="M1144" s="145"/>
      <c r="N1144" s="31"/>
      <c r="O1144" s="31"/>
    </row>
    <row r="1145" spans="1:15" x14ac:dyDescent="0.35">
      <c r="A1145" s="145"/>
      <c r="B1145" s="145"/>
      <c r="C1145" s="145"/>
      <c r="D1145" s="145"/>
      <c r="E1145" s="145"/>
      <c r="F1145" s="145"/>
      <c r="G1145" s="102"/>
      <c r="H1145" s="145"/>
      <c r="I1145" s="145"/>
      <c r="J1145" s="145"/>
      <c r="K1145" s="145"/>
      <c r="L1145" s="145"/>
      <c r="M1145" s="145"/>
      <c r="N1145" s="145"/>
      <c r="O1145" s="145"/>
    </row>
    <row r="1146" spans="1:15" x14ac:dyDescent="0.35">
      <c r="A1146" s="145"/>
      <c r="B1146" s="145"/>
      <c r="C1146" s="145"/>
      <c r="D1146" s="145"/>
      <c r="E1146" s="145"/>
      <c r="F1146" s="145"/>
      <c r="G1146" s="102"/>
      <c r="H1146" s="145"/>
      <c r="I1146" s="145"/>
      <c r="J1146" s="145"/>
      <c r="K1146" s="145"/>
      <c r="L1146" s="145"/>
      <c r="M1146" s="145"/>
      <c r="N1146" s="145"/>
      <c r="O1146" s="145"/>
    </row>
    <row r="1147" spans="1:15" x14ac:dyDescent="0.35">
      <c r="A1147" s="145"/>
      <c r="B1147" s="145"/>
      <c r="C1147" s="145"/>
      <c r="D1147" s="145"/>
      <c r="E1147" s="145"/>
      <c r="F1147" s="145"/>
      <c r="G1147" s="102"/>
      <c r="H1147" s="145"/>
      <c r="I1147" s="145"/>
      <c r="J1147" s="145"/>
      <c r="K1147" s="145"/>
      <c r="L1147" s="145"/>
      <c r="M1147" s="145"/>
      <c r="N1147" s="145"/>
      <c r="O1147" s="145"/>
    </row>
    <row r="1148" spans="1:15" x14ac:dyDescent="0.35">
      <c r="A1148" s="145"/>
      <c r="B1148" s="145"/>
      <c r="C1148" s="145"/>
      <c r="D1148" s="145"/>
      <c r="E1148" s="145"/>
      <c r="F1148" s="145"/>
      <c r="G1148" s="102"/>
      <c r="H1148" s="145"/>
      <c r="I1148" s="145"/>
      <c r="J1148" s="145"/>
      <c r="K1148" s="145"/>
      <c r="L1148" s="145"/>
      <c r="M1148" s="145"/>
      <c r="N1148" s="145"/>
      <c r="O1148" s="145"/>
    </row>
    <row r="1149" spans="1:15" x14ac:dyDescent="0.35">
      <c r="A1149" s="145"/>
      <c r="B1149" s="145"/>
      <c r="C1149" s="145"/>
      <c r="D1149" s="145"/>
      <c r="E1149" s="145"/>
      <c r="F1149" s="145"/>
      <c r="G1149" s="102"/>
      <c r="H1149" s="145"/>
      <c r="I1149" s="145"/>
      <c r="J1149" s="145"/>
      <c r="K1149" s="145"/>
      <c r="L1149" s="145"/>
      <c r="M1149" s="145"/>
      <c r="N1149" s="145"/>
      <c r="O1149" s="145"/>
    </row>
    <row r="1150" spans="1:15" x14ac:dyDescent="0.35">
      <c r="A1150" s="145"/>
      <c r="B1150" s="145"/>
      <c r="C1150" s="145"/>
      <c r="D1150" s="145"/>
      <c r="E1150" s="145"/>
      <c r="F1150" s="145"/>
      <c r="G1150" s="102"/>
      <c r="H1150" s="145"/>
      <c r="I1150" s="145"/>
      <c r="J1150" s="145"/>
      <c r="K1150" s="145"/>
      <c r="L1150" s="145"/>
      <c r="M1150" s="145"/>
      <c r="N1150" s="145"/>
      <c r="O1150" s="145"/>
    </row>
    <row r="1151" spans="1:15" x14ac:dyDescent="0.35">
      <c r="A1151" s="145"/>
      <c r="B1151" s="145"/>
      <c r="C1151" s="145"/>
      <c r="D1151" s="145"/>
      <c r="E1151" s="145"/>
      <c r="F1151" s="145"/>
      <c r="G1151" s="102"/>
      <c r="H1151" s="145"/>
      <c r="I1151" s="145"/>
      <c r="J1151" s="145"/>
      <c r="K1151" s="145"/>
      <c r="L1151" s="145"/>
      <c r="M1151" s="145"/>
      <c r="N1151" s="145"/>
      <c r="O1151" s="145"/>
    </row>
    <row r="1152" spans="1:15" x14ac:dyDescent="0.35">
      <c r="A1152" s="145"/>
      <c r="B1152" s="145"/>
      <c r="C1152" s="145"/>
      <c r="D1152" s="145"/>
      <c r="E1152" s="145"/>
      <c r="F1152" s="145"/>
      <c r="G1152" s="102"/>
      <c r="H1152" s="145"/>
      <c r="I1152" s="145"/>
      <c r="J1152" s="145"/>
      <c r="K1152" s="145"/>
      <c r="L1152" s="145"/>
      <c r="M1152" s="145"/>
      <c r="N1152" s="145"/>
      <c r="O1152" s="145"/>
    </row>
    <row r="1153" spans="1:15" x14ac:dyDescent="0.35">
      <c r="A1153" s="145"/>
      <c r="B1153" s="145"/>
      <c r="C1153" s="145"/>
      <c r="D1153" s="145"/>
      <c r="E1153" s="145"/>
      <c r="F1153" s="145"/>
      <c r="G1153" s="102"/>
      <c r="H1153" s="145"/>
      <c r="I1153" s="145"/>
      <c r="J1153" s="145"/>
      <c r="K1153" s="145"/>
      <c r="L1153" s="145"/>
      <c r="M1153" s="145"/>
      <c r="N1153" s="145"/>
      <c r="O1153" s="145"/>
    </row>
    <row r="1154" spans="1:15" x14ac:dyDescent="0.35">
      <c r="A1154" s="145"/>
      <c r="B1154" s="145"/>
      <c r="C1154" s="145"/>
      <c r="D1154" s="145"/>
      <c r="E1154" s="145"/>
      <c r="F1154" s="145"/>
      <c r="G1154" s="102"/>
      <c r="H1154" s="145"/>
      <c r="I1154" s="145"/>
      <c r="J1154" s="145"/>
      <c r="K1154" s="145"/>
      <c r="L1154" s="145"/>
      <c r="M1154" s="145"/>
      <c r="N1154" s="145"/>
      <c r="O1154" s="145"/>
    </row>
    <row r="1155" spans="1:15" x14ac:dyDescent="0.35">
      <c r="A1155" s="145"/>
      <c r="B1155" s="145"/>
      <c r="C1155" s="145"/>
      <c r="D1155" s="145"/>
      <c r="E1155" s="145"/>
      <c r="F1155" s="145"/>
      <c r="G1155" s="102"/>
      <c r="H1155" s="145"/>
      <c r="I1155" s="145"/>
      <c r="J1155" s="145"/>
      <c r="K1155" s="145"/>
      <c r="L1155" s="145"/>
      <c r="M1155" s="145"/>
      <c r="N1155" s="145"/>
      <c r="O1155" s="145"/>
    </row>
    <row r="1156" spans="1:15" x14ac:dyDescent="0.35">
      <c r="A1156" s="145"/>
      <c r="B1156" s="145"/>
      <c r="C1156" s="145"/>
      <c r="D1156" s="145"/>
      <c r="E1156" s="145"/>
      <c r="F1156" s="145"/>
      <c r="G1156" s="102"/>
      <c r="H1156" s="145"/>
      <c r="I1156" s="145"/>
      <c r="J1156" s="145"/>
      <c r="K1156" s="145"/>
      <c r="L1156" s="145"/>
      <c r="M1156" s="145"/>
      <c r="N1156" s="145"/>
      <c r="O1156" s="145"/>
    </row>
    <row r="1157" spans="1:15" x14ac:dyDescent="0.35">
      <c r="A1157" s="145"/>
      <c r="B1157" s="145"/>
      <c r="C1157" s="145"/>
      <c r="D1157" s="145"/>
      <c r="E1157" s="145"/>
      <c r="F1157" s="145"/>
      <c r="G1157" s="102"/>
      <c r="H1157" s="145"/>
      <c r="I1157" s="145"/>
      <c r="J1157" s="145"/>
      <c r="K1157" s="145"/>
      <c r="L1157" s="145"/>
      <c r="M1157" s="145"/>
      <c r="N1157" s="145"/>
      <c r="O1157" s="145"/>
    </row>
    <row r="1158" spans="1:15" x14ac:dyDescent="0.35">
      <c r="A1158" s="145"/>
      <c r="B1158" s="145"/>
      <c r="C1158" s="145"/>
      <c r="D1158" s="145"/>
      <c r="E1158" s="145"/>
      <c r="F1158" s="145"/>
      <c r="G1158" s="102"/>
      <c r="H1158" s="145"/>
      <c r="I1158" s="145"/>
      <c r="J1158" s="145"/>
      <c r="K1158" s="145"/>
      <c r="L1158" s="145"/>
      <c r="M1158" s="145"/>
      <c r="N1158" s="145"/>
      <c r="O1158" s="145"/>
    </row>
    <row r="1159" spans="1:15" x14ac:dyDescent="0.35">
      <c r="A1159" s="145"/>
      <c r="B1159" s="145"/>
      <c r="C1159" s="145"/>
      <c r="D1159" s="145"/>
      <c r="E1159" s="145"/>
      <c r="F1159" s="145"/>
      <c r="G1159" s="102"/>
      <c r="H1159" s="145"/>
      <c r="I1159" s="145"/>
      <c r="J1159" s="145"/>
      <c r="K1159" s="145"/>
      <c r="L1159" s="145"/>
      <c r="M1159" s="145"/>
      <c r="N1159" s="145"/>
      <c r="O1159" s="145"/>
    </row>
    <row r="1160" spans="1:15" x14ac:dyDescent="0.35">
      <c r="A1160" s="145"/>
      <c r="B1160" s="145"/>
      <c r="C1160" s="145"/>
      <c r="D1160" s="145"/>
      <c r="E1160" s="145"/>
      <c r="F1160" s="145"/>
      <c r="G1160" s="102"/>
      <c r="H1160" s="145"/>
      <c r="I1160" s="145"/>
      <c r="J1160" s="145"/>
      <c r="K1160" s="145"/>
      <c r="L1160" s="145"/>
      <c r="M1160" s="145"/>
      <c r="N1160" s="145"/>
      <c r="O1160" s="145"/>
    </row>
    <row r="1161" spans="1:15" x14ac:dyDescent="0.35">
      <c r="A1161" s="145"/>
      <c r="B1161" s="145"/>
      <c r="C1161" s="145"/>
      <c r="D1161" s="145"/>
      <c r="E1161" s="145"/>
      <c r="F1161" s="145"/>
      <c r="G1161" s="102"/>
      <c r="H1161" s="145"/>
      <c r="I1161" s="145"/>
      <c r="J1161" s="145"/>
      <c r="K1161" s="145"/>
      <c r="L1161" s="145"/>
      <c r="M1161" s="145"/>
      <c r="N1161" s="145"/>
      <c r="O1161" s="145"/>
    </row>
    <row r="1162" spans="1:15" x14ac:dyDescent="0.35">
      <c r="A1162" s="145"/>
      <c r="B1162" s="145"/>
      <c r="C1162" s="145"/>
      <c r="D1162" s="145"/>
      <c r="E1162" s="145"/>
      <c r="F1162" s="145"/>
      <c r="G1162" s="102"/>
      <c r="H1162" s="145"/>
      <c r="I1162" s="145"/>
      <c r="J1162" s="145"/>
      <c r="K1162" s="145"/>
      <c r="L1162" s="145"/>
      <c r="M1162" s="145"/>
      <c r="N1162" s="145"/>
      <c r="O1162" s="145"/>
    </row>
    <row r="1163" spans="1:15" x14ac:dyDescent="0.35">
      <c r="A1163" s="145"/>
      <c r="B1163" s="145"/>
      <c r="C1163" s="145"/>
      <c r="D1163" s="145"/>
      <c r="E1163" s="145"/>
      <c r="F1163" s="145"/>
      <c r="G1163" s="102"/>
      <c r="H1163" s="145"/>
      <c r="I1163" s="145"/>
      <c r="J1163" s="145"/>
      <c r="K1163" s="145"/>
      <c r="L1163" s="145"/>
      <c r="M1163" s="145"/>
      <c r="N1163" s="145"/>
      <c r="O1163" s="145"/>
    </row>
    <row r="1164" spans="1:15" x14ac:dyDescent="0.35">
      <c r="A1164" s="145"/>
      <c r="B1164" s="145"/>
      <c r="C1164" s="145"/>
      <c r="D1164" s="145"/>
      <c r="E1164" s="145"/>
      <c r="F1164" s="145"/>
      <c r="G1164" s="102"/>
      <c r="H1164" s="145"/>
      <c r="I1164" s="145"/>
      <c r="J1164" s="145"/>
      <c r="K1164" s="145"/>
      <c r="L1164" s="145"/>
      <c r="M1164" s="145"/>
      <c r="N1164" s="145"/>
      <c r="O1164" s="145"/>
    </row>
    <row r="1165" spans="1:15" x14ac:dyDescent="0.35">
      <c r="A1165" s="145"/>
      <c r="B1165" s="145"/>
      <c r="C1165" s="145"/>
      <c r="D1165" s="145"/>
      <c r="E1165" s="145"/>
      <c r="F1165" s="145"/>
      <c r="G1165" s="102"/>
      <c r="H1165" s="145"/>
      <c r="I1165" s="145"/>
      <c r="J1165" s="145"/>
      <c r="K1165" s="145"/>
      <c r="L1165" s="145"/>
      <c r="M1165" s="145"/>
      <c r="N1165" s="145"/>
      <c r="O1165" s="145"/>
    </row>
    <row r="1166" spans="1:15" x14ac:dyDescent="0.35">
      <c r="A1166" s="145"/>
      <c r="B1166" s="145"/>
      <c r="C1166" s="145"/>
      <c r="D1166" s="145"/>
      <c r="E1166" s="145"/>
      <c r="F1166" s="145"/>
      <c r="G1166" s="102"/>
      <c r="H1166" s="145"/>
      <c r="I1166" s="145"/>
      <c r="J1166" s="145"/>
      <c r="K1166" s="145"/>
      <c r="L1166" s="145"/>
      <c r="M1166" s="145"/>
    </row>
    <row r="1167" spans="1:15" x14ac:dyDescent="0.35">
      <c r="A1167" s="145"/>
      <c r="B1167" s="145"/>
      <c r="C1167" s="145"/>
      <c r="D1167" s="145"/>
      <c r="E1167" s="145"/>
      <c r="F1167" s="145"/>
      <c r="G1167" s="102"/>
      <c r="H1167" s="145"/>
      <c r="I1167" s="145"/>
      <c r="J1167" s="145"/>
      <c r="K1167" s="145"/>
      <c r="L1167" s="145"/>
      <c r="M1167" s="145"/>
      <c r="N1167" s="145"/>
      <c r="O1167" s="145"/>
    </row>
    <row r="1168" spans="1:15" x14ac:dyDescent="0.35">
      <c r="A1168" s="145"/>
      <c r="B1168" s="145"/>
      <c r="C1168" s="145"/>
      <c r="D1168" s="145"/>
      <c r="E1168" s="145"/>
      <c r="F1168" s="145"/>
      <c r="G1168" s="102"/>
      <c r="H1168" s="145"/>
      <c r="I1168" s="145"/>
      <c r="J1168" s="145"/>
      <c r="K1168" s="145"/>
      <c r="L1168" s="145"/>
      <c r="M1168" s="145"/>
      <c r="N1168" s="145"/>
      <c r="O1168" s="145"/>
    </row>
    <row r="1169" spans="1:15" x14ac:dyDescent="0.35">
      <c r="A1169" s="145"/>
      <c r="B1169" s="145"/>
      <c r="C1169" s="145"/>
      <c r="D1169" s="145"/>
      <c r="E1169" s="145"/>
      <c r="F1169" s="145"/>
      <c r="G1169" s="102"/>
      <c r="H1169" s="145"/>
      <c r="I1169" s="145"/>
      <c r="J1169" s="145"/>
      <c r="K1169" s="145"/>
      <c r="L1169" s="145"/>
      <c r="M1169" s="145"/>
      <c r="N1169" s="145"/>
      <c r="O1169" s="145"/>
    </row>
    <row r="1170" spans="1:15" x14ac:dyDescent="0.35">
      <c r="A1170" s="145"/>
      <c r="B1170" s="145"/>
      <c r="C1170" s="145"/>
      <c r="D1170" s="145"/>
      <c r="E1170" s="145"/>
      <c r="F1170" s="145"/>
      <c r="G1170" s="102"/>
      <c r="H1170" s="145"/>
      <c r="I1170" s="145"/>
      <c r="J1170" s="145"/>
      <c r="K1170" s="145"/>
      <c r="L1170" s="145"/>
      <c r="M1170" s="145"/>
      <c r="N1170" s="145"/>
      <c r="O1170" s="145"/>
    </row>
    <row r="1171" spans="1:15" x14ac:dyDescent="0.35">
      <c r="A1171" s="145"/>
      <c r="B1171" s="145"/>
      <c r="C1171" s="145"/>
      <c r="D1171" s="145"/>
      <c r="E1171" s="145"/>
      <c r="F1171" s="145"/>
      <c r="G1171" s="102"/>
      <c r="H1171" s="145"/>
      <c r="I1171" s="145"/>
      <c r="J1171" s="145"/>
      <c r="K1171" s="145"/>
      <c r="L1171" s="145"/>
      <c r="M1171" s="145"/>
      <c r="N1171" s="145"/>
      <c r="O1171" s="145"/>
    </row>
    <row r="1172" spans="1:15" x14ac:dyDescent="0.35">
      <c r="A1172" s="145"/>
      <c r="B1172" s="145"/>
      <c r="C1172" s="145"/>
      <c r="D1172" s="145"/>
      <c r="E1172" s="145"/>
      <c r="F1172" s="145"/>
      <c r="G1172" s="102"/>
      <c r="H1172" s="145"/>
      <c r="I1172" s="145"/>
      <c r="J1172" s="145"/>
      <c r="K1172" s="145"/>
      <c r="L1172" s="145"/>
      <c r="M1172" s="145"/>
      <c r="N1172" s="145"/>
      <c r="O1172" s="145"/>
    </row>
    <row r="1173" spans="1:15" x14ac:dyDescent="0.35">
      <c r="A1173" s="145"/>
      <c r="B1173" s="145"/>
      <c r="C1173" s="145"/>
      <c r="D1173" s="145"/>
      <c r="E1173" s="145"/>
      <c r="F1173" s="145"/>
      <c r="G1173" s="102"/>
      <c r="H1173" s="145"/>
      <c r="I1173" s="145"/>
      <c r="J1173" s="145"/>
      <c r="K1173" s="145"/>
      <c r="L1173" s="145"/>
      <c r="M1173" s="145"/>
      <c r="N1173" s="145"/>
      <c r="O1173" s="145"/>
    </row>
    <row r="1174" spans="1:15" x14ac:dyDescent="0.35">
      <c r="A1174" s="145"/>
      <c r="B1174" s="145"/>
      <c r="C1174" s="145"/>
      <c r="D1174" s="145"/>
      <c r="E1174" s="145"/>
      <c r="F1174" s="145"/>
      <c r="G1174" s="102"/>
      <c r="H1174" s="145"/>
      <c r="I1174" s="145"/>
      <c r="J1174" s="145"/>
      <c r="K1174" s="145"/>
      <c r="L1174" s="145"/>
      <c r="M1174" s="145"/>
      <c r="N1174" s="145"/>
      <c r="O1174" s="145"/>
    </row>
    <row r="1175" spans="1:15" x14ac:dyDescent="0.35">
      <c r="A1175" s="145"/>
      <c r="B1175" s="145"/>
      <c r="C1175" s="145"/>
      <c r="D1175" s="145"/>
      <c r="E1175" s="145"/>
      <c r="F1175" s="145"/>
      <c r="G1175" s="102"/>
      <c r="H1175" s="145"/>
      <c r="I1175" s="145"/>
      <c r="J1175" s="145"/>
      <c r="K1175" s="145"/>
      <c r="L1175" s="145"/>
      <c r="M1175" s="145"/>
      <c r="N1175" s="145"/>
      <c r="O1175" s="145"/>
    </row>
    <row r="1176" spans="1:15" x14ac:dyDescent="0.35">
      <c r="A1176" s="145"/>
      <c r="B1176" s="145"/>
      <c r="C1176" s="145"/>
      <c r="D1176" s="145"/>
      <c r="E1176" s="145"/>
      <c r="F1176" s="145"/>
      <c r="G1176" s="102"/>
      <c r="H1176" s="145"/>
      <c r="I1176" s="145"/>
      <c r="J1176" s="145"/>
      <c r="K1176" s="145"/>
      <c r="L1176" s="145"/>
      <c r="M1176" s="145"/>
      <c r="N1176" s="145"/>
      <c r="O1176" s="145"/>
    </row>
    <row r="1177" spans="1:15" x14ac:dyDescent="0.35">
      <c r="A1177" s="145"/>
      <c r="B1177" s="145"/>
      <c r="C1177" s="145"/>
      <c r="D1177" s="145"/>
      <c r="E1177" s="145"/>
      <c r="F1177" s="145"/>
      <c r="G1177" s="102"/>
      <c r="H1177" s="145"/>
      <c r="I1177" s="145"/>
      <c r="J1177" s="145"/>
      <c r="K1177" s="145"/>
      <c r="L1177" s="145"/>
      <c r="M1177" s="145"/>
      <c r="N1177" s="145"/>
      <c r="O1177" s="145"/>
    </row>
    <row r="1178" spans="1:15" x14ac:dyDescent="0.35">
      <c r="A1178" s="145"/>
      <c r="B1178" s="145"/>
      <c r="C1178" s="145"/>
      <c r="D1178" s="145"/>
      <c r="E1178" s="145"/>
      <c r="F1178" s="145"/>
      <c r="G1178" s="102"/>
      <c r="H1178" s="145"/>
      <c r="I1178" s="145"/>
      <c r="J1178" s="145"/>
      <c r="K1178" s="145"/>
      <c r="L1178" s="145"/>
      <c r="M1178" s="145"/>
      <c r="N1178" s="145"/>
      <c r="O1178" s="145"/>
    </row>
    <row r="1179" spans="1:15" x14ac:dyDescent="0.35">
      <c r="A1179" s="145"/>
      <c r="B1179" s="145"/>
      <c r="C1179" s="145"/>
      <c r="D1179" s="145"/>
      <c r="E1179" s="145"/>
      <c r="F1179" s="145"/>
      <c r="G1179" s="102"/>
      <c r="H1179" s="145"/>
      <c r="I1179" s="145"/>
      <c r="J1179" s="145"/>
      <c r="K1179" s="145"/>
      <c r="L1179" s="145"/>
      <c r="M1179" s="145"/>
      <c r="N1179" s="145"/>
      <c r="O1179" s="145"/>
    </row>
    <row r="1180" spans="1:15" x14ac:dyDescent="0.35">
      <c r="A1180" s="145"/>
      <c r="B1180" s="145"/>
      <c r="C1180" s="145"/>
      <c r="D1180" s="145"/>
      <c r="E1180" s="145"/>
      <c r="F1180" s="145"/>
      <c r="G1180" s="102"/>
      <c r="H1180" s="145"/>
      <c r="I1180" s="145"/>
      <c r="J1180" s="145"/>
      <c r="K1180" s="145"/>
      <c r="L1180" s="145"/>
      <c r="M1180" s="145"/>
      <c r="N1180" s="145"/>
      <c r="O1180" s="145"/>
    </row>
    <row r="1181" spans="1:15" x14ac:dyDescent="0.35">
      <c r="A1181" s="145"/>
      <c r="B1181" s="145"/>
      <c r="C1181" s="145"/>
      <c r="D1181" s="145"/>
      <c r="E1181" s="145"/>
      <c r="F1181" s="145"/>
      <c r="G1181" s="102"/>
      <c r="H1181" s="145"/>
      <c r="I1181" s="145"/>
      <c r="J1181" s="145"/>
      <c r="K1181" s="145"/>
      <c r="L1181" s="145"/>
      <c r="M1181" s="145"/>
      <c r="N1181" s="145"/>
      <c r="O1181" s="145"/>
    </row>
    <row r="1182" spans="1:15" x14ac:dyDescent="0.35">
      <c r="A1182" s="145"/>
      <c r="B1182" s="145"/>
      <c r="C1182" s="145"/>
      <c r="D1182" s="145"/>
      <c r="E1182" s="145"/>
      <c r="F1182" s="145"/>
      <c r="G1182" s="102"/>
      <c r="H1182" s="145"/>
      <c r="I1182" s="145"/>
      <c r="J1182" s="145"/>
      <c r="K1182" s="145"/>
      <c r="L1182" s="145"/>
      <c r="M1182" s="145"/>
    </row>
    <row r="1183" spans="1:15" x14ac:dyDescent="0.35">
      <c r="A1183" s="145"/>
      <c r="B1183" s="145"/>
      <c r="C1183" s="145"/>
      <c r="D1183" s="145"/>
      <c r="E1183" s="145"/>
      <c r="F1183" s="145"/>
      <c r="G1183" s="102"/>
      <c r="H1183" s="145"/>
      <c r="I1183" s="145"/>
      <c r="J1183" s="145"/>
      <c r="K1183" s="145"/>
      <c r="L1183" s="145"/>
      <c r="M1183" s="145"/>
      <c r="N1183" s="31"/>
      <c r="O1183" s="31"/>
    </row>
    <row r="1184" spans="1:15" x14ac:dyDescent="0.35">
      <c r="A1184" s="145"/>
      <c r="B1184" s="145"/>
      <c r="C1184" s="145"/>
      <c r="D1184" s="145"/>
      <c r="E1184" s="145"/>
      <c r="F1184" s="145"/>
      <c r="G1184" s="102"/>
      <c r="H1184" s="145"/>
      <c r="I1184" s="145"/>
      <c r="J1184" s="145"/>
      <c r="K1184" s="145"/>
      <c r="L1184" s="145"/>
      <c r="M1184" s="145"/>
    </row>
    <row r="1185" spans="1:15" x14ac:dyDescent="0.35">
      <c r="A1185" s="145"/>
      <c r="B1185" s="145"/>
      <c r="C1185" s="145"/>
      <c r="D1185" s="145"/>
      <c r="E1185" s="145"/>
      <c r="F1185" s="145"/>
      <c r="G1185" s="102"/>
      <c r="H1185" s="145"/>
      <c r="I1185" s="145"/>
      <c r="J1185" s="145"/>
      <c r="K1185" s="145"/>
      <c r="L1185" s="145"/>
      <c r="M1185" s="145"/>
    </row>
    <row r="1186" spans="1:15" x14ac:dyDescent="0.35">
      <c r="A1186" s="145"/>
      <c r="B1186" s="145"/>
      <c r="C1186" s="145"/>
      <c r="D1186" s="145"/>
      <c r="E1186" s="145"/>
      <c r="F1186" s="145"/>
      <c r="G1186" s="102"/>
      <c r="H1186" s="145"/>
      <c r="I1186" s="145"/>
      <c r="J1186" s="145"/>
      <c r="K1186" s="145"/>
      <c r="L1186" s="145"/>
      <c r="M1186" s="145"/>
      <c r="N1186" s="145"/>
      <c r="O1186" s="145"/>
    </row>
    <row r="1187" spans="1:15" x14ac:dyDescent="0.35">
      <c r="A1187" s="145"/>
      <c r="B1187" s="145"/>
      <c r="C1187" s="145"/>
      <c r="D1187" s="145"/>
      <c r="E1187" s="145"/>
      <c r="F1187" s="145"/>
      <c r="G1187" s="102"/>
      <c r="H1187" s="145"/>
      <c r="I1187" s="145"/>
      <c r="J1187" s="145"/>
      <c r="K1187" s="145"/>
      <c r="L1187" s="145"/>
      <c r="M1187" s="145"/>
      <c r="N1187" s="31"/>
      <c r="O1187" s="31"/>
    </row>
    <row r="1188" spans="1:15" x14ac:dyDescent="0.35">
      <c r="A1188" s="145"/>
      <c r="B1188" s="145"/>
      <c r="C1188" s="145"/>
      <c r="D1188" s="145"/>
      <c r="E1188" s="145"/>
      <c r="F1188" s="145"/>
      <c r="G1188" s="102"/>
      <c r="H1188" s="145"/>
      <c r="I1188" s="145"/>
      <c r="J1188" s="145"/>
      <c r="K1188" s="145"/>
      <c r="L1188" s="145"/>
      <c r="M1188" s="145"/>
      <c r="N1188" s="31"/>
      <c r="O1188" s="31"/>
    </row>
    <row r="1189" spans="1:15" x14ac:dyDescent="0.35">
      <c r="A1189" s="145"/>
      <c r="B1189" s="145"/>
      <c r="C1189" s="145"/>
      <c r="D1189" s="145"/>
      <c r="E1189" s="145"/>
      <c r="F1189" s="145"/>
      <c r="G1189" s="102"/>
      <c r="H1189" s="145"/>
      <c r="I1189" s="145"/>
      <c r="J1189" s="145"/>
      <c r="K1189" s="145"/>
      <c r="L1189" s="145"/>
      <c r="M1189" s="145"/>
      <c r="N1189" s="31"/>
      <c r="O1189" s="31"/>
    </row>
    <row r="1190" spans="1:15" x14ac:dyDescent="0.35">
      <c r="A1190" s="145"/>
      <c r="B1190" s="145"/>
      <c r="C1190" s="145"/>
      <c r="D1190" s="145"/>
      <c r="E1190" s="145"/>
      <c r="F1190" s="145"/>
      <c r="G1190" s="102"/>
      <c r="H1190" s="145"/>
      <c r="I1190" s="145"/>
      <c r="J1190" s="145"/>
      <c r="K1190" s="145"/>
      <c r="L1190" s="145"/>
      <c r="M1190" s="145"/>
      <c r="N1190" s="145"/>
      <c r="O1190" s="145"/>
    </row>
    <row r="1191" spans="1:15" x14ac:dyDescent="0.35">
      <c r="A1191" s="145"/>
      <c r="B1191" s="145"/>
      <c r="C1191" s="145"/>
      <c r="D1191" s="145"/>
      <c r="E1191" s="145"/>
      <c r="F1191" s="145"/>
      <c r="G1191" s="102"/>
      <c r="H1191" s="145"/>
      <c r="I1191" s="145"/>
      <c r="J1191" s="145"/>
      <c r="K1191" s="145"/>
      <c r="L1191" s="145"/>
      <c r="M1191" s="145"/>
    </row>
    <row r="1192" spans="1:15" x14ac:dyDescent="0.35">
      <c r="A1192" s="145"/>
      <c r="B1192" s="145"/>
      <c r="C1192" s="145"/>
      <c r="D1192" s="145"/>
      <c r="E1192" s="145"/>
      <c r="F1192" s="145"/>
      <c r="G1192" s="102"/>
      <c r="H1192" s="145"/>
      <c r="I1192" s="145"/>
      <c r="J1192" s="145"/>
      <c r="K1192" s="145"/>
      <c r="L1192" s="145"/>
      <c r="M1192" s="145"/>
      <c r="N1192" s="145"/>
      <c r="O1192" s="145"/>
    </row>
    <row r="1193" spans="1:15" x14ac:dyDescent="0.35">
      <c r="A1193" s="145"/>
      <c r="B1193" s="145"/>
      <c r="C1193" s="145"/>
      <c r="D1193" s="145"/>
      <c r="E1193" s="145"/>
      <c r="F1193" s="145"/>
      <c r="G1193" s="102"/>
      <c r="H1193" s="145"/>
      <c r="I1193" s="145"/>
      <c r="J1193" s="145"/>
      <c r="K1193" s="145"/>
      <c r="L1193" s="145"/>
      <c r="M1193" s="145"/>
    </row>
    <row r="1194" spans="1:15" x14ac:dyDescent="0.35">
      <c r="A1194" s="145"/>
      <c r="B1194" s="145"/>
      <c r="C1194" s="145"/>
      <c r="D1194" s="145"/>
      <c r="E1194" s="145"/>
      <c r="F1194" s="145"/>
      <c r="G1194" s="102"/>
      <c r="H1194" s="145"/>
      <c r="I1194" s="145"/>
      <c r="J1194" s="145"/>
      <c r="K1194" s="145"/>
      <c r="L1194" s="145"/>
      <c r="M1194" s="145"/>
    </row>
    <row r="1195" spans="1:15" x14ac:dyDescent="0.35">
      <c r="A1195" s="145"/>
      <c r="B1195" s="145"/>
      <c r="C1195" s="145"/>
      <c r="D1195" s="145"/>
      <c r="E1195" s="145"/>
      <c r="F1195" s="145"/>
      <c r="G1195" s="102"/>
      <c r="H1195" s="145"/>
      <c r="I1195" s="145"/>
      <c r="J1195" s="145"/>
      <c r="K1195" s="145"/>
      <c r="L1195" s="145"/>
      <c r="M1195" s="145"/>
      <c r="N1195" s="145"/>
      <c r="O1195" s="145"/>
    </row>
    <row r="1196" spans="1:15" x14ac:dyDescent="0.35">
      <c r="A1196" s="145"/>
      <c r="B1196" s="145"/>
      <c r="C1196" s="145"/>
      <c r="D1196" s="145"/>
      <c r="E1196" s="145"/>
      <c r="F1196" s="145"/>
      <c r="G1196" s="102"/>
      <c r="H1196" s="145"/>
      <c r="I1196" s="145"/>
      <c r="J1196" s="145"/>
      <c r="K1196" s="145"/>
      <c r="L1196" s="145"/>
      <c r="M1196" s="145"/>
    </row>
    <row r="1197" spans="1:15" x14ac:dyDescent="0.35">
      <c r="A1197" s="145"/>
      <c r="B1197" s="145"/>
      <c r="C1197" s="145"/>
      <c r="D1197" s="145"/>
      <c r="E1197" s="145"/>
      <c r="F1197" s="145"/>
      <c r="G1197" s="102"/>
      <c r="H1197" s="145"/>
      <c r="I1197" s="145"/>
      <c r="J1197" s="145"/>
      <c r="K1197" s="145"/>
      <c r="L1197" s="145"/>
      <c r="M1197" s="145"/>
      <c r="N1197" s="31"/>
      <c r="O1197" s="31"/>
    </row>
    <row r="1198" spans="1:15" x14ac:dyDescent="0.35">
      <c r="A1198" s="145"/>
      <c r="B1198" s="145"/>
      <c r="C1198" s="145"/>
      <c r="D1198" s="145"/>
      <c r="E1198" s="145"/>
      <c r="F1198" s="145"/>
      <c r="G1198" s="102"/>
      <c r="H1198" s="145"/>
      <c r="I1198" s="145"/>
      <c r="J1198" s="145"/>
      <c r="K1198" s="145"/>
      <c r="L1198" s="145"/>
      <c r="M1198" s="145"/>
    </row>
    <row r="1199" spans="1:15" x14ac:dyDescent="0.35">
      <c r="A1199" s="145"/>
      <c r="B1199" s="145"/>
      <c r="C1199" s="145"/>
      <c r="D1199" s="145"/>
      <c r="E1199" s="145"/>
      <c r="F1199" s="145"/>
      <c r="G1199" s="102"/>
      <c r="H1199" s="145"/>
      <c r="I1199" s="145"/>
      <c r="J1199" s="145"/>
      <c r="K1199" s="145"/>
      <c r="L1199" s="145"/>
      <c r="M1199" s="145"/>
    </row>
    <row r="1200" spans="1:15" x14ac:dyDescent="0.35">
      <c r="A1200" s="145"/>
      <c r="B1200" s="145"/>
      <c r="C1200" s="145"/>
      <c r="D1200" s="145"/>
      <c r="E1200" s="145"/>
      <c r="F1200" s="145"/>
      <c r="G1200" s="102"/>
      <c r="H1200" s="145"/>
      <c r="I1200" s="145"/>
      <c r="J1200" s="145"/>
      <c r="K1200" s="145"/>
      <c r="L1200" s="145"/>
      <c r="M1200" s="145"/>
    </row>
    <row r="1201" spans="1:15" x14ac:dyDescent="0.35">
      <c r="A1201" s="145"/>
      <c r="B1201" s="145"/>
      <c r="C1201" s="145"/>
      <c r="D1201" s="145"/>
      <c r="E1201" s="145"/>
      <c r="F1201" s="145"/>
      <c r="G1201" s="102"/>
      <c r="H1201" s="145"/>
      <c r="I1201" s="145"/>
      <c r="J1201" s="145"/>
      <c r="K1201" s="145"/>
      <c r="L1201" s="145"/>
      <c r="M1201" s="145"/>
    </row>
    <row r="1202" spans="1:15" x14ac:dyDescent="0.35">
      <c r="A1202" s="145"/>
      <c r="B1202" s="145"/>
      <c r="C1202" s="145"/>
      <c r="D1202" s="145"/>
      <c r="E1202" s="145"/>
      <c r="F1202" s="145"/>
      <c r="G1202" s="102"/>
      <c r="H1202" s="145"/>
      <c r="I1202" s="145"/>
      <c r="J1202" s="145"/>
      <c r="K1202" s="145"/>
      <c r="L1202" s="145"/>
      <c r="M1202" s="145"/>
    </row>
    <row r="1203" spans="1:15" x14ac:dyDescent="0.35">
      <c r="A1203" s="145"/>
      <c r="B1203" s="145"/>
      <c r="C1203" s="145"/>
      <c r="D1203" s="145"/>
      <c r="E1203" s="145"/>
      <c r="F1203" s="145"/>
      <c r="G1203" s="102"/>
      <c r="H1203" s="145"/>
      <c r="I1203" s="145"/>
      <c r="J1203" s="145"/>
      <c r="K1203" s="145"/>
      <c r="L1203" s="145"/>
      <c r="M1203" s="145"/>
    </row>
    <row r="1204" spans="1:15" x14ac:dyDescent="0.35">
      <c r="A1204" s="145"/>
      <c r="B1204" s="145"/>
      <c r="C1204" s="145"/>
      <c r="D1204" s="145"/>
      <c r="E1204" s="145"/>
      <c r="F1204" s="145"/>
      <c r="G1204" s="102"/>
      <c r="H1204" s="145"/>
      <c r="I1204" s="145"/>
      <c r="J1204" s="145"/>
      <c r="K1204" s="145"/>
      <c r="L1204" s="145"/>
      <c r="M1204" s="145"/>
      <c r="N1204" s="31"/>
      <c r="O1204" s="31"/>
    </row>
    <row r="1205" spans="1:15" x14ac:dyDescent="0.35">
      <c r="A1205" s="145"/>
      <c r="B1205" s="145"/>
      <c r="C1205" s="145"/>
      <c r="D1205" s="145"/>
      <c r="E1205" s="145"/>
      <c r="F1205" s="145"/>
      <c r="G1205" s="102"/>
      <c r="H1205" s="145"/>
      <c r="I1205" s="145"/>
      <c r="J1205" s="145"/>
      <c r="K1205" s="145"/>
      <c r="L1205" s="145"/>
      <c r="M1205" s="145"/>
      <c r="N1205" s="31"/>
      <c r="O1205" s="31"/>
    </row>
    <row r="1206" spans="1:15" x14ac:dyDescent="0.35">
      <c r="A1206" s="145"/>
      <c r="B1206" s="145"/>
      <c r="C1206" s="145"/>
      <c r="D1206" s="145"/>
      <c r="E1206" s="145"/>
      <c r="F1206" s="145"/>
      <c r="G1206" s="102"/>
      <c r="H1206" s="145"/>
      <c r="I1206" s="145"/>
      <c r="J1206" s="145"/>
      <c r="K1206" s="145"/>
      <c r="L1206" s="145"/>
      <c r="M1206" s="145"/>
    </row>
    <row r="1207" spans="1:15" x14ac:dyDescent="0.35">
      <c r="A1207" s="145"/>
      <c r="B1207" s="145"/>
      <c r="C1207" s="145"/>
      <c r="D1207" s="145"/>
      <c r="E1207" s="145"/>
      <c r="F1207" s="145"/>
      <c r="G1207" s="102"/>
      <c r="H1207" s="145"/>
      <c r="I1207" s="145"/>
      <c r="J1207" s="145"/>
      <c r="K1207" s="145"/>
      <c r="L1207" s="145"/>
      <c r="M1207" s="145"/>
    </row>
    <row r="1208" spans="1:15" x14ac:dyDescent="0.35">
      <c r="A1208" s="145"/>
      <c r="B1208" s="145"/>
      <c r="C1208" s="145"/>
      <c r="D1208" s="145"/>
      <c r="E1208" s="145"/>
      <c r="F1208" s="145"/>
      <c r="G1208" s="102"/>
      <c r="H1208" s="145"/>
      <c r="I1208" s="145"/>
      <c r="J1208" s="145"/>
      <c r="K1208" s="145"/>
      <c r="L1208" s="145"/>
      <c r="M1208" s="145"/>
    </row>
    <row r="1209" spans="1:15" x14ac:dyDescent="0.35">
      <c r="A1209" s="145"/>
      <c r="B1209" s="145"/>
      <c r="C1209" s="145"/>
      <c r="D1209" s="145"/>
      <c r="E1209" s="145"/>
      <c r="F1209" s="145"/>
      <c r="G1209" s="102"/>
      <c r="H1209" s="145"/>
      <c r="I1209" s="145"/>
      <c r="J1209" s="145"/>
      <c r="K1209" s="145"/>
      <c r="L1209" s="145"/>
      <c r="M1209" s="145"/>
    </row>
    <row r="1210" spans="1:15" x14ac:dyDescent="0.35">
      <c r="A1210" s="145"/>
      <c r="B1210" s="145"/>
      <c r="C1210" s="145"/>
      <c r="D1210" s="145"/>
      <c r="E1210" s="145"/>
      <c r="F1210" s="145"/>
      <c r="G1210" s="102"/>
      <c r="H1210" s="145"/>
      <c r="I1210" s="145"/>
      <c r="J1210" s="145"/>
      <c r="K1210" s="145"/>
      <c r="L1210" s="145"/>
      <c r="M1210" s="145"/>
    </row>
    <row r="1211" spans="1:15" x14ac:dyDescent="0.35">
      <c r="A1211" s="145"/>
      <c r="B1211" s="145"/>
      <c r="C1211" s="145"/>
      <c r="D1211" s="145"/>
      <c r="E1211" s="145"/>
      <c r="F1211" s="145"/>
      <c r="G1211" s="102"/>
      <c r="H1211" s="145"/>
      <c r="I1211" s="145"/>
      <c r="J1211" s="145"/>
      <c r="K1211" s="145"/>
      <c r="L1211" s="145"/>
      <c r="M1211" s="145"/>
      <c r="N1211" s="31"/>
      <c r="O1211" s="31"/>
    </row>
    <row r="1212" spans="1:15" x14ac:dyDescent="0.35">
      <c r="A1212" s="145"/>
      <c r="B1212" s="145"/>
      <c r="C1212" s="145"/>
      <c r="D1212" s="145"/>
      <c r="E1212" s="145"/>
      <c r="F1212" s="145"/>
      <c r="G1212" s="102"/>
      <c r="H1212" s="145"/>
      <c r="I1212" s="145"/>
      <c r="J1212" s="145"/>
      <c r="K1212" s="145"/>
      <c r="L1212" s="145"/>
      <c r="M1212" s="145"/>
      <c r="N1212" s="145"/>
      <c r="O1212" s="145"/>
    </row>
    <row r="1213" spans="1:15" x14ac:dyDescent="0.35">
      <c r="A1213" s="145"/>
      <c r="B1213" s="145"/>
      <c r="C1213" s="145"/>
      <c r="D1213" s="145"/>
      <c r="E1213" s="145"/>
      <c r="F1213" s="145"/>
      <c r="G1213" s="102"/>
      <c r="H1213" s="145"/>
      <c r="I1213" s="145"/>
      <c r="J1213" s="145"/>
      <c r="K1213" s="145"/>
      <c r="L1213" s="145"/>
      <c r="M1213" s="145"/>
    </row>
    <row r="1214" spans="1:15" x14ac:dyDescent="0.35">
      <c r="A1214" s="145"/>
      <c r="B1214" s="145"/>
      <c r="C1214" s="145"/>
      <c r="D1214" s="145"/>
      <c r="E1214" s="145"/>
      <c r="F1214" s="145"/>
      <c r="G1214" s="102"/>
      <c r="H1214" s="145"/>
      <c r="I1214" s="145"/>
      <c r="J1214" s="145"/>
      <c r="K1214" s="145"/>
      <c r="L1214" s="145"/>
      <c r="M1214" s="145"/>
    </row>
    <row r="1215" spans="1:15" x14ac:dyDescent="0.35">
      <c r="A1215" s="145"/>
      <c r="B1215" s="145"/>
      <c r="C1215" s="145"/>
      <c r="D1215" s="145"/>
      <c r="E1215" s="145"/>
      <c r="F1215" s="145"/>
      <c r="G1215" s="102"/>
      <c r="H1215" s="145"/>
      <c r="I1215" s="145"/>
      <c r="J1215" s="145"/>
      <c r="K1215" s="145"/>
      <c r="L1215" s="145"/>
      <c r="M1215" s="145"/>
    </row>
    <row r="1216" spans="1:15" x14ac:dyDescent="0.35">
      <c r="A1216" s="145"/>
      <c r="B1216" s="145"/>
      <c r="C1216" s="145"/>
      <c r="D1216" s="145"/>
      <c r="E1216" s="145"/>
      <c r="F1216" s="145"/>
      <c r="G1216" s="102"/>
      <c r="H1216" s="145"/>
      <c r="I1216" s="145"/>
      <c r="J1216" s="145"/>
      <c r="K1216" s="145"/>
      <c r="L1216" s="145"/>
      <c r="M1216" s="145"/>
      <c r="N1216" s="31"/>
      <c r="O1216" s="31"/>
    </row>
    <row r="1217" spans="1:15" x14ac:dyDescent="0.35">
      <c r="A1217" s="145"/>
      <c r="B1217" s="145"/>
      <c r="C1217" s="145"/>
      <c r="D1217" s="145"/>
      <c r="E1217" s="145"/>
      <c r="F1217" s="145"/>
      <c r="G1217" s="102"/>
      <c r="H1217" s="145"/>
      <c r="I1217" s="145"/>
      <c r="J1217" s="145"/>
      <c r="K1217" s="145"/>
      <c r="L1217" s="145"/>
      <c r="M1217" s="145"/>
    </row>
    <row r="1218" spans="1:15" x14ac:dyDescent="0.35">
      <c r="A1218" s="145"/>
      <c r="B1218" s="145"/>
      <c r="C1218" s="145"/>
      <c r="D1218" s="145"/>
      <c r="E1218" s="145"/>
      <c r="F1218" s="145"/>
      <c r="G1218" s="102"/>
      <c r="H1218" s="145"/>
      <c r="I1218" s="145"/>
      <c r="J1218" s="145"/>
      <c r="K1218" s="145"/>
      <c r="L1218" s="145"/>
      <c r="M1218" s="145"/>
    </row>
    <row r="1219" spans="1:15" x14ac:dyDescent="0.35">
      <c r="A1219" s="145"/>
      <c r="B1219" s="145"/>
      <c r="C1219" s="145"/>
      <c r="D1219" s="145"/>
      <c r="E1219" s="145"/>
      <c r="F1219" s="145"/>
      <c r="G1219" s="102"/>
      <c r="H1219" s="145"/>
      <c r="I1219" s="145"/>
      <c r="J1219" s="145"/>
      <c r="K1219" s="145"/>
      <c r="L1219" s="145"/>
      <c r="M1219" s="145"/>
    </row>
    <row r="1220" spans="1:15" x14ac:dyDescent="0.35">
      <c r="A1220" s="145"/>
      <c r="B1220" s="145"/>
      <c r="C1220" s="145"/>
      <c r="D1220" s="145"/>
      <c r="E1220" s="145"/>
      <c r="F1220" s="145"/>
      <c r="G1220" s="102"/>
      <c r="H1220" s="145"/>
      <c r="I1220" s="145"/>
      <c r="J1220" s="145"/>
      <c r="K1220" s="145"/>
      <c r="L1220" s="145"/>
      <c r="M1220" s="145"/>
    </row>
    <row r="1221" spans="1:15" x14ac:dyDescent="0.35">
      <c r="A1221" s="145"/>
      <c r="B1221" s="145"/>
      <c r="C1221" s="145"/>
      <c r="D1221" s="145"/>
      <c r="E1221" s="145"/>
      <c r="F1221" s="145"/>
      <c r="G1221" s="102"/>
      <c r="H1221" s="145"/>
      <c r="I1221" s="145"/>
      <c r="J1221" s="145"/>
      <c r="K1221" s="145"/>
      <c r="L1221" s="145"/>
      <c r="M1221" s="145"/>
      <c r="N1221" s="145"/>
      <c r="O1221" s="145"/>
    </row>
    <row r="1222" spans="1:15" x14ac:dyDescent="0.35">
      <c r="A1222" s="145"/>
      <c r="B1222" s="145"/>
      <c r="C1222" s="145"/>
      <c r="D1222" s="145"/>
      <c r="E1222" s="145"/>
      <c r="F1222" s="145"/>
      <c r="G1222" s="102"/>
      <c r="H1222" s="145"/>
      <c r="I1222" s="145"/>
      <c r="J1222" s="145"/>
      <c r="K1222" s="145"/>
      <c r="L1222" s="145"/>
      <c r="M1222" s="145"/>
      <c r="N1222" s="145"/>
      <c r="O1222" s="145"/>
    </row>
    <row r="1223" spans="1:15" x14ac:dyDescent="0.35">
      <c r="A1223" s="145"/>
      <c r="B1223" s="145"/>
      <c r="C1223" s="145"/>
      <c r="D1223" s="145"/>
      <c r="E1223" s="145"/>
      <c r="F1223" s="145"/>
      <c r="G1223" s="102"/>
      <c r="H1223" s="145"/>
      <c r="I1223" s="145"/>
      <c r="J1223" s="145"/>
      <c r="K1223" s="145"/>
      <c r="L1223" s="145"/>
      <c r="M1223" s="145"/>
      <c r="N1223" s="31"/>
      <c r="O1223" s="31"/>
    </row>
    <row r="1224" spans="1:15" x14ac:dyDescent="0.35">
      <c r="A1224" s="145"/>
      <c r="B1224" s="145"/>
      <c r="C1224" s="145"/>
      <c r="D1224" s="145"/>
      <c r="E1224" s="145"/>
      <c r="F1224" s="145"/>
      <c r="G1224" s="102"/>
      <c r="H1224" s="145"/>
      <c r="I1224" s="145"/>
      <c r="J1224" s="145"/>
      <c r="K1224" s="145"/>
      <c r="L1224" s="145"/>
      <c r="M1224" s="145"/>
      <c r="N1224" s="145"/>
      <c r="O1224" s="145"/>
    </row>
    <row r="1225" spans="1:15" x14ac:dyDescent="0.35">
      <c r="A1225" s="145"/>
      <c r="B1225" s="145"/>
      <c r="C1225" s="145"/>
      <c r="D1225" s="145"/>
      <c r="E1225" s="145"/>
      <c r="F1225" s="145"/>
      <c r="G1225" s="102"/>
      <c r="H1225" s="145"/>
      <c r="I1225" s="145"/>
      <c r="J1225" s="145"/>
      <c r="K1225" s="145"/>
      <c r="L1225" s="145"/>
      <c r="M1225" s="145"/>
      <c r="N1225" s="145"/>
      <c r="O1225" s="145"/>
    </row>
    <row r="1226" spans="1:15" x14ac:dyDescent="0.35">
      <c r="A1226" s="145"/>
      <c r="B1226" s="145"/>
      <c r="C1226" s="145"/>
      <c r="D1226" s="145"/>
      <c r="E1226" s="145"/>
      <c r="F1226" s="145"/>
      <c r="G1226" s="102"/>
      <c r="H1226" s="145"/>
      <c r="I1226" s="145"/>
      <c r="J1226" s="145"/>
      <c r="K1226" s="145"/>
      <c r="L1226" s="145"/>
      <c r="M1226" s="145"/>
      <c r="N1226" s="145"/>
      <c r="O1226" s="145"/>
    </row>
    <row r="1227" spans="1:15" x14ac:dyDescent="0.35">
      <c r="A1227" s="145"/>
      <c r="B1227" s="145"/>
      <c r="C1227" s="145"/>
      <c r="D1227" s="145"/>
      <c r="E1227" s="145"/>
      <c r="F1227" s="145"/>
      <c r="G1227" s="102"/>
      <c r="H1227" s="145"/>
      <c r="I1227" s="145"/>
      <c r="J1227" s="145"/>
      <c r="K1227" s="145"/>
      <c r="L1227" s="145"/>
      <c r="M1227" s="145"/>
      <c r="N1227" s="145"/>
      <c r="O1227" s="145"/>
    </row>
    <row r="1228" spans="1:15" x14ac:dyDescent="0.35">
      <c r="A1228" s="145"/>
      <c r="B1228" s="145"/>
      <c r="C1228" s="145"/>
      <c r="D1228" s="145"/>
      <c r="E1228" s="145"/>
      <c r="F1228" s="145"/>
      <c r="G1228" s="102"/>
      <c r="H1228" s="145"/>
      <c r="I1228" s="145"/>
      <c r="J1228" s="145"/>
      <c r="K1228" s="145"/>
      <c r="L1228" s="145"/>
      <c r="M1228" s="145"/>
      <c r="N1228" s="145"/>
      <c r="O1228" s="145"/>
    </row>
    <row r="1229" spans="1:15" x14ac:dyDescent="0.35">
      <c r="A1229" s="145"/>
      <c r="B1229" s="145"/>
      <c r="C1229" s="145"/>
      <c r="D1229" s="145"/>
      <c r="E1229" s="145"/>
      <c r="F1229" s="145"/>
      <c r="G1229" s="102"/>
      <c r="H1229" s="145"/>
      <c r="I1229" s="145"/>
      <c r="J1229" s="145"/>
      <c r="K1229" s="145"/>
      <c r="L1229" s="145"/>
      <c r="M1229" s="145"/>
      <c r="N1229" s="145"/>
      <c r="O1229" s="145"/>
    </row>
    <row r="1230" spans="1:15" x14ac:dyDescent="0.35">
      <c r="A1230" s="145"/>
      <c r="B1230" s="145"/>
      <c r="C1230" s="145"/>
      <c r="D1230" s="145"/>
      <c r="E1230" s="145"/>
      <c r="F1230" s="145"/>
      <c r="G1230" s="102"/>
      <c r="H1230" s="145"/>
      <c r="I1230" s="145"/>
      <c r="J1230" s="145"/>
      <c r="K1230" s="145"/>
      <c r="L1230" s="145"/>
      <c r="M1230" s="145"/>
      <c r="N1230" s="145"/>
      <c r="O1230" s="145"/>
    </row>
    <row r="1231" spans="1:15" x14ac:dyDescent="0.35">
      <c r="A1231" s="145"/>
      <c r="B1231" s="145"/>
      <c r="C1231" s="145"/>
      <c r="D1231" s="145"/>
      <c r="E1231" s="145"/>
      <c r="F1231" s="145"/>
      <c r="G1231" s="102"/>
      <c r="H1231" s="145"/>
      <c r="I1231" s="145"/>
      <c r="J1231" s="145"/>
      <c r="K1231" s="145"/>
      <c r="L1231" s="145"/>
      <c r="M1231" s="145"/>
    </row>
    <row r="1232" spans="1:15" x14ac:dyDescent="0.35">
      <c r="A1232" s="145"/>
      <c r="B1232" s="145"/>
      <c r="C1232" s="145"/>
      <c r="D1232" s="145"/>
      <c r="E1232" s="145"/>
      <c r="F1232" s="145"/>
      <c r="G1232" s="102"/>
      <c r="H1232" s="145"/>
      <c r="I1232" s="145"/>
      <c r="J1232" s="145"/>
      <c r="K1232" s="145"/>
      <c r="L1232" s="145"/>
      <c r="M1232" s="145"/>
      <c r="N1232" s="145"/>
      <c r="O1232" s="145"/>
    </row>
    <row r="1233" spans="1:15" x14ac:dyDescent="0.35">
      <c r="A1233" s="145"/>
      <c r="B1233" s="145"/>
      <c r="C1233" s="145"/>
      <c r="D1233" s="145"/>
      <c r="E1233" s="145"/>
      <c r="F1233" s="145"/>
      <c r="G1233" s="102"/>
      <c r="H1233" s="145"/>
      <c r="I1233" s="145"/>
      <c r="J1233" s="145"/>
      <c r="K1233" s="145"/>
      <c r="L1233" s="145"/>
      <c r="M1233" s="145"/>
      <c r="N1233" s="145"/>
      <c r="O1233" s="145"/>
    </row>
    <row r="1234" spans="1:15" x14ac:dyDescent="0.35">
      <c r="A1234" s="145"/>
      <c r="B1234" s="145"/>
      <c r="C1234" s="145"/>
      <c r="D1234" s="145"/>
      <c r="E1234" s="145"/>
      <c r="F1234" s="145"/>
      <c r="G1234" s="102"/>
      <c r="H1234" s="145"/>
      <c r="I1234" s="145"/>
      <c r="J1234" s="145"/>
      <c r="K1234" s="145"/>
      <c r="L1234" s="145"/>
      <c r="M1234" s="145"/>
      <c r="N1234" s="145"/>
      <c r="O1234" s="145"/>
    </row>
    <row r="1235" spans="1:15" x14ac:dyDescent="0.35">
      <c r="A1235" s="145"/>
      <c r="B1235" s="145"/>
      <c r="C1235" s="145"/>
      <c r="D1235" s="145"/>
      <c r="E1235" s="145"/>
      <c r="F1235" s="145"/>
      <c r="G1235" s="102"/>
      <c r="H1235" s="145"/>
      <c r="I1235" s="145"/>
      <c r="J1235" s="145"/>
      <c r="K1235" s="145"/>
      <c r="L1235" s="145"/>
      <c r="M1235" s="145"/>
      <c r="N1235" s="145"/>
      <c r="O1235" s="145"/>
    </row>
    <row r="1236" spans="1:15" x14ac:dyDescent="0.35">
      <c r="A1236" s="145"/>
      <c r="B1236" s="145"/>
      <c r="C1236" s="145"/>
      <c r="D1236" s="145"/>
      <c r="E1236" s="145"/>
      <c r="F1236" s="145"/>
      <c r="G1236" s="102"/>
      <c r="H1236" s="145"/>
      <c r="I1236" s="145"/>
      <c r="J1236" s="145"/>
      <c r="K1236" s="145"/>
      <c r="L1236" s="145"/>
      <c r="M1236" s="145"/>
      <c r="N1236" s="31"/>
      <c r="O1236" s="31"/>
    </row>
    <row r="1237" spans="1:15" x14ac:dyDescent="0.35">
      <c r="A1237" s="145"/>
      <c r="B1237" s="145"/>
      <c r="C1237" s="145"/>
      <c r="D1237" s="145"/>
      <c r="E1237" s="145"/>
      <c r="F1237" s="145"/>
      <c r="G1237" s="102"/>
      <c r="H1237" s="145"/>
      <c r="I1237" s="145"/>
      <c r="J1237" s="145"/>
      <c r="K1237" s="145"/>
      <c r="L1237" s="145"/>
      <c r="M1237" s="145"/>
      <c r="N1237" s="31"/>
      <c r="O1237" s="31"/>
    </row>
    <row r="1238" spans="1:15" x14ac:dyDescent="0.35">
      <c r="A1238" s="145"/>
      <c r="B1238" s="145"/>
      <c r="C1238" s="145"/>
      <c r="D1238" s="145"/>
      <c r="E1238" s="145"/>
      <c r="F1238" s="145"/>
      <c r="G1238" s="102"/>
      <c r="H1238" s="145"/>
      <c r="I1238" s="145"/>
      <c r="J1238" s="145"/>
      <c r="K1238" s="145"/>
      <c r="L1238" s="145"/>
      <c r="M1238" s="145"/>
    </row>
    <row r="1239" spans="1:15" x14ac:dyDescent="0.35">
      <c r="A1239" s="145"/>
      <c r="B1239" s="145"/>
      <c r="C1239" s="145"/>
      <c r="D1239" s="145"/>
      <c r="E1239" s="145"/>
      <c r="F1239" s="145"/>
      <c r="G1239" s="102"/>
      <c r="H1239" s="145"/>
      <c r="I1239" s="145"/>
      <c r="J1239" s="145"/>
      <c r="K1239" s="145"/>
      <c r="L1239" s="145"/>
      <c r="M1239" s="145"/>
    </row>
    <row r="1240" spans="1:15" x14ac:dyDescent="0.35">
      <c r="A1240" s="145"/>
      <c r="B1240" s="145"/>
      <c r="C1240" s="145"/>
      <c r="D1240" s="145"/>
      <c r="E1240" s="145"/>
      <c r="F1240" s="145"/>
      <c r="G1240" s="102"/>
      <c r="H1240" s="145"/>
      <c r="I1240" s="145"/>
      <c r="J1240" s="145"/>
      <c r="K1240" s="145"/>
      <c r="L1240" s="145"/>
      <c r="M1240" s="145"/>
    </row>
    <row r="1241" spans="1:15" x14ac:dyDescent="0.35">
      <c r="A1241" s="145"/>
      <c r="B1241" s="145"/>
      <c r="C1241" s="145"/>
      <c r="D1241" s="145"/>
      <c r="E1241" s="145"/>
      <c r="F1241" s="145"/>
      <c r="G1241" s="102"/>
      <c r="H1241" s="145"/>
      <c r="I1241" s="145"/>
      <c r="J1241" s="145"/>
      <c r="K1241" s="145"/>
      <c r="L1241" s="145"/>
      <c r="M1241" s="145"/>
      <c r="N1241" s="145"/>
      <c r="O1241" s="145"/>
    </row>
    <row r="1242" spans="1:15" x14ac:dyDescent="0.35">
      <c r="A1242" s="145"/>
      <c r="B1242" s="145"/>
      <c r="C1242" s="145"/>
      <c r="D1242" s="145"/>
      <c r="E1242" s="145"/>
      <c r="F1242" s="145"/>
      <c r="G1242" s="102"/>
      <c r="H1242" s="145"/>
      <c r="I1242" s="145"/>
      <c r="J1242" s="145"/>
      <c r="K1242" s="145"/>
      <c r="L1242" s="145"/>
      <c r="M1242" s="145"/>
    </row>
    <row r="1243" spans="1:15" x14ac:dyDescent="0.35">
      <c r="A1243" s="145"/>
      <c r="B1243" s="145"/>
      <c r="C1243" s="145"/>
      <c r="D1243" s="145"/>
      <c r="E1243" s="145"/>
      <c r="F1243" s="145"/>
      <c r="G1243" s="102"/>
      <c r="H1243" s="145"/>
      <c r="I1243" s="145"/>
      <c r="J1243" s="145"/>
      <c r="K1243" s="145"/>
      <c r="L1243" s="145"/>
      <c r="M1243" s="145"/>
    </row>
    <row r="1244" spans="1:15" x14ac:dyDescent="0.35">
      <c r="A1244" s="145"/>
      <c r="B1244" s="145"/>
      <c r="C1244" s="145"/>
      <c r="D1244" s="145"/>
      <c r="E1244" s="145"/>
      <c r="F1244" s="145"/>
      <c r="G1244" s="102"/>
      <c r="H1244" s="145"/>
      <c r="I1244" s="145"/>
      <c r="J1244" s="145"/>
      <c r="K1244" s="145"/>
      <c r="L1244" s="145"/>
      <c r="M1244" s="145"/>
    </row>
    <row r="1245" spans="1:15" x14ac:dyDescent="0.35">
      <c r="A1245" s="145"/>
      <c r="B1245" s="145"/>
      <c r="C1245" s="145"/>
      <c r="D1245" s="145"/>
      <c r="E1245" s="145"/>
      <c r="F1245" s="145"/>
      <c r="G1245" s="102"/>
      <c r="H1245" s="145"/>
      <c r="I1245" s="145"/>
      <c r="J1245" s="145"/>
      <c r="K1245" s="145"/>
      <c r="L1245" s="145"/>
      <c r="M1245" s="145"/>
      <c r="N1245" s="145"/>
      <c r="O1245" s="145"/>
    </row>
    <row r="1246" spans="1:15" x14ac:dyDescent="0.35">
      <c r="A1246" s="145"/>
      <c r="B1246" s="145"/>
      <c r="C1246" s="145"/>
      <c r="D1246" s="145"/>
      <c r="E1246" s="145"/>
      <c r="F1246" s="145"/>
      <c r="G1246" s="102"/>
      <c r="H1246" s="145"/>
      <c r="I1246" s="145"/>
      <c r="J1246" s="145"/>
      <c r="K1246" s="145"/>
      <c r="L1246" s="145"/>
      <c r="M1246" s="145"/>
      <c r="N1246" s="145"/>
      <c r="O1246" s="145"/>
    </row>
    <row r="1247" spans="1:15" x14ac:dyDescent="0.35">
      <c r="A1247" s="145"/>
      <c r="B1247" s="145"/>
      <c r="C1247" s="145"/>
      <c r="D1247" s="145"/>
      <c r="E1247" s="145"/>
      <c r="F1247" s="145"/>
      <c r="G1247" s="102"/>
      <c r="H1247" s="145"/>
      <c r="I1247" s="145"/>
      <c r="J1247" s="145"/>
      <c r="K1247" s="145"/>
      <c r="L1247" s="145"/>
      <c r="M1247" s="145"/>
      <c r="N1247" s="145"/>
      <c r="O1247" s="145"/>
    </row>
    <row r="1248" spans="1:15" x14ac:dyDescent="0.35">
      <c r="A1248" s="145"/>
      <c r="B1248" s="145"/>
      <c r="C1248" s="145"/>
      <c r="D1248" s="145"/>
      <c r="E1248" s="145"/>
      <c r="F1248" s="145"/>
      <c r="G1248" s="102"/>
      <c r="H1248" s="145"/>
      <c r="I1248" s="145"/>
      <c r="J1248" s="145"/>
      <c r="K1248" s="145"/>
      <c r="L1248" s="145"/>
      <c r="M1248" s="145"/>
      <c r="N1248" s="145"/>
      <c r="O1248" s="145"/>
    </row>
    <row r="1249" spans="1:15" x14ac:dyDescent="0.35">
      <c r="A1249" s="145"/>
      <c r="B1249" s="145"/>
      <c r="C1249" s="145"/>
      <c r="D1249" s="145"/>
      <c r="E1249" s="145"/>
      <c r="F1249" s="145"/>
      <c r="G1249" s="102"/>
      <c r="H1249" s="145"/>
      <c r="I1249" s="145"/>
      <c r="J1249" s="145"/>
      <c r="K1249" s="145"/>
      <c r="L1249" s="145"/>
      <c r="M1249" s="145"/>
      <c r="N1249" s="145"/>
      <c r="O1249" s="145"/>
    </row>
    <row r="1250" spans="1:15" x14ac:dyDescent="0.35">
      <c r="A1250" s="145"/>
      <c r="B1250" s="145"/>
      <c r="C1250" s="145"/>
      <c r="D1250" s="145"/>
      <c r="E1250" s="145"/>
      <c r="F1250" s="145"/>
      <c r="G1250" s="102"/>
      <c r="H1250" s="145"/>
      <c r="I1250" s="145"/>
      <c r="J1250" s="145"/>
      <c r="K1250" s="145"/>
      <c r="L1250" s="145"/>
      <c r="M1250" s="145"/>
      <c r="N1250" s="145"/>
      <c r="O1250" s="145"/>
    </row>
    <row r="1251" spans="1:15" x14ac:dyDescent="0.35">
      <c r="A1251" s="145"/>
      <c r="B1251" s="145"/>
      <c r="C1251" s="145"/>
      <c r="D1251" s="145"/>
      <c r="E1251" s="145"/>
      <c r="F1251" s="145"/>
      <c r="G1251" s="102"/>
      <c r="H1251" s="145"/>
      <c r="I1251" s="145"/>
      <c r="J1251" s="145"/>
      <c r="K1251" s="145"/>
      <c r="L1251" s="145"/>
      <c r="M1251" s="145"/>
      <c r="N1251" s="145"/>
      <c r="O1251" s="145"/>
    </row>
    <row r="1252" spans="1:15" x14ac:dyDescent="0.35">
      <c r="A1252" s="145"/>
      <c r="B1252" s="145"/>
      <c r="C1252" s="145"/>
      <c r="D1252" s="145"/>
      <c r="E1252" s="145"/>
      <c r="F1252" s="145"/>
      <c r="G1252" s="102"/>
      <c r="H1252" s="145"/>
      <c r="I1252" s="145"/>
      <c r="J1252" s="145"/>
      <c r="K1252" s="145"/>
      <c r="L1252" s="145"/>
      <c r="M1252" s="145"/>
      <c r="N1252" s="145"/>
      <c r="O1252" s="145"/>
    </row>
    <row r="1253" spans="1:15" x14ac:dyDescent="0.35">
      <c r="A1253" s="145"/>
      <c r="B1253" s="145"/>
      <c r="C1253" s="145"/>
      <c r="D1253" s="145"/>
      <c r="E1253" s="145"/>
      <c r="F1253" s="145"/>
      <c r="G1253" s="102"/>
      <c r="H1253" s="145"/>
      <c r="I1253" s="145"/>
      <c r="J1253" s="145"/>
      <c r="K1253" s="145"/>
      <c r="L1253" s="145"/>
      <c r="M1253" s="145"/>
      <c r="N1253" s="145"/>
      <c r="O1253" s="145"/>
    </row>
    <row r="1254" spans="1:15" x14ac:dyDescent="0.35">
      <c r="A1254" s="145"/>
      <c r="B1254" s="145"/>
      <c r="C1254" s="145"/>
      <c r="D1254" s="145"/>
      <c r="E1254" s="145"/>
      <c r="F1254" s="145"/>
      <c r="G1254" s="102"/>
      <c r="H1254" s="145"/>
      <c r="I1254" s="145"/>
      <c r="J1254" s="145"/>
      <c r="K1254" s="145"/>
      <c r="L1254" s="145"/>
      <c r="M1254" s="145"/>
      <c r="N1254" s="145"/>
      <c r="O1254" s="145"/>
    </row>
    <row r="1255" spans="1:15" x14ac:dyDescent="0.35">
      <c r="A1255" s="145"/>
      <c r="B1255" s="145"/>
      <c r="C1255" s="145"/>
      <c r="D1255" s="145"/>
      <c r="E1255" s="145"/>
      <c r="F1255" s="145"/>
      <c r="G1255" s="102"/>
      <c r="H1255" s="145"/>
      <c r="I1255" s="145"/>
      <c r="J1255" s="145"/>
      <c r="K1255" s="145"/>
      <c r="L1255" s="145"/>
      <c r="M1255" s="145"/>
      <c r="N1255" s="145"/>
      <c r="O1255" s="145"/>
    </row>
    <row r="1256" spans="1:15" x14ac:dyDescent="0.35">
      <c r="A1256" s="145"/>
      <c r="B1256" s="145"/>
      <c r="C1256" s="145"/>
      <c r="D1256" s="145"/>
      <c r="E1256" s="145"/>
      <c r="F1256" s="145"/>
      <c r="G1256" s="102"/>
      <c r="H1256" s="145"/>
      <c r="I1256" s="145"/>
      <c r="J1256" s="145"/>
      <c r="K1256" s="145"/>
      <c r="L1256" s="145"/>
      <c r="M1256" s="145"/>
      <c r="N1256" s="145"/>
      <c r="O1256" s="145"/>
    </row>
    <row r="1257" spans="1:15" x14ac:dyDescent="0.35">
      <c r="A1257" s="145"/>
      <c r="B1257" s="145"/>
      <c r="C1257" s="145"/>
      <c r="D1257" s="145"/>
      <c r="E1257" s="145"/>
      <c r="F1257" s="145"/>
      <c r="G1257" s="102"/>
      <c r="H1257" s="145"/>
      <c r="I1257" s="145"/>
      <c r="J1257" s="145"/>
      <c r="K1257" s="145"/>
      <c r="L1257" s="145"/>
      <c r="M1257" s="145"/>
      <c r="N1257" s="31"/>
      <c r="O1257" s="31"/>
    </row>
    <row r="1258" spans="1:15" x14ac:dyDescent="0.35">
      <c r="A1258" s="145"/>
      <c r="B1258" s="145"/>
      <c r="C1258" s="145"/>
      <c r="D1258" s="145"/>
      <c r="E1258" s="145"/>
      <c r="F1258" s="145"/>
      <c r="G1258" s="102"/>
      <c r="H1258" s="145"/>
      <c r="I1258" s="145"/>
      <c r="J1258" s="145"/>
      <c r="K1258" s="145"/>
      <c r="L1258" s="145"/>
      <c r="M1258" s="145"/>
    </row>
    <row r="1259" spans="1:15" x14ac:dyDescent="0.35">
      <c r="A1259" s="145"/>
      <c r="B1259" s="145"/>
      <c r="C1259" s="145"/>
      <c r="D1259" s="145"/>
      <c r="E1259" s="145"/>
      <c r="F1259" s="145"/>
      <c r="G1259" s="102"/>
      <c r="H1259" s="145"/>
      <c r="I1259" s="145"/>
      <c r="J1259" s="145"/>
      <c r="K1259" s="145"/>
      <c r="L1259" s="145"/>
      <c r="M1259" s="145"/>
    </row>
    <row r="1260" spans="1:15" x14ac:dyDescent="0.35">
      <c r="A1260" s="145"/>
      <c r="B1260" s="145"/>
      <c r="C1260" s="145"/>
      <c r="D1260" s="145"/>
      <c r="E1260" s="145"/>
      <c r="F1260" s="145"/>
      <c r="G1260" s="102"/>
      <c r="H1260" s="145"/>
      <c r="I1260" s="145"/>
      <c r="J1260" s="145"/>
      <c r="K1260" s="145"/>
      <c r="L1260" s="145"/>
      <c r="M1260" s="145"/>
    </row>
    <row r="1261" spans="1:15" x14ac:dyDescent="0.35">
      <c r="A1261" s="145"/>
      <c r="B1261" s="145"/>
      <c r="C1261" s="145"/>
      <c r="D1261" s="145"/>
      <c r="E1261" s="145"/>
      <c r="F1261" s="145"/>
      <c r="G1261" s="102"/>
      <c r="H1261" s="145"/>
      <c r="I1261" s="145"/>
      <c r="J1261" s="145"/>
      <c r="K1261" s="145"/>
      <c r="L1261" s="145"/>
      <c r="M1261" s="145"/>
      <c r="N1261" s="145"/>
      <c r="O1261" s="145"/>
    </row>
    <row r="1262" spans="1:15" x14ac:dyDescent="0.35">
      <c r="A1262" s="145"/>
      <c r="B1262" s="145"/>
      <c r="C1262" s="145"/>
      <c r="D1262" s="145"/>
      <c r="E1262" s="145"/>
      <c r="F1262" s="145"/>
      <c r="G1262" s="102"/>
      <c r="H1262" s="145"/>
      <c r="I1262" s="145"/>
      <c r="J1262" s="145"/>
      <c r="K1262" s="145"/>
      <c r="L1262" s="145"/>
      <c r="M1262" s="145"/>
    </row>
    <row r="1263" spans="1:15" x14ac:dyDescent="0.35">
      <c r="A1263" s="145"/>
      <c r="B1263" s="145"/>
      <c r="C1263" s="145"/>
      <c r="D1263" s="145"/>
      <c r="E1263" s="145"/>
      <c r="F1263" s="145"/>
      <c r="G1263" s="102"/>
      <c r="H1263" s="145"/>
      <c r="I1263" s="145"/>
      <c r="J1263" s="145"/>
      <c r="K1263" s="145"/>
      <c r="L1263" s="145"/>
      <c r="M1263" s="145"/>
    </row>
    <row r="1264" spans="1:15" x14ac:dyDescent="0.35">
      <c r="A1264" s="145"/>
      <c r="B1264" s="145"/>
      <c r="C1264" s="145"/>
      <c r="D1264" s="145"/>
      <c r="E1264" s="145"/>
      <c r="F1264" s="145"/>
      <c r="G1264" s="102"/>
      <c r="H1264" s="145"/>
      <c r="I1264" s="145"/>
      <c r="J1264" s="145"/>
      <c r="K1264" s="145"/>
      <c r="L1264" s="145"/>
      <c r="M1264" s="145"/>
    </row>
    <row r="1265" spans="1:15" x14ac:dyDescent="0.35">
      <c r="A1265" s="145"/>
      <c r="B1265" s="145"/>
      <c r="C1265" s="145"/>
      <c r="D1265" s="145"/>
      <c r="E1265" s="145"/>
      <c r="F1265" s="145"/>
      <c r="G1265" s="102"/>
      <c r="H1265" s="145"/>
      <c r="I1265" s="145"/>
      <c r="J1265" s="145"/>
      <c r="K1265" s="145"/>
      <c r="L1265" s="145"/>
      <c r="M1265" s="145"/>
      <c r="N1265" s="31"/>
      <c r="O1265" s="31"/>
    </row>
    <row r="1266" spans="1:15" x14ac:dyDescent="0.35">
      <c r="A1266" s="145"/>
      <c r="B1266" s="145"/>
      <c r="C1266" s="145"/>
      <c r="D1266" s="145"/>
      <c r="E1266" s="145"/>
      <c r="F1266" s="145"/>
      <c r="G1266" s="102"/>
      <c r="H1266" s="145"/>
      <c r="I1266" s="145"/>
      <c r="J1266" s="145"/>
      <c r="K1266" s="145"/>
      <c r="L1266" s="145"/>
      <c r="M1266" s="145"/>
      <c r="N1266" s="145"/>
      <c r="O1266" s="145"/>
    </row>
    <row r="1267" spans="1:15" x14ac:dyDescent="0.35">
      <c r="A1267" s="145"/>
      <c r="B1267" s="145"/>
      <c r="C1267" s="145"/>
      <c r="D1267" s="145"/>
      <c r="E1267" s="145"/>
      <c r="F1267" s="145"/>
      <c r="G1267" s="102"/>
      <c r="H1267" s="145"/>
      <c r="I1267" s="145"/>
      <c r="J1267" s="145"/>
      <c r="K1267" s="145"/>
      <c r="L1267" s="145"/>
      <c r="M1267" s="145"/>
      <c r="N1267" s="145"/>
      <c r="O1267" s="145"/>
    </row>
    <row r="1268" spans="1:15" x14ac:dyDescent="0.35">
      <c r="A1268" s="145"/>
      <c r="B1268" s="145"/>
      <c r="C1268" s="145"/>
      <c r="D1268" s="145"/>
      <c r="E1268" s="145"/>
      <c r="F1268" s="145"/>
      <c r="G1268" s="102"/>
      <c r="H1268" s="145"/>
      <c r="I1268" s="145"/>
      <c r="J1268" s="145"/>
      <c r="K1268" s="145"/>
      <c r="L1268" s="145"/>
      <c r="M1268" s="145"/>
      <c r="N1268" s="145"/>
      <c r="O1268" s="145"/>
    </row>
    <row r="1269" spans="1:15" x14ac:dyDescent="0.35">
      <c r="A1269" s="145"/>
      <c r="B1269" s="145"/>
      <c r="C1269" s="145"/>
      <c r="D1269" s="145"/>
      <c r="E1269" s="145"/>
      <c r="F1269" s="145"/>
      <c r="G1269" s="102"/>
      <c r="H1269" s="145"/>
      <c r="I1269" s="145"/>
      <c r="J1269" s="145"/>
      <c r="K1269" s="145"/>
      <c r="L1269" s="145"/>
      <c r="M1269" s="145"/>
      <c r="N1269" s="145"/>
      <c r="O1269" s="145"/>
    </row>
    <row r="1270" spans="1:15" x14ac:dyDescent="0.35">
      <c r="A1270" s="145"/>
      <c r="B1270" s="145"/>
      <c r="C1270" s="145"/>
      <c r="D1270" s="145"/>
      <c r="E1270" s="145"/>
      <c r="F1270" s="145"/>
      <c r="G1270" s="102"/>
      <c r="H1270" s="145"/>
      <c r="I1270" s="145"/>
      <c r="J1270" s="145"/>
      <c r="K1270" s="145"/>
      <c r="L1270" s="145"/>
      <c r="M1270" s="145"/>
    </row>
    <row r="1271" spans="1:15" x14ac:dyDescent="0.35">
      <c r="A1271" s="145"/>
      <c r="B1271" s="145"/>
      <c r="C1271" s="145"/>
      <c r="D1271" s="145"/>
      <c r="E1271" s="145"/>
      <c r="F1271" s="145"/>
      <c r="G1271" s="102"/>
      <c r="H1271" s="145"/>
      <c r="I1271" s="145"/>
      <c r="J1271" s="145"/>
      <c r="K1271" s="145"/>
      <c r="L1271" s="145"/>
      <c r="M1271" s="145"/>
      <c r="N1271" s="145"/>
      <c r="O1271" s="145"/>
    </row>
    <row r="1272" spans="1:15" x14ac:dyDescent="0.35">
      <c r="A1272" s="145"/>
      <c r="B1272" s="145"/>
      <c r="C1272" s="145"/>
      <c r="D1272" s="145"/>
      <c r="E1272" s="145"/>
      <c r="F1272" s="145"/>
      <c r="G1272" s="102"/>
      <c r="H1272" s="145"/>
      <c r="I1272" s="145"/>
      <c r="J1272" s="145"/>
      <c r="K1272" s="145"/>
      <c r="L1272" s="145"/>
      <c r="M1272" s="145"/>
    </row>
    <row r="1273" spans="1:15" x14ac:dyDescent="0.35">
      <c r="A1273" s="145"/>
      <c r="B1273" s="145"/>
      <c r="C1273" s="145"/>
      <c r="D1273" s="145"/>
      <c r="E1273" s="145"/>
      <c r="F1273" s="145"/>
      <c r="G1273" s="102"/>
      <c r="H1273" s="145"/>
      <c r="I1273" s="145"/>
      <c r="J1273" s="145"/>
      <c r="K1273" s="145"/>
      <c r="L1273" s="145"/>
      <c r="M1273" s="145"/>
    </row>
    <row r="1274" spans="1:15" x14ac:dyDescent="0.35">
      <c r="A1274" s="145"/>
      <c r="B1274" s="145"/>
      <c r="C1274" s="145"/>
      <c r="D1274" s="145"/>
      <c r="E1274" s="145"/>
      <c r="F1274" s="145"/>
      <c r="G1274" s="102"/>
      <c r="H1274" s="145"/>
      <c r="I1274" s="145"/>
      <c r="J1274" s="145"/>
      <c r="K1274" s="145"/>
      <c r="L1274" s="145"/>
      <c r="M1274" s="145"/>
    </row>
    <row r="1275" spans="1:15" x14ac:dyDescent="0.35">
      <c r="A1275" s="145"/>
      <c r="B1275" s="145"/>
      <c r="C1275" s="145"/>
      <c r="D1275" s="145"/>
      <c r="E1275" s="145"/>
      <c r="F1275" s="145"/>
      <c r="G1275" s="102"/>
      <c r="H1275" s="145"/>
      <c r="I1275" s="145"/>
      <c r="J1275" s="145"/>
      <c r="K1275" s="145"/>
      <c r="L1275" s="145"/>
      <c r="M1275" s="145"/>
    </row>
    <row r="1276" spans="1:15" x14ac:dyDescent="0.35">
      <c r="A1276" s="145"/>
      <c r="B1276" s="145"/>
      <c r="C1276" s="145"/>
      <c r="D1276" s="145"/>
      <c r="E1276" s="145"/>
      <c r="F1276" s="145"/>
      <c r="G1276" s="102"/>
      <c r="H1276" s="145"/>
      <c r="I1276" s="145"/>
      <c r="J1276" s="145"/>
      <c r="K1276" s="145"/>
      <c r="L1276" s="145"/>
      <c r="M1276" s="145"/>
    </row>
    <row r="1277" spans="1:15" x14ac:dyDescent="0.35">
      <c r="A1277" s="145"/>
      <c r="B1277" s="145"/>
      <c r="C1277" s="145"/>
      <c r="D1277" s="145"/>
      <c r="E1277" s="145"/>
      <c r="F1277" s="145"/>
      <c r="G1277" s="102"/>
      <c r="H1277" s="145"/>
      <c r="I1277" s="145"/>
      <c r="J1277" s="145"/>
      <c r="K1277" s="145"/>
      <c r="L1277" s="145"/>
      <c r="M1277" s="145"/>
    </row>
    <row r="1278" spans="1:15" x14ac:dyDescent="0.35">
      <c r="A1278" s="145"/>
      <c r="B1278" s="145"/>
      <c r="C1278" s="145"/>
      <c r="D1278" s="145"/>
      <c r="E1278" s="145"/>
      <c r="F1278" s="145"/>
      <c r="G1278" s="102"/>
      <c r="H1278" s="145"/>
      <c r="I1278" s="145"/>
      <c r="J1278" s="145"/>
      <c r="K1278" s="145"/>
      <c r="L1278" s="145"/>
      <c r="M1278" s="145"/>
    </row>
    <row r="1279" spans="1:15" x14ac:dyDescent="0.35">
      <c r="A1279" s="145"/>
      <c r="B1279" s="145"/>
      <c r="C1279" s="145"/>
      <c r="D1279" s="145"/>
      <c r="E1279" s="145"/>
      <c r="F1279" s="145"/>
      <c r="G1279" s="102"/>
      <c r="H1279" s="145"/>
      <c r="I1279" s="145"/>
      <c r="J1279" s="145"/>
      <c r="K1279" s="145"/>
      <c r="L1279" s="145"/>
      <c r="M1279" s="145"/>
    </row>
    <row r="1280" spans="1:15" x14ac:dyDescent="0.35">
      <c r="A1280" s="145"/>
      <c r="B1280" s="145"/>
      <c r="C1280" s="145"/>
      <c r="D1280" s="145"/>
      <c r="E1280" s="145"/>
      <c r="F1280" s="145"/>
      <c r="G1280" s="102"/>
      <c r="H1280" s="145"/>
      <c r="I1280" s="145"/>
      <c r="J1280" s="145"/>
      <c r="K1280" s="145"/>
      <c r="L1280" s="145"/>
      <c r="M1280" s="145"/>
    </row>
    <row r="1281" spans="1:15" x14ac:dyDescent="0.35">
      <c r="A1281" s="145"/>
      <c r="B1281" s="145"/>
      <c r="C1281" s="145"/>
      <c r="D1281" s="145"/>
      <c r="E1281" s="145"/>
      <c r="F1281" s="145"/>
      <c r="G1281" s="102"/>
      <c r="H1281" s="145"/>
      <c r="I1281" s="145"/>
      <c r="J1281" s="145"/>
      <c r="K1281" s="145"/>
      <c r="L1281" s="145"/>
      <c r="M1281" s="145"/>
      <c r="N1281" s="145"/>
      <c r="O1281" s="145"/>
    </row>
    <row r="1282" spans="1:15" x14ac:dyDescent="0.35">
      <c r="A1282" s="145"/>
      <c r="B1282" s="145"/>
      <c r="C1282" s="145"/>
      <c r="D1282" s="145"/>
      <c r="E1282" s="145"/>
      <c r="F1282" s="145"/>
      <c r="G1282" s="102"/>
      <c r="H1282" s="145"/>
      <c r="I1282" s="145"/>
      <c r="J1282" s="145"/>
      <c r="K1282" s="145"/>
      <c r="L1282" s="145"/>
      <c r="M1282" s="145"/>
    </row>
    <row r="1283" spans="1:15" x14ac:dyDescent="0.35">
      <c r="A1283" s="145"/>
      <c r="B1283" s="145"/>
      <c r="C1283" s="145"/>
      <c r="D1283" s="145"/>
      <c r="E1283" s="145"/>
      <c r="F1283" s="145"/>
      <c r="G1283" s="102"/>
      <c r="H1283" s="145"/>
      <c r="I1283" s="145"/>
      <c r="J1283" s="145"/>
      <c r="K1283" s="145"/>
      <c r="L1283" s="145"/>
      <c r="M1283" s="145"/>
    </row>
    <row r="1284" spans="1:15" x14ac:dyDescent="0.35">
      <c r="A1284" s="145"/>
      <c r="B1284" s="145"/>
      <c r="C1284" s="145"/>
      <c r="D1284" s="145"/>
      <c r="E1284" s="145"/>
      <c r="F1284" s="145"/>
      <c r="G1284" s="102"/>
      <c r="H1284" s="145"/>
      <c r="I1284" s="145"/>
      <c r="J1284" s="145"/>
      <c r="K1284" s="145"/>
      <c r="L1284" s="145"/>
      <c r="M1284" s="145"/>
      <c r="N1284" s="145"/>
      <c r="O1284" s="145"/>
    </row>
    <row r="1285" spans="1:15" x14ac:dyDescent="0.35">
      <c r="A1285" s="145"/>
      <c r="B1285" s="145"/>
      <c r="C1285" s="145"/>
      <c r="D1285" s="145"/>
      <c r="E1285" s="145"/>
      <c r="F1285" s="145"/>
      <c r="G1285" s="102"/>
      <c r="H1285" s="145"/>
      <c r="I1285" s="145"/>
      <c r="J1285" s="145"/>
      <c r="K1285" s="145"/>
      <c r="L1285" s="145"/>
      <c r="M1285" s="145"/>
    </row>
    <row r="1286" spans="1:15" x14ac:dyDescent="0.35">
      <c r="A1286" s="145"/>
      <c r="B1286" s="145"/>
      <c r="C1286" s="145"/>
      <c r="D1286" s="145"/>
      <c r="E1286" s="145"/>
      <c r="F1286" s="145"/>
      <c r="G1286" s="102"/>
      <c r="H1286" s="145"/>
      <c r="I1286" s="145"/>
      <c r="J1286" s="145"/>
      <c r="K1286" s="145"/>
      <c r="L1286" s="145"/>
      <c r="M1286" s="145"/>
      <c r="N1286" s="145"/>
      <c r="O1286" s="145"/>
    </row>
    <row r="1287" spans="1:15" x14ac:dyDescent="0.35">
      <c r="A1287" s="145"/>
      <c r="B1287" s="145"/>
      <c r="C1287" s="145"/>
      <c r="D1287" s="145"/>
      <c r="E1287" s="145"/>
      <c r="F1287" s="145"/>
      <c r="G1287" s="102"/>
      <c r="H1287" s="145"/>
      <c r="I1287" s="145"/>
      <c r="J1287" s="145"/>
      <c r="K1287" s="145"/>
      <c r="L1287" s="145"/>
      <c r="M1287" s="145"/>
    </row>
    <row r="1288" spans="1:15" x14ac:dyDescent="0.35">
      <c r="A1288" s="145"/>
      <c r="B1288" s="145"/>
      <c r="C1288" s="145"/>
      <c r="D1288" s="145"/>
      <c r="E1288" s="145"/>
      <c r="F1288" s="145"/>
      <c r="G1288" s="102"/>
      <c r="H1288" s="145"/>
      <c r="I1288" s="145"/>
      <c r="J1288" s="145"/>
      <c r="K1288" s="145"/>
      <c r="L1288" s="145"/>
      <c r="M1288" s="145"/>
    </row>
    <row r="1289" spans="1:15" x14ac:dyDescent="0.35">
      <c r="A1289" s="145"/>
      <c r="B1289" s="145"/>
      <c r="C1289" s="145"/>
      <c r="D1289" s="145"/>
      <c r="E1289" s="145"/>
      <c r="F1289" s="145"/>
      <c r="G1289" s="102"/>
      <c r="H1289" s="145"/>
      <c r="I1289" s="145"/>
      <c r="J1289" s="145"/>
      <c r="K1289" s="145"/>
      <c r="L1289" s="145"/>
      <c r="M1289" s="145"/>
    </row>
    <row r="1290" spans="1:15" x14ac:dyDescent="0.35">
      <c r="A1290" s="145"/>
      <c r="B1290" s="145"/>
      <c r="C1290" s="145"/>
      <c r="D1290" s="145"/>
      <c r="E1290" s="145"/>
      <c r="F1290" s="145"/>
      <c r="G1290" s="102"/>
      <c r="H1290" s="145"/>
      <c r="I1290" s="145"/>
      <c r="J1290" s="145"/>
      <c r="K1290" s="145"/>
      <c r="L1290" s="145"/>
      <c r="M1290" s="145"/>
    </row>
    <row r="1291" spans="1:15" x14ac:dyDescent="0.35">
      <c r="A1291" s="145"/>
      <c r="B1291" s="145"/>
      <c r="C1291" s="145"/>
      <c r="D1291" s="145"/>
      <c r="E1291" s="145"/>
      <c r="F1291" s="145"/>
      <c r="G1291" s="102"/>
      <c r="H1291" s="145"/>
      <c r="I1291" s="145"/>
      <c r="J1291" s="145"/>
      <c r="K1291" s="145"/>
      <c r="L1291" s="145"/>
      <c r="M1291" s="145"/>
    </row>
    <row r="1292" spans="1:15" x14ac:dyDescent="0.35">
      <c r="A1292" s="145"/>
      <c r="B1292" s="145"/>
      <c r="C1292" s="145"/>
      <c r="D1292" s="145"/>
      <c r="E1292" s="145"/>
      <c r="F1292" s="145"/>
      <c r="G1292" s="102"/>
      <c r="H1292" s="145"/>
      <c r="I1292" s="145"/>
      <c r="J1292" s="145"/>
      <c r="K1292" s="145"/>
      <c r="L1292" s="145"/>
      <c r="M1292" s="145"/>
      <c r="N1292" s="145"/>
      <c r="O1292" s="145"/>
    </row>
    <row r="1293" spans="1:15" x14ac:dyDescent="0.35">
      <c r="A1293" s="145"/>
      <c r="B1293" s="145"/>
      <c r="C1293" s="145"/>
      <c r="D1293" s="145"/>
      <c r="E1293" s="145"/>
      <c r="F1293" s="145"/>
      <c r="G1293" s="102"/>
      <c r="H1293" s="145"/>
      <c r="I1293" s="145"/>
      <c r="J1293" s="145"/>
      <c r="K1293" s="145"/>
      <c r="L1293" s="145"/>
      <c r="M1293" s="145"/>
    </row>
    <row r="1294" spans="1:15" x14ac:dyDescent="0.35">
      <c r="A1294" s="145"/>
      <c r="B1294" s="145"/>
      <c r="C1294" s="145"/>
      <c r="D1294" s="145"/>
      <c r="E1294" s="145"/>
      <c r="F1294" s="145"/>
      <c r="G1294" s="102"/>
      <c r="H1294" s="145"/>
      <c r="I1294" s="145"/>
      <c r="J1294" s="145"/>
      <c r="K1294" s="145"/>
      <c r="L1294" s="145"/>
      <c r="M1294" s="145"/>
    </row>
    <row r="1295" spans="1:15" x14ac:dyDescent="0.35">
      <c r="A1295" s="145"/>
      <c r="B1295" s="145"/>
      <c r="C1295" s="145"/>
      <c r="D1295" s="145"/>
      <c r="E1295" s="145"/>
      <c r="F1295" s="145"/>
      <c r="G1295" s="102"/>
      <c r="H1295" s="145"/>
      <c r="I1295" s="145"/>
      <c r="J1295" s="145"/>
      <c r="K1295" s="145"/>
      <c r="L1295" s="145"/>
      <c r="M1295" s="145"/>
    </row>
    <row r="1296" spans="1:15" x14ac:dyDescent="0.35">
      <c r="A1296" s="145"/>
      <c r="B1296" s="145"/>
      <c r="C1296" s="145"/>
      <c r="D1296" s="145"/>
      <c r="E1296" s="145"/>
      <c r="F1296" s="145"/>
      <c r="G1296" s="102"/>
      <c r="H1296" s="145"/>
      <c r="I1296" s="145"/>
      <c r="J1296" s="145"/>
      <c r="K1296" s="145"/>
      <c r="L1296" s="145"/>
      <c r="M1296" s="145"/>
    </row>
    <row r="1297" spans="1:15" x14ac:dyDescent="0.35">
      <c r="A1297" s="145"/>
      <c r="B1297" s="145"/>
      <c r="C1297" s="145"/>
      <c r="D1297" s="145"/>
      <c r="E1297" s="145"/>
      <c r="F1297" s="145"/>
      <c r="G1297" s="102"/>
      <c r="H1297" s="145"/>
      <c r="I1297" s="145"/>
      <c r="J1297" s="145"/>
      <c r="K1297" s="145"/>
      <c r="L1297" s="145"/>
      <c r="M1297" s="145"/>
    </row>
    <row r="1298" spans="1:15" x14ac:dyDescent="0.35">
      <c r="A1298" s="145"/>
      <c r="B1298" s="145"/>
      <c r="C1298" s="145"/>
      <c r="D1298" s="145"/>
      <c r="E1298" s="145"/>
      <c r="F1298" s="145"/>
      <c r="G1298" s="102"/>
      <c r="H1298" s="145"/>
      <c r="I1298" s="145"/>
      <c r="J1298" s="145"/>
      <c r="K1298" s="145"/>
      <c r="L1298" s="145"/>
      <c r="M1298" s="145"/>
    </row>
    <row r="1299" spans="1:15" x14ac:dyDescent="0.35">
      <c r="A1299" s="145"/>
      <c r="B1299" s="145"/>
      <c r="C1299" s="145"/>
      <c r="D1299" s="145"/>
      <c r="E1299" s="145"/>
      <c r="F1299" s="145"/>
      <c r="G1299" s="102"/>
      <c r="H1299" s="145"/>
      <c r="I1299" s="145"/>
      <c r="J1299" s="145"/>
      <c r="K1299" s="145"/>
      <c r="L1299" s="145"/>
      <c r="M1299" s="145"/>
    </row>
    <row r="1300" spans="1:15" x14ac:dyDescent="0.35">
      <c r="A1300" s="145"/>
      <c r="B1300" s="145"/>
      <c r="C1300" s="145"/>
      <c r="D1300" s="145"/>
      <c r="E1300" s="145"/>
      <c r="F1300" s="145"/>
      <c r="G1300" s="102"/>
      <c r="H1300" s="145"/>
      <c r="I1300" s="145"/>
      <c r="J1300" s="145"/>
      <c r="K1300" s="145"/>
      <c r="L1300" s="145"/>
      <c r="M1300" s="145"/>
    </row>
    <row r="1301" spans="1:15" x14ac:dyDescent="0.35">
      <c r="A1301" s="145"/>
      <c r="B1301" s="145"/>
      <c r="C1301" s="145"/>
      <c r="D1301" s="145"/>
      <c r="E1301" s="145"/>
      <c r="F1301" s="145"/>
      <c r="G1301" s="102"/>
      <c r="H1301" s="145"/>
      <c r="I1301" s="145"/>
      <c r="J1301" s="145"/>
      <c r="K1301" s="145"/>
      <c r="L1301" s="145"/>
      <c r="M1301" s="145"/>
    </row>
    <row r="1302" spans="1:15" x14ac:dyDescent="0.35">
      <c r="A1302" s="145"/>
      <c r="B1302" s="145"/>
      <c r="C1302" s="145"/>
      <c r="D1302" s="145"/>
      <c r="E1302" s="145"/>
      <c r="F1302" s="145"/>
      <c r="G1302" s="102"/>
      <c r="H1302" s="145"/>
      <c r="I1302" s="145"/>
      <c r="J1302" s="145"/>
      <c r="K1302" s="145"/>
      <c r="L1302" s="145"/>
      <c r="M1302" s="145"/>
    </row>
    <row r="1303" spans="1:15" x14ac:dyDescent="0.35">
      <c r="A1303" s="145"/>
      <c r="B1303" s="145"/>
      <c r="C1303" s="145"/>
      <c r="D1303" s="145"/>
      <c r="E1303" s="145"/>
      <c r="F1303" s="145"/>
      <c r="G1303" s="102"/>
      <c r="H1303" s="145"/>
      <c r="I1303" s="145"/>
      <c r="J1303" s="145"/>
      <c r="K1303" s="145"/>
      <c r="L1303" s="145"/>
      <c r="M1303" s="145"/>
    </row>
    <row r="1304" spans="1:15" x14ac:dyDescent="0.35">
      <c r="A1304" s="145"/>
      <c r="B1304" s="145"/>
      <c r="C1304" s="145"/>
      <c r="D1304" s="145"/>
      <c r="E1304" s="145"/>
      <c r="F1304" s="145"/>
      <c r="G1304" s="102"/>
      <c r="H1304" s="145"/>
      <c r="I1304" s="145"/>
      <c r="J1304" s="145"/>
      <c r="K1304" s="145"/>
      <c r="L1304" s="145"/>
      <c r="M1304" s="145"/>
    </row>
    <row r="1305" spans="1:15" x14ac:dyDescent="0.35">
      <c r="A1305" s="145"/>
      <c r="B1305" s="145"/>
      <c r="C1305" s="145"/>
      <c r="D1305" s="145"/>
      <c r="E1305" s="145"/>
      <c r="F1305" s="145"/>
      <c r="G1305" s="102"/>
      <c r="H1305" s="145"/>
      <c r="I1305" s="145"/>
      <c r="J1305" s="145"/>
      <c r="K1305" s="145"/>
      <c r="L1305" s="145"/>
      <c r="M1305" s="145"/>
      <c r="N1305" s="145"/>
      <c r="O1305" s="145"/>
    </row>
    <row r="1306" spans="1:15" x14ac:dyDescent="0.35">
      <c r="A1306" s="145"/>
      <c r="B1306" s="145"/>
      <c r="C1306" s="145"/>
      <c r="D1306" s="145"/>
      <c r="E1306" s="145"/>
      <c r="F1306" s="145"/>
      <c r="G1306" s="102"/>
      <c r="H1306" s="145"/>
      <c r="I1306" s="145"/>
      <c r="J1306" s="145"/>
      <c r="K1306" s="145"/>
      <c r="L1306" s="145"/>
      <c r="M1306" s="145"/>
    </row>
    <row r="1307" spans="1:15" x14ac:dyDescent="0.35">
      <c r="A1307" s="145"/>
      <c r="B1307" s="145"/>
      <c r="C1307" s="145"/>
      <c r="D1307" s="145"/>
      <c r="E1307" s="145"/>
      <c r="F1307" s="145"/>
      <c r="G1307" s="102"/>
      <c r="H1307" s="145"/>
      <c r="I1307" s="145"/>
      <c r="J1307" s="145"/>
      <c r="K1307" s="145"/>
      <c r="L1307" s="145"/>
      <c r="M1307" s="145"/>
    </row>
    <row r="1308" spans="1:15" x14ac:dyDescent="0.35">
      <c r="A1308" s="145"/>
      <c r="B1308" s="145"/>
      <c r="C1308" s="145"/>
      <c r="D1308" s="145"/>
      <c r="E1308" s="145"/>
      <c r="F1308" s="145"/>
      <c r="G1308" s="102"/>
      <c r="H1308" s="145"/>
      <c r="I1308" s="145"/>
      <c r="J1308" s="145"/>
      <c r="K1308" s="145"/>
      <c r="L1308" s="145"/>
      <c r="M1308" s="145"/>
      <c r="N1308" s="145"/>
      <c r="O1308" s="145"/>
    </row>
    <row r="1309" spans="1:15" x14ac:dyDescent="0.35">
      <c r="A1309" s="145"/>
      <c r="B1309" s="145"/>
      <c r="C1309" s="145"/>
      <c r="D1309" s="145"/>
      <c r="E1309" s="145"/>
      <c r="F1309" s="145"/>
      <c r="G1309" s="102"/>
      <c r="H1309" s="145"/>
      <c r="I1309" s="145"/>
      <c r="J1309" s="145"/>
      <c r="K1309" s="145"/>
      <c r="L1309" s="145"/>
      <c r="M1309" s="145"/>
    </row>
    <row r="1310" spans="1:15" x14ac:dyDescent="0.35">
      <c r="A1310" s="145"/>
      <c r="B1310" s="145"/>
      <c r="C1310" s="145"/>
      <c r="D1310" s="145"/>
      <c r="E1310" s="145"/>
      <c r="F1310" s="145"/>
      <c r="G1310" s="102"/>
      <c r="H1310" s="145"/>
      <c r="I1310" s="145"/>
      <c r="J1310" s="145"/>
      <c r="K1310" s="145"/>
      <c r="L1310" s="145"/>
      <c r="M1310" s="145"/>
    </row>
    <row r="1311" spans="1:15" x14ac:dyDescent="0.35">
      <c r="A1311" s="145"/>
      <c r="B1311" s="145"/>
      <c r="C1311" s="145"/>
      <c r="D1311" s="145"/>
      <c r="E1311" s="145"/>
      <c r="F1311" s="145"/>
      <c r="G1311" s="102"/>
      <c r="H1311" s="145"/>
      <c r="I1311" s="145"/>
      <c r="J1311" s="145"/>
      <c r="K1311" s="145"/>
      <c r="L1311" s="145"/>
      <c r="M1311" s="145"/>
      <c r="N1311" s="145"/>
      <c r="O1311" s="145"/>
    </row>
    <row r="1312" spans="1:15" x14ac:dyDescent="0.35">
      <c r="A1312" s="145"/>
      <c r="B1312" s="145"/>
      <c r="C1312" s="145"/>
      <c r="D1312" s="145"/>
      <c r="E1312" s="145"/>
      <c r="F1312" s="145"/>
      <c r="G1312" s="102"/>
      <c r="H1312" s="145"/>
      <c r="I1312" s="145"/>
      <c r="J1312" s="145"/>
      <c r="K1312" s="145"/>
      <c r="L1312" s="145"/>
      <c r="M1312" s="145"/>
      <c r="N1312" s="145"/>
      <c r="O1312" s="145"/>
    </row>
    <row r="1313" spans="1:15" x14ac:dyDescent="0.35">
      <c r="A1313" s="145"/>
      <c r="B1313" s="145"/>
      <c r="C1313" s="145"/>
      <c r="D1313" s="145"/>
      <c r="E1313" s="145"/>
      <c r="F1313" s="145"/>
      <c r="G1313" s="102"/>
      <c r="H1313" s="145"/>
      <c r="I1313" s="145"/>
      <c r="J1313" s="145"/>
      <c r="K1313" s="145"/>
      <c r="L1313" s="145"/>
      <c r="M1313" s="145"/>
    </row>
    <row r="1314" spans="1:15" x14ac:dyDescent="0.35">
      <c r="A1314" s="145"/>
      <c r="B1314" s="145"/>
      <c r="C1314" s="145"/>
      <c r="D1314" s="145"/>
      <c r="E1314" s="145"/>
      <c r="F1314" s="145"/>
      <c r="G1314" s="102"/>
      <c r="H1314" s="145"/>
      <c r="I1314" s="145"/>
      <c r="J1314" s="145"/>
      <c r="K1314" s="145"/>
      <c r="L1314" s="145"/>
      <c r="M1314" s="145"/>
    </row>
    <row r="1315" spans="1:15" x14ac:dyDescent="0.35">
      <c r="A1315" s="145"/>
      <c r="B1315" s="145"/>
      <c r="C1315" s="145"/>
      <c r="D1315" s="145"/>
      <c r="E1315" s="145"/>
      <c r="F1315" s="145"/>
      <c r="G1315" s="102"/>
      <c r="H1315" s="145"/>
      <c r="I1315" s="145"/>
      <c r="J1315" s="145"/>
      <c r="K1315" s="145"/>
      <c r="L1315" s="145"/>
      <c r="M1315" s="145"/>
      <c r="N1315" s="145"/>
      <c r="O1315" s="145"/>
    </row>
    <row r="1316" spans="1:15" x14ac:dyDescent="0.35">
      <c r="A1316" s="145"/>
      <c r="B1316" s="145"/>
      <c r="C1316" s="145"/>
      <c r="D1316" s="145"/>
      <c r="E1316" s="145"/>
      <c r="F1316" s="145"/>
      <c r="G1316" s="102"/>
      <c r="H1316" s="145"/>
      <c r="I1316" s="145"/>
      <c r="J1316" s="145"/>
      <c r="K1316" s="145"/>
      <c r="L1316" s="145"/>
      <c r="M1316" s="145"/>
      <c r="N1316" s="145"/>
      <c r="O1316" s="145"/>
    </row>
    <row r="1317" spans="1:15" x14ac:dyDescent="0.35">
      <c r="A1317" s="145"/>
      <c r="B1317" s="145"/>
      <c r="C1317" s="145"/>
      <c r="D1317" s="145"/>
      <c r="E1317" s="145"/>
      <c r="F1317" s="145"/>
      <c r="G1317" s="102"/>
      <c r="H1317" s="145"/>
      <c r="I1317" s="145"/>
      <c r="J1317" s="145"/>
      <c r="K1317" s="145"/>
      <c r="L1317" s="145"/>
      <c r="M1317" s="145"/>
      <c r="N1317" s="145"/>
      <c r="O1317" s="145"/>
    </row>
    <row r="1318" spans="1:15" x14ac:dyDescent="0.35">
      <c r="A1318" s="145"/>
      <c r="B1318" s="145"/>
      <c r="C1318" s="145"/>
      <c r="D1318" s="145"/>
      <c r="E1318" s="145"/>
      <c r="F1318" s="145"/>
      <c r="G1318" s="102"/>
      <c r="H1318" s="145"/>
      <c r="I1318" s="145"/>
      <c r="J1318" s="145"/>
      <c r="K1318" s="145"/>
      <c r="L1318" s="145"/>
      <c r="M1318" s="145"/>
      <c r="N1318" s="145"/>
      <c r="O1318" s="145"/>
    </row>
    <row r="1319" spans="1:15" x14ac:dyDescent="0.35">
      <c r="A1319" s="145"/>
      <c r="B1319" s="145"/>
      <c r="C1319" s="145"/>
      <c r="D1319" s="145"/>
      <c r="E1319" s="145"/>
      <c r="F1319" s="145"/>
      <c r="G1319" s="102"/>
      <c r="H1319" s="145"/>
      <c r="I1319" s="145"/>
      <c r="J1319" s="145"/>
      <c r="K1319" s="145"/>
      <c r="L1319" s="145"/>
      <c r="M1319" s="145"/>
      <c r="N1319" s="145"/>
      <c r="O1319" s="145"/>
    </row>
    <row r="1320" spans="1:15" x14ac:dyDescent="0.35">
      <c r="A1320" s="145"/>
      <c r="B1320" s="145"/>
      <c r="C1320" s="145"/>
      <c r="D1320" s="145"/>
      <c r="E1320" s="145"/>
      <c r="F1320" s="145"/>
      <c r="G1320" s="102"/>
      <c r="H1320" s="145"/>
      <c r="I1320" s="145"/>
      <c r="J1320" s="145"/>
      <c r="K1320" s="145"/>
      <c r="L1320" s="145"/>
      <c r="M1320" s="145"/>
      <c r="N1320" s="145"/>
      <c r="O1320" s="145"/>
    </row>
    <row r="1321" spans="1:15" x14ac:dyDescent="0.35">
      <c r="A1321" s="145"/>
      <c r="B1321" s="145"/>
      <c r="C1321" s="145"/>
      <c r="D1321" s="145"/>
      <c r="E1321" s="145"/>
      <c r="F1321" s="145"/>
      <c r="G1321" s="102"/>
      <c r="H1321" s="145"/>
      <c r="I1321" s="145"/>
      <c r="J1321" s="145"/>
      <c r="K1321" s="145"/>
      <c r="L1321" s="145"/>
      <c r="M1321" s="145"/>
      <c r="N1321" s="145"/>
      <c r="O1321" s="145"/>
    </row>
    <row r="1322" spans="1:15" x14ac:dyDescent="0.35">
      <c r="A1322" s="145"/>
      <c r="B1322" s="145"/>
      <c r="C1322" s="145"/>
      <c r="D1322" s="145"/>
      <c r="E1322" s="145"/>
      <c r="F1322" s="145"/>
      <c r="G1322" s="102"/>
      <c r="H1322" s="145"/>
      <c r="I1322" s="145"/>
      <c r="J1322" s="145"/>
      <c r="K1322" s="145"/>
      <c r="L1322" s="145"/>
      <c r="M1322" s="145"/>
      <c r="N1322" s="145"/>
      <c r="O1322" s="145"/>
    </row>
    <row r="1323" spans="1:15" x14ac:dyDescent="0.35">
      <c r="A1323" s="145"/>
      <c r="B1323" s="145"/>
      <c r="C1323" s="145"/>
      <c r="D1323" s="145"/>
      <c r="E1323" s="145"/>
      <c r="F1323" s="145"/>
      <c r="G1323" s="102"/>
      <c r="H1323" s="145"/>
      <c r="I1323" s="145"/>
      <c r="J1323" s="145"/>
      <c r="K1323" s="145"/>
      <c r="L1323" s="145"/>
      <c r="M1323" s="145"/>
      <c r="N1323" s="145"/>
      <c r="O1323" s="145"/>
    </row>
    <row r="1324" spans="1:15" x14ac:dyDescent="0.35">
      <c r="A1324" s="145"/>
      <c r="B1324" s="145"/>
      <c r="C1324" s="145"/>
      <c r="D1324" s="145"/>
      <c r="E1324" s="145"/>
      <c r="F1324" s="145"/>
      <c r="G1324" s="102"/>
      <c r="H1324" s="145"/>
      <c r="I1324" s="145"/>
      <c r="J1324" s="145"/>
      <c r="K1324" s="145"/>
      <c r="L1324" s="145"/>
      <c r="M1324" s="145"/>
      <c r="N1324" s="31"/>
      <c r="O1324" s="31"/>
    </row>
    <row r="1325" spans="1:15" x14ac:dyDescent="0.35">
      <c r="A1325" s="145"/>
      <c r="B1325" s="145"/>
      <c r="C1325" s="145"/>
      <c r="D1325" s="145"/>
      <c r="E1325" s="145"/>
      <c r="F1325" s="145"/>
      <c r="G1325" s="102"/>
      <c r="H1325" s="145"/>
      <c r="I1325" s="145"/>
      <c r="J1325" s="145"/>
      <c r="K1325" s="145"/>
      <c r="L1325" s="145"/>
      <c r="M1325" s="145"/>
      <c r="N1325" s="145"/>
      <c r="O1325" s="145"/>
    </row>
    <row r="1326" spans="1:15" x14ac:dyDescent="0.35">
      <c r="A1326" s="145"/>
      <c r="B1326" s="145"/>
      <c r="C1326" s="145"/>
      <c r="D1326" s="145"/>
      <c r="E1326" s="145"/>
      <c r="F1326" s="145"/>
      <c r="G1326" s="102"/>
      <c r="H1326" s="145"/>
      <c r="I1326" s="145"/>
      <c r="J1326" s="145"/>
      <c r="K1326" s="145"/>
      <c r="L1326" s="145"/>
      <c r="M1326" s="145"/>
      <c r="N1326" s="145"/>
      <c r="O1326" s="145"/>
    </row>
    <row r="1327" spans="1:15" x14ac:dyDescent="0.35">
      <c r="A1327" s="145"/>
      <c r="B1327" s="145"/>
      <c r="C1327" s="145"/>
      <c r="D1327" s="145"/>
      <c r="E1327" s="145"/>
      <c r="F1327" s="145"/>
      <c r="G1327" s="102"/>
      <c r="H1327" s="145"/>
      <c r="I1327" s="145"/>
      <c r="J1327" s="145"/>
      <c r="K1327" s="145"/>
      <c r="L1327" s="145"/>
      <c r="M1327" s="145"/>
    </row>
    <row r="1328" spans="1:15" x14ac:dyDescent="0.35">
      <c r="A1328" s="145"/>
      <c r="B1328" s="145"/>
      <c r="C1328" s="145"/>
      <c r="D1328" s="145"/>
      <c r="E1328" s="145"/>
      <c r="F1328" s="145"/>
      <c r="G1328" s="102"/>
      <c r="H1328" s="145"/>
      <c r="I1328" s="145"/>
      <c r="J1328" s="145"/>
      <c r="K1328" s="145"/>
      <c r="L1328" s="145"/>
      <c r="M1328" s="145"/>
      <c r="N1328" s="145"/>
      <c r="O1328" s="145"/>
    </row>
    <row r="1329" spans="1:15" x14ac:dyDescent="0.35">
      <c r="A1329" s="145"/>
      <c r="B1329" s="145"/>
      <c r="C1329" s="145"/>
      <c r="D1329" s="145"/>
      <c r="E1329" s="145"/>
      <c r="F1329" s="145"/>
      <c r="G1329" s="102"/>
      <c r="H1329" s="145"/>
      <c r="I1329" s="145"/>
      <c r="J1329" s="145"/>
      <c r="K1329" s="145"/>
      <c r="L1329" s="145"/>
      <c r="M1329" s="145"/>
      <c r="N1329" s="145"/>
      <c r="O1329" s="145"/>
    </row>
    <row r="1330" spans="1:15" x14ac:dyDescent="0.35">
      <c r="A1330" s="145"/>
      <c r="B1330" s="145"/>
      <c r="C1330" s="145"/>
      <c r="D1330" s="145"/>
      <c r="E1330" s="145"/>
      <c r="F1330" s="145"/>
      <c r="G1330" s="102"/>
      <c r="H1330" s="145"/>
      <c r="I1330" s="145"/>
      <c r="J1330" s="145"/>
      <c r="K1330" s="145"/>
      <c r="L1330" s="145"/>
      <c r="M1330" s="145"/>
      <c r="N1330" s="145"/>
      <c r="O1330" s="145"/>
    </row>
    <row r="1331" spans="1:15" x14ac:dyDescent="0.35">
      <c r="A1331" s="145"/>
      <c r="B1331" s="145"/>
      <c r="C1331" s="145"/>
      <c r="D1331" s="145"/>
      <c r="E1331" s="145"/>
      <c r="F1331" s="145"/>
      <c r="G1331" s="102"/>
      <c r="H1331" s="145"/>
      <c r="I1331" s="145"/>
      <c r="J1331" s="145"/>
      <c r="K1331" s="145"/>
      <c r="L1331" s="145"/>
      <c r="M1331" s="145"/>
      <c r="N1331" s="145"/>
      <c r="O1331" s="145"/>
    </row>
    <row r="1332" spans="1:15" x14ac:dyDescent="0.35">
      <c r="A1332" s="145"/>
      <c r="B1332" s="145"/>
      <c r="C1332" s="145"/>
      <c r="D1332" s="145"/>
      <c r="E1332" s="145"/>
      <c r="F1332" s="145"/>
      <c r="G1332" s="102"/>
      <c r="H1332" s="145"/>
      <c r="I1332" s="145"/>
      <c r="J1332" s="145"/>
      <c r="K1332" s="145"/>
      <c r="L1332" s="145"/>
      <c r="M1332" s="145"/>
      <c r="N1332" s="145"/>
      <c r="O1332" s="145"/>
    </row>
    <row r="1333" spans="1:15" x14ac:dyDescent="0.35">
      <c r="A1333" s="145"/>
      <c r="B1333" s="145"/>
      <c r="C1333" s="145"/>
      <c r="D1333" s="145"/>
      <c r="E1333" s="145"/>
      <c r="F1333" s="145"/>
      <c r="G1333" s="102"/>
      <c r="H1333" s="145"/>
      <c r="I1333" s="145"/>
      <c r="J1333" s="145"/>
      <c r="K1333" s="145"/>
      <c r="L1333" s="145"/>
      <c r="M1333" s="145"/>
      <c r="N1333" s="145"/>
      <c r="O1333" s="145"/>
    </row>
    <row r="1334" spans="1:15" x14ac:dyDescent="0.35">
      <c r="A1334" s="145"/>
      <c r="B1334" s="145"/>
      <c r="C1334" s="145"/>
      <c r="D1334" s="145"/>
      <c r="E1334" s="145"/>
      <c r="F1334" s="145"/>
      <c r="G1334" s="102"/>
      <c r="H1334" s="145"/>
      <c r="I1334" s="145"/>
      <c r="J1334" s="145"/>
      <c r="K1334" s="145"/>
      <c r="L1334" s="145"/>
      <c r="M1334" s="145"/>
      <c r="N1334" s="145"/>
      <c r="O1334" s="145"/>
    </row>
    <row r="1335" spans="1:15" x14ac:dyDescent="0.35">
      <c r="A1335" s="145"/>
      <c r="B1335" s="145"/>
      <c r="C1335" s="145"/>
      <c r="D1335" s="145"/>
      <c r="E1335" s="145"/>
      <c r="F1335" s="145"/>
      <c r="G1335" s="102"/>
      <c r="H1335" s="145"/>
      <c r="I1335" s="145"/>
      <c r="J1335" s="145"/>
      <c r="K1335" s="145"/>
      <c r="L1335" s="145"/>
      <c r="M1335" s="145"/>
      <c r="N1335" s="145"/>
      <c r="O1335" s="145"/>
    </row>
    <row r="1336" spans="1:15" x14ac:dyDescent="0.35">
      <c r="A1336" s="145"/>
      <c r="B1336" s="145"/>
      <c r="C1336" s="145"/>
      <c r="D1336" s="145"/>
      <c r="E1336" s="145"/>
      <c r="F1336" s="145"/>
      <c r="G1336" s="102"/>
      <c r="H1336" s="145"/>
      <c r="I1336" s="145"/>
      <c r="J1336" s="145"/>
      <c r="K1336" s="145"/>
      <c r="L1336" s="145"/>
      <c r="M1336" s="145"/>
      <c r="N1336" s="145"/>
      <c r="O1336" s="145"/>
    </row>
    <row r="1337" spans="1:15" x14ac:dyDescent="0.35">
      <c r="A1337" s="145"/>
      <c r="B1337" s="145"/>
      <c r="C1337" s="145"/>
      <c r="D1337" s="145"/>
      <c r="E1337" s="145"/>
      <c r="F1337" s="145"/>
      <c r="G1337" s="102"/>
      <c r="H1337" s="145"/>
      <c r="I1337" s="145"/>
      <c r="J1337" s="145"/>
      <c r="K1337" s="145"/>
      <c r="L1337" s="145"/>
      <c r="M1337" s="145"/>
    </row>
    <row r="1338" spans="1:15" x14ac:dyDescent="0.35">
      <c r="A1338" s="145"/>
      <c r="B1338" s="145"/>
      <c r="C1338" s="145"/>
      <c r="D1338" s="145"/>
      <c r="E1338" s="145"/>
      <c r="F1338" s="145"/>
      <c r="G1338" s="102"/>
      <c r="H1338" s="145"/>
      <c r="I1338" s="145"/>
      <c r="J1338" s="145"/>
      <c r="K1338" s="145"/>
      <c r="L1338" s="145"/>
      <c r="M1338" s="145"/>
      <c r="N1338" s="145"/>
      <c r="O1338" s="145"/>
    </row>
    <row r="1339" spans="1:15" x14ac:dyDescent="0.35">
      <c r="A1339" s="145"/>
      <c r="B1339" s="145"/>
      <c r="C1339" s="145"/>
      <c r="D1339" s="145"/>
      <c r="E1339" s="145"/>
      <c r="F1339" s="145"/>
      <c r="G1339" s="102"/>
      <c r="H1339" s="145"/>
      <c r="I1339" s="145"/>
      <c r="J1339" s="145"/>
      <c r="K1339" s="145"/>
      <c r="L1339" s="145"/>
      <c r="M1339" s="145"/>
      <c r="N1339" s="145"/>
      <c r="O1339" s="145"/>
    </row>
    <row r="1340" spans="1:15" x14ac:dyDescent="0.35">
      <c r="A1340" s="145"/>
      <c r="B1340" s="145"/>
      <c r="C1340" s="145"/>
      <c r="D1340" s="145"/>
      <c r="E1340" s="145"/>
      <c r="F1340" s="145"/>
      <c r="G1340" s="102"/>
      <c r="H1340" s="145"/>
      <c r="I1340" s="145"/>
      <c r="J1340" s="145"/>
      <c r="K1340" s="145"/>
      <c r="L1340" s="145"/>
      <c r="M1340" s="145"/>
      <c r="N1340" s="145"/>
      <c r="O1340" s="145"/>
    </row>
    <row r="1341" spans="1:15" x14ac:dyDescent="0.35">
      <c r="A1341" s="145"/>
      <c r="B1341" s="145"/>
      <c r="C1341" s="145"/>
      <c r="D1341" s="145"/>
      <c r="E1341" s="145"/>
      <c r="F1341" s="145"/>
      <c r="G1341" s="102"/>
      <c r="H1341" s="145"/>
      <c r="I1341" s="145"/>
      <c r="J1341" s="145"/>
      <c r="K1341" s="145"/>
      <c r="L1341" s="145"/>
      <c r="M1341" s="145"/>
      <c r="N1341" s="145"/>
      <c r="O1341" s="145"/>
    </row>
    <row r="1342" spans="1:15" x14ac:dyDescent="0.35">
      <c r="A1342" s="145"/>
      <c r="B1342" s="145"/>
      <c r="C1342" s="145"/>
      <c r="D1342" s="145"/>
      <c r="E1342" s="145"/>
      <c r="F1342" s="145"/>
      <c r="G1342" s="102"/>
      <c r="H1342" s="145"/>
      <c r="I1342" s="145"/>
      <c r="J1342" s="145"/>
      <c r="K1342" s="145"/>
      <c r="L1342" s="145"/>
      <c r="M1342" s="145"/>
      <c r="N1342" s="145"/>
      <c r="O1342" s="145"/>
    </row>
    <row r="1343" spans="1:15" x14ac:dyDescent="0.35">
      <c r="A1343" s="145"/>
      <c r="B1343" s="145"/>
      <c r="C1343" s="145"/>
      <c r="D1343" s="145"/>
      <c r="E1343" s="145"/>
      <c r="F1343" s="145"/>
      <c r="G1343" s="102"/>
      <c r="H1343" s="145"/>
      <c r="I1343" s="145"/>
      <c r="J1343" s="145"/>
      <c r="K1343" s="145"/>
      <c r="L1343" s="145"/>
      <c r="M1343" s="145"/>
      <c r="N1343" s="145"/>
      <c r="O1343" s="145"/>
    </row>
    <row r="1344" spans="1:15" x14ac:dyDescent="0.35">
      <c r="A1344" s="145"/>
      <c r="B1344" s="145"/>
      <c r="C1344" s="145"/>
      <c r="D1344" s="145"/>
      <c r="E1344" s="145"/>
      <c r="F1344" s="145"/>
      <c r="G1344" s="102"/>
      <c r="H1344" s="145"/>
      <c r="I1344" s="145"/>
      <c r="J1344" s="145"/>
      <c r="K1344" s="145"/>
      <c r="L1344" s="145"/>
      <c r="M1344" s="145"/>
      <c r="N1344" s="145"/>
      <c r="O1344" s="145"/>
    </row>
    <row r="1345" spans="1:15" x14ac:dyDescent="0.35">
      <c r="A1345" s="145"/>
      <c r="B1345" s="145"/>
      <c r="C1345" s="145"/>
      <c r="D1345" s="145"/>
      <c r="E1345" s="145"/>
      <c r="F1345" s="145"/>
      <c r="G1345" s="102"/>
      <c r="H1345" s="145"/>
      <c r="I1345" s="145"/>
      <c r="J1345" s="145"/>
      <c r="K1345" s="145"/>
      <c r="L1345" s="145"/>
      <c r="M1345" s="145"/>
      <c r="N1345" s="145"/>
      <c r="O1345" s="145"/>
    </row>
    <row r="1346" spans="1:15" x14ac:dyDescent="0.35">
      <c r="A1346" s="145"/>
      <c r="B1346" s="145"/>
      <c r="C1346" s="145"/>
      <c r="D1346" s="145"/>
      <c r="E1346" s="145"/>
      <c r="F1346" s="145"/>
      <c r="G1346" s="102"/>
      <c r="H1346" s="145"/>
      <c r="I1346" s="145"/>
      <c r="J1346" s="145"/>
      <c r="K1346" s="145"/>
      <c r="L1346" s="145"/>
      <c r="M1346" s="145"/>
      <c r="N1346" s="145"/>
      <c r="O1346" s="145"/>
    </row>
    <row r="1347" spans="1:15" x14ac:dyDescent="0.35">
      <c r="A1347" s="145"/>
      <c r="B1347" s="145"/>
      <c r="C1347" s="145"/>
      <c r="D1347" s="145"/>
      <c r="E1347" s="145"/>
      <c r="F1347" s="145"/>
      <c r="G1347" s="102"/>
      <c r="H1347" s="145"/>
      <c r="I1347" s="145"/>
      <c r="J1347" s="145"/>
      <c r="K1347" s="145"/>
      <c r="L1347" s="145"/>
      <c r="M1347" s="145"/>
      <c r="N1347" s="145"/>
      <c r="O1347" s="145"/>
    </row>
    <row r="1348" spans="1:15" x14ac:dyDescent="0.35">
      <c r="A1348" s="145"/>
      <c r="B1348" s="145"/>
      <c r="C1348" s="145"/>
      <c r="D1348" s="145"/>
      <c r="E1348" s="145"/>
      <c r="F1348" s="145"/>
      <c r="G1348" s="102"/>
      <c r="H1348" s="145"/>
      <c r="I1348" s="145"/>
      <c r="J1348" s="145"/>
      <c r="K1348" s="145"/>
      <c r="L1348" s="145"/>
      <c r="M1348" s="145"/>
      <c r="N1348" s="145"/>
      <c r="O1348" s="145"/>
    </row>
    <row r="1349" spans="1:15" x14ac:dyDescent="0.35">
      <c r="A1349" s="145"/>
      <c r="B1349" s="145"/>
      <c r="C1349" s="145"/>
      <c r="D1349" s="145"/>
      <c r="E1349" s="145"/>
      <c r="F1349" s="145"/>
      <c r="G1349" s="102"/>
      <c r="H1349" s="145"/>
      <c r="I1349" s="145"/>
      <c r="J1349" s="145"/>
      <c r="K1349" s="145"/>
      <c r="L1349" s="145"/>
      <c r="M1349" s="145"/>
      <c r="N1349" s="145"/>
      <c r="O1349" s="145"/>
    </row>
    <row r="1350" spans="1:15" x14ac:dyDescent="0.35">
      <c r="A1350" s="145"/>
      <c r="B1350" s="145"/>
      <c r="C1350" s="145"/>
      <c r="D1350" s="145"/>
      <c r="E1350" s="145"/>
      <c r="F1350" s="145"/>
      <c r="G1350" s="102"/>
      <c r="H1350" s="145"/>
      <c r="I1350" s="145"/>
      <c r="J1350" s="145"/>
      <c r="K1350" s="145"/>
      <c r="L1350" s="145"/>
      <c r="M1350" s="145"/>
      <c r="N1350" s="145"/>
      <c r="O1350" s="145"/>
    </row>
    <row r="1351" spans="1:15" x14ac:dyDescent="0.35">
      <c r="A1351" s="145"/>
      <c r="B1351" s="145"/>
      <c r="C1351" s="145"/>
      <c r="D1351" s="145"/>
      <c r="E1351" s="145"/>
      <c r="F1351" s="145"/>
      <c r="G1351" s="102"/>
      <c r="H1351" s="145"/>
      <c r="I1351" s="145"/>
      <c r="J1351" s="145"/>
      <c r="K1351" s="145"/>
      <c r="L1351" s="145"/>
      <c r="M1351" s="145"/>
      <c r="N1351" s="145"/>
      <c r="O1351" s="145"/>
    </row>
    <row r="1352" spans="1:15" x14ac:dyDescent="0.35">
      <c r="A1352" s="145"/>
      <c r="B1352" s="145"/>
      <c r="C1352" s="145"/>
      <c r="D1352" s="145"/>
      <c r="E1352" s="145"/>
      <c r="F1352" s="145"/>
      <c r="G1352" s="102"/>
      <c r="H1352" s="145"/>
      <c r="I1352" s="145"/>
      <c r="J1352" s="145"/>
      <c r="K1352" s="145"/>
      <c r="L1352" s="145"/>
      <c r="M1352" s="145"/>
      <c r="N1352" s="145"/>
      <c r="O1352" s="145"/>
    </row>
    <row r="1353" spans="1:15" x14ac:dyDescent="0.35">
      <c r="A1353" s="145"/>
      <c r="B1353" s="145"/>
      <c r="C1353" s="145"/>
      <c r="D1353" s="145"/>
      <c r="E1353" s="145"/>
      <c r="F1353" s="145"/>
      <c r="G1353" s="102"/>
      <c r="H1353" s="145"/>
      <c r="I1353" s="145"/>
      <c r="J1353" s="145"/>
      <c r="K1353" s="145"/>
      <c r="L1353" s="145"/>
      <c r="M1353" s="145"/>
      <c r="N1353" s="145"/>
      <c r="O1353" s="145"/>
    </row>
    <row r="1354" spans="1:15" x14ac:dyDescent="0.35">
      <c r="A1354" s="145"/>
      <c r="B1354" s="145"/>
      <c r="C1354" s="145"/>
      <c r="D1354" s="145"/>
      <c r="E1354" s="145"/>
      <c r="F1354" s="145"/>
      <c r="G1354" s="102"/>
      <c r="H1354" s="145"/>
      <c r="I1354" s="145"/>
      <c r="J1354" s="145"/>
      <c r="K1354" s="145"/>
      <c r="L1354" s="145"/>
      <c r="M1354" s="145"/>
      <c r="N1354" s="145"/>
      <c r="O1354" s="145"/>
    </row>
    <row r="1355" spans="1:15" x14ac:dyDescent="0.35">
      <c r="A1355" s="145"/>
      <c r="B1355" s="145"/>
      <c r="C1355" s="145"/>
      <c r="D1355" s="145"/>
      <c r="E1355" s="145"/>
      <c r="F1355" s="145"/>
      <c r="G1355" s="102"/>
      <c r="H1355" s="145"/>
      <c r="I1355" s="145"/>
      <c r="J1355" s="145"/>
      <c r="K1355" s="145"/>
      <c r="L1355" s="145"/>
      <c r="M1355" s="145"/>
      <c r="N1355" s="145"/>
      <c r="O1355" s="145"/>
    </row>
    <row r="1356" spans="1:15" x14ac:dyDescent="0.35">
      <c r="A1356" s="145"/>
      <c r="B1356" s="145"/>
      <c r="C1356" s="145"/>
      <c r="D1356" s="145"/>
      <c r="E1356" s="145"/>
      <c r="F1356" s="145"/>
      <c r="G1356" s="102"/>
      <c r="H1356" s="145"/>
      <c r="I1356" s="145"/>
      <c r="J1356" s="145"/>
      <c r="K1356" s="145"/>
      <c r="L1356" s="145"/>
      <c r="M1356" s="145"/>
      <c r="N1356" s="145"/>
      <c r="O1356" s="145"/>
    </row>
    <row r="1357" spans="1:15" x14ac:dyDescent="0.35">
      <c r="A1357" s="145"/>
      <c r="B1357" s="145"/>
      <c r="C1357" s="145"/>
      <c r="D1357" s="145"/>
      <c r="E1357" s="145"/>
      <c r="F1357" s="145"/>
      <c r="G1357" s="102"/>
      <c r="H1357" s="145"/>
      <c r="I1357" s="145"/>
      <c r="J1357" s="145"/>
      <c r="K1357" s="145"/>
      <c r="L1357" s="145"/>
      <c r="M1357" s="145"/>
      <c r="N1357" s="145"/>
      <c r="O1357" s="145"/>
    </row>
    <row r="1358" spans="1:15" x14ac:dyDescent="0.35">
      <c r="A1358" s="145"/>
      <c r="B1358" s="145"/>
      <c r="C1358" s="145"/>
      <c r="D1358" s="145"/>
      <c r="E1358" s="145"/>
      <c r="F1358" s="145"/>
      <c r="G1358" s="102"/>
      <c r="H1358" s="145"/>
      <c r="I1358" s="145"/>
      <c r="J1358" s="145"/>
      <c r="K1358" s="145"/>
      <c r="L1358" s="145"/>
      <c r="M1358" s="145"/>
      <c r="N1358" s="145"/>
      <c r="O1358" s="145"/>
    </row>
    <row r="1359" spans="1:15" x14ac:dyDescent="0.35">
      <c r="A1359" s="145"/>
      <c r="B1359" s="145"/>
      <c r="C1359" s="145"/>
      <c r="D1359" s="145"/>
      <c r="E1359" s="145"/>
      <c r="F1359" s="145"/>
      <c r="G1359" s="102"/>
      <c r="H1359" s="145"/>
      <c r="I1359" s="145"/>
      <c r="J1359" s="145"/>
      <c r="K1359" s="145"/>
      <c r="L1359" s="145"/>
      <c r="M1359" s="145"/>
      <c r="N1359" s="145"/>
      <c r="O1359" s="145"/>
    </row>
    <row r="1360" spans="1:15" x14ac:dyDescent="0.35">
      <c r="A1360" s="145"/>
      <c r="B1360" s="145"/>
      <c r="C1360" s="145"/>
      <c r="D1360" s="145"/>
      <c r="E1360" s="145"/>
      <c r="F1360" s="145"/>
      <c r="G1360" s="102"/>
      <c r="H1360" s="145"/>
      <c r="I1360" s="145"/>
      <c r="J1360" s="145"/>
      <c r="K1360" s="145"/>
      <c r="L1360" s="145"/>
      <c r="M1360" s="145"/>
      <c r="N1360" s="145"/>
      <c r="O1360" s="145"/>
    </row>
    <row r="1361" spans="1:15" x14ac:dyDescent="0.35">
      <c r="A1361" s="145"/>
      <c r="B1361" s="145"/>
      <c r="C1361" s="145"/>
      <c r="D1361" s="145"/>
      <c r="E1361" s="145"/>
      <c r="F1361" s="145"/>
      <c r="G1361" s="102"/>
      <c r="H1361" s="145"/>
      <c r="I1361" s="145"/>
      <c r="J1361" s="145"/>
      <c r="K1361" s="145"/>
      <c r="L1361" s="145"/>
      <c r="M1361" s="145"/>
      <c r="N1361" s="145"/>
      <c r="O1361" s="145"/>
    </row>
    <row r="1362" spans="1:15" x14ac:dyDescent="0.35">
      <c r="A1362" s="145"/>
      <c r="B1362" s="145"/>
      <c r="C1362" s="145"/>
      <c r="D1362" s="145"/>
      <c r="E1362" s="145"/>
      <c r="F1362" s="145"/>
      <c r="G1362" s="102"/>
      <c r="H1362" s="145"/>
      <c r="I1362" s="145"/>
      <c r="J1362" s="145"/>
      <c r="K1362" s="145"/>
      <c r="L1362" s="145"/>
      <c r="M1362" s="145"/>
      <c r="N1362" s="145"/>
      <c r="O1362" s="145"/>
    </row>
    <row r="1363" spans="1:15" x14ac:dyDescent="0.35">
      <c r="A1363" s="145"/>
      <c r="B1363" s="145"/>
      <c r="C1363" s="145"/>
      <c r="D1363" s="145"/>
      <c r="E1363" s="145"/>
      <c r="F1363" s="145"/>
      <c r="G1363" s="102"/>
      <c r="H1363" s="145"/>
      <c r="I1363" s="145"/>
      <c r="J1363" s="145"/>
      <c r="K1363" s="145"/>
      <c r="L1363" s="145"/>
      <c r="M1363" s="145"/>
    </row>
    <row r="1364" spans="1:15" x14ac:dyDescent="0.35">
      <c r="A1364" s="145"/>
      <c r="B1364" s="145"/>
      <c r="C1364" s="145"/>
      <c r="D1364" s="145"/>
      <c r="E1364" s="145"/>
      <c r="F1364" s="145"/>
      <c r="G1364" s="102"/>
      <c r="H1364" s="145"/>
      <c r="I1364" s="145"/>
      <c r="J1364" s="145"/>
      <c r="K1364" s="145"/>
      <c r="L1364" s="145"/>
      <c r="M1364" s="145"/>
      <c r="N1364" s="31"/>
      <c r="O1364" s="31"/>
    </row>
    <row r="1365" spans="1:15" x14ac:dyDescent="0.35">
      <c r="A1365" s="145"/>
      <c r="B1365" s="145"/>
      <c r="C1365" s="145"/>
      <c r="D1365" s="145"/>
      <c r="E1365" s="145"/>
      <c r="F1365" s="145"/>
      <c r="G1365" s="102"/>
      <c r="H1365" s="145"/>
      <c r="I1365" s="145"/>
      <c r="J1365" s="145"/>
      <c r="K1365" s="145"/>
      <c r="L1365" s="145"/>
      <c r="M1365" s="145"/>
      <c r="N1365" s="145"/>
      <c r="O1365" s="145"/>
    </row>
    <row r="1366" spans="1:15" x14ac:dyDescent="0.35">
      <c r="A1366" s="145"/>
      <c r="B1366" s="145"/>
      <c r="C1366" s="145"/>
      <c r="D1366" s="145"/>
      <c r="E1366" s="145"/>
      <c r="F1366" s="145"/>
      <c r="G1366" s="102"/>
      <c r="H1366" s="145"/>
      <c r="I1366" s="145"/>
      <c r="J1366" s="145"/>
      <c r="K1366" s="145"/>
      <c r="L1366" s="145"/>
      <c r="M1366" s="145"/>
      <c r="N1366" s="145"/>
      <c r="O1366" s="145"/>
    </row>
    <row r="1367" spans="1:15" x14ac:dyDescent="0.35">
      <c r="A1367" s="145"/>
      <c r="B1367" s="145"/>
      <c r="C1367" s="145"/>
      <c r="D1367" s="145"/>
      <c r="E1367" s="145"/>
      <c r="F1367" s="145"/>
      <c r="G1367" s="102"/>
      <c r="H1367" s="145"/>
      <c r="I1367" s="145"/>
      <c r="J1367" s="145"/>
      <c r="K1367" s="145"/>
      <c r="L1367" s="145"/>
      <c r="M1367" s="145"/>
      <c r="N1367" s="145"/>
      <c r="O1367" s="145"/>
    </row>
    <row r="1368" spans="1:15" x14ac:dyDescent="0.35">
      <c r="A1368" s="145"/>
      <c r="B1368" s="145"/>
      <c r="C1368" s="145"/>
      <c r="D1368" s="145"/>
      <c r="E1368" s="145"/>
      <c r="F1368" s="145"/>
      <c r="G1368" s="102"/>
      <c r="H1368" s="145"/>
      <c r="I1368" s="145"/>
      <c r="J1368" s="145"/>
      <c r="K1368" s="145"/>
      <c r="L1368" s="145"/>
      <c r="M1368" s="145"/>
      <c r="N1368" s="145"/>
      <c r="O1368" s="145"/>
    </row>
    <row r="1369" spans="1:15" x14ac:dyDescent="0.35">
      <c r="A1369" s="145"/>
      <c r="B1369" s="145"/>
      <c r="C1369" s="145"/>
      <c r="D1369" s="145"/>
      <c r="E1369" s="145"/>
      <c r="F1369" s="145"/>
      <c r="G1369" s="102"/>
      <c r="H1369" s="145"/>
      <c r="I1369" s="145"/>
      <c r="J1369" s="145"/>
      <c r="K1369" s="145"/>
      <c r="L1369" s="145"/>
      <c r="M1369" s="145"/>
      <c r="N1369" s="145"/>
      <c r="O1369" s="145"/>
    </row>
    <row r="1370" spans="1:15" x14ac:dyDescent="0.35">
      <c r="A1370" s="145"/>
      <c r="B1370" s="145"/>
      <c r="C1370" s="145"/>
      <c r="D1370" s="145"/>
      <c r="E1370" s="145"/>
      <c r="F1370" s="145"/>
      <c r="G1370" s="102"/>
      <c r="H1370" s="145"/>
      <c r="I1370" s="145"/>
      <c r="J1370" s="145"/>
      <c r="K1370" s="145"/>
      <c r="L1370" s="145"/>
      <c r="M1370" s="145"/>
    </row>
    <row r="1371" spans="1:15" x14ac:dyDescent="0.35">
      <c r="A1371" s="145"/>
      <c r="B1371" s="145"/>
      <c r="C1371" s="145"/>
      <c r="D1371" s="145"/>
      <c r="E1371" s="145"/>
      <c r="F1371" s="145"/>
      <c r="G1371" s="102"/>
      <c r="H1371" s="145"/>
      <c r="I1371" s="145"/>
      <c r="J1371" s="145"/>
      <c r="K1371" s="145"/>
      <c r="L1371" s="145"/>
      <c r="M1371" s="145"/>
    </row>
    <row r="1372" spans="1:15" x14ac:dyDescent="0.35">
      <c r="A1372" s="145"/>
      <c r="B1372" s="145"/>
      <c r="C1372" s="145"/>
      <c r="D1372" s="145"/>
      <c r="E1372" s="145"/>
      <c r="F1372" s="145"/>
      <c r="G1372" s="102"/>
      <c r="H1372" s="145"/>
      <c r="I1372" s="145"/>
      <c r="J1372" s="145"/>
      <c r="K1372" s="145"/>
      <c r="L1372" s="145"/>
      <c r="M1372" s="145"/>
      <c r="N1372" s="145"/>
      <c r="O1372" s="145"/>
    </row>
    <row r="1373" spans="1:15" x14ac:dyDescent="0.35">
      <c r="A1373" s="145"/>
      <c r="B1373" s="145"/>
      <c r="C1373" s="145"/>
      <c r="D1373" s="145"/>
      <c r="E1373" s="145"/>
      <c r="F1373" s="145"/>
      <c r="G1373" s="102"/>
      <c r="H1373" s="145"/>
      <c r="I1373" s="145"/>
      <c r="J1373" s="145"/>
      <c r="K1373" s="145"/>
      <c r="L1373" s="145"/>
      <c r="M1373" s="145"/>
      <c r="N1373" s="145"/>
      <c r="O1373" s="145"/>
    </row>
    <row r="1374" spans="1:15" x14ac:dyDescent="0.35">
      <c r="A1374" s="145"/>
      <c r="B1374" s="145"/>
      <c r="C1374" s="145"/>
      <c r="D1374" s="145"/>
      <c r="E1374" s="145"/>
      <c r="F1374" s="145"/>
      <c r="G1374" s="102"/>
      <c r="H1374" s="145"/>
      <c r="I1374" s="145"/>
      <c r="J1374" s="145"/>
      <c r="K1374" s="145"/>
      <c r="L1374" s="145"/>
      <c r="M1374" s="145"/>
      <c r="N1374" s="145"/>
      <c r="O1374" s="145"/>
    </row>
    <row r="1375" spans="1:15" x14ac:dyDescent="0.35">
      <c r="A1375" s="145"/>
      <c r="B1375" s="145"/>
      <c r="C1375" s="145"/>
      <c r="D1375" s="145"/>
      <c r="E1375" s="145"/>
      <c r="F1375" s="145"/>
      <c r="G1375" s="102"/>
      <c r="H1375" s="145"/>
      <c r="I1375" s="145"/>
      <c r="J1375" s="145"/>
      <c r="K1375" s="145"/>
      <c r="L1375" s="145"/>
      <c r="M1375" s="145"/>
      <c r="N1375" s="145"/>
      <c r="O1375" s="145"/>
    </row>
    <row r="1376" spans="1:15" x14ac:dyDescent="0.35">
      <c r="A1376" s="145"/>
      <c r="B1376" s="145"/>
      <c r="C1376" s="145"/>
      <c r="D1376" s="145"/>
      <c r="E1376" s="145"/>
      <c r="F1376" s="145"/>
      <c r="G1376" s="102"/>
      <c r="H1376" s="145"/>
      <c r="I1376" s="145"/>
      <c r="J1376" s="145"/>
      <c r="K1376" s="145"/>
      <c r="L1376" s="145"/>
      <c r="M1376" s="145"/>
      <c r="N1376" s="145"/>
      <c r="O1376" s="145"/>
    </row>
    <row r="1377" spans="1:15" x14ac:dyDescent="0.35">
      <c r="A1377" s="145"/>
      <c r="B1377" s="145"/>
      <c r="C1377" s="145"/>
      <c r="D1377" s="145"/>
      <c r="E1377" s="145"/>
      <c r="F1377" s="145"/>
      <c r="G1377" s="102"/>
      <c r="H1377" s="145"/>
      <c r="I1377" s="145"/>
      <c r="J1377" s="145"/>
      <c r="K1377" s="145"/>
      <c r="L1377" s="145"/>
      <c r="M1377" s="145"/>
      <c r="N1377" s="145"/>
      <c r="O1377" s="145"/>
    </row>
    <row r="1378" spans="1:15" x14ac:dyDescent="0.35">
      <c r="A1378" s="145"/>
      <c r="B1378" s="145"/>
      <c r="C1378" s="145"/>
      <c r="D1378" s="145"/>
      <c r="E1378" s="145"/>
      <c r="F1378" s="145"/>
      <c r="G1378" s="102"/>
      <c r="H1378" s="145"/>
      <c r="I1378" s="145"/>
      <c r="J1378" s="145"/>
      <c r="K1378" s="145"/>
      <c r="L1378" s="145"/>
      <c r="M1378" s="145"/>
      <c r="N1378" s="145"/>
      <c r="O1378" s="145"/>
    </row>
    <row r="1379" spans="1:15" x14ac:dyDescent="0.35">
      <c r="A1379" s="145"/>
      <c r="B1379" s="145"/>
      <c r="C1379" s="145"/>
      <c r="D1379" s="145"/>
      <c r="E1379" s="145"/>
      <c r="F1379" s="145"/>
      <c r="G1379" s="102"/>
      <c r="H1379" s="145"/>
      <c r="I1379" s="145"/>
      <c r="J1379" s="145"/>
      <c r="K1379" s="145"/>
      <c r="L1379" s="145"/>
      <c r="M1379" s="145"/>
      <c r="N1379" s="145"/>
      <c r="O1379" s="145"/>
    </row>
    <row r="1380" spans="1:15" x14ac:dyDescent="0.35">
      <c r="A1380" s="145"/>
      <c r="B1380" s="145"/>
      <c r="C1380" s="145"/>
      <c r="D1380" s="145"/>
      <c r="E1380" s="145"/>
      <c r="F1380" s="145"/>
      <c r="G1380" s="102"/>
      <c r="H1380" s="145"/>
      <c r="I1380" s="145"/>
      <c r="J1380" s="145"/>
      <c r="K1380" s="145"/>
      <c r="L1380" s="145"/>
      <c r="M1380" s="145"/>
      <c r="N1380" s="145"/>
      <c r="O1380" s="145"/>
    </row>
    <row r="1381" spans="1:15" x14ac:dyDescent="0.35">
      <c r="A1381" s="145"/>
      <c r="B1381" s="145"/>
      <c r="C1381" s="145"/>
      <c r="D1381" s="145"/>
      <c r="E1381" s="145"/>
      <c r="F1381" s="145"/>
      <c r="G1381" s="102"/>
      <c r="H1381" s="145"/>
      <c r="I1381" s="145"/>
      <c r="J1381" s="145"/>
      <c r="K1381" s="145"/>
      <c r="L1381" s="145"/>
      <c r="M1381" s="145"/>
      <c r="N1381" s="145"/>
      <c r="O1381" s="145"/>
    </row>
    <row r="1382" spans="1:15" x14ac:dyDescent="0.35">
      <c r="A1382" s="145"/>
      <c r="B1382" s="145"/>
      <c r="C1382" s="145"/>
      <c r="D1382" s="145"/>
      <c r="E1382" s="145"/>
      <c r="F1382" s="145"/>
      <c r="G1382" s="102"/>
      <c r="H1382" s="145"/>
      <c r="I1382" s="145"/>
      <c r="J1382" s="145"/>
      <c r="K1382" s="145"/>
      <c r="L1382" s="145"/>
      <c r="M1382" s="145"/>
      <c r="N1382" s="145"/>
      <c r="O1382" s="145"/>
    </row>
    <row r="1383" spans="1:15" x14ac:dyDescent="0.35">
      <c r="A1383" s="145"/>
      <c r="B1383" s="145"/>
      <c r="C1383" s="145"/>
      <c r="D1383" s="145"/>
      <c r="E1383" s="145"/>
      <c r="F1383" s="145"/>
      <c r="G1383" s="102"/>
      <c r="H1383" s="145"/>
      <c r="I1383" s="145"/>
      <c r="J1383" s="145"/>
      <c r="K1383" s="145"/>
      <c r="L1383" s="145"/>
      <c r="M1383" s="145"/>
      <c r="N1383" s="145"/>
      <c r="O1383" s="145"/>
    </row>
    <row r="1384" spans="1:15" x14ac:dyDescent="0.35">
      <c r="A1384" s="145"/>
      <c r="B1384" s="145"/>
      <c r="C1384" s="145"/>
      <c r="D1384" s="145"/>
      <c r="E1384" s="145"/>
      <c r="F1384" s="145"/>
      <c r="G1384" s="102"/>
      <c r="H1384" s="145"/>
      <c r="I1384" s="145"/>
      <c r="J1384" s="145"/>
      <c r="K1384" s="145"/>
      <c r="L1384" s="145"/>
      <c r="M1384" s="145"/>
      <c r="N1384" s="145"/>
      <c r="O1384" s="145"/>
    </row>
    <row r="1385" spans="1:15" x14ac:dyDescent="0.35">
      <c r="A1385" s="145"/>
      <c r="B1385" s="145"/>
      <c r="C1385" s="145"/>
      <c r="D1385" s="145"/>
      <c r="E1385" s="145"/>
      <c r="F1385" s="145"/>
      <c r="G1385" s="102"/>
      <c r="H1385" s="145"/>
      <c r="I1385" s="145"/>
      <c r="J1385" s="145"/>
      <c r="K1385" s="145"/>
      <c r="L1385" s="145"/>
      <c r="M1385" s="145"/>
      <c r="N1385" s="145"/>
      <c r="O1385" s="145"/>
    </row>
    <row r="1386" spans="1:15" x14ac:dyDescent="0.35">
      <c r="A1386" s="145"/>
      <c r="B1386" s="145"/>
      <c r="C1386" s="145"/>
      <c r="D1386" s="145"/>
      <c r="E1386" s="145"/>
      <c r="F1386" s="145"/>
      <c r="G1386" s="102"/>
      <c r="H1386" s="145"/>
      <c r="I1386" s="145"/>
      <c r="J1386" s="145"/>
      <c r="K1386" s="145"/>
      <c r="L1386" s="145"/>
      <c r="M1386" s="145"/>
      <c r="N1386" s="145"/>
      <c r="O1386" s="145"/>
    </row>
    <row r="1387" spans="1:15" x14ac:dyDescent="0.35">
      <c r="A1387" s="145"/>
      <c r="B1387" s="145"/>
      <c r="C1387" s="145"/>
      <c r="D1387" s="145"/>
      <c r="E1387" s="145"/>
      <c r="F1387" s="145"/>
      <c r="G1387" s="102"/>
      <c r="H1387" s="145"/>
      <c r="I1387" s="145"/>
      <c r="J1387" s="145"/>
      <c r="K1387" s="145"/>
      <c r="L1387" s="145"/>
      <c r="M1387" s="145"/>
      <c r="N1387" s="145"/>
      <c r="O1387" s="145"/>
    </row>
    <row r="1388" spans="1:15" x14ac:dyDescent="0.35">
      <c r="A1388" s="145"/>
      <c r="B1388" s="145"/>
      <c r="C1388" s="145"/>
      <c r="D1388" s="145"/>
      <c r="E1388" s="145"/>
      <c r="F1388" s="145"/>
      <c r="G1388" s="102"/>
      <c r="H1388" s="145"/>
      <c r="I1388" s="145"/>
      <c r="J1388" s="145"/>
      <c r="K1388" s="145"/>
      <c r="L1388" s="145"/>
      <c r="M1388" s="145"/>
      <c r="N1388" s="145"/>
      <c r="O1388" s="145"/>
    </row>
    <row r="1389" spans="1:15" x14ac:dyDescent="0.35">
      <c r="A1389" s="145"/>
      <c r="B1389" s="145"/>
      <c r="C1389" s="145"/>
      <c r="D1389" s="145"/>
      <c r="E1389" s="145"/>
      <c r="F1389" s="145"/>
      <c r="G1389" s="102"/>
      <c r="H1389" s="145"/>
      <c r="I1389" s="145"/>
      <c r="J1389" s="145"/>
      <c r="K1389" s="145"/>
      <c r="L1389" s="145"/>
      <c r="M1389" s="145"/>
      <c r="N1389" s="145"/>
      <c r="O1389" s="145"/>
    </row>
    <row r="1390" spans="1:15" x14ac:dyDescent="0.35">
      <c r="A1390" s="145"/>
      <c r="B1390" s="145"/>
      <c r="C1390" s="145"/>
      <c r="D1390" s="145"/>
      <c r="E1390" s="145"/>
      <c r="F1390" s="145"/>
      <c r="G1390" s="102"/>
      <c r="H1390" s="145"/>
      <c r="I1390" s="145"/>
      <c r="J1390" s="145"/>
      <c r="K1390" s="145"/>
      <c r="L1390" s="145"/>
      <c r="M1390" s="145"/>
      <c r="N1390" s="145"/>
      <c r="O1390" s="145"/>
    </row>
    <row r="1391" spans="1:15" x14ac:dyDescent="0.35">
      <c r="A1391" s="145"/>
      <c r="B1391" s="145"/>
      <c r="C1391" s="145"/>
      <c r="D1391" s="145"/>
      <c r="E1391" s="145"/>
      <c r="F1391" s="145"/>
      <c r="G1391" s="102"/>
      <c r="H1391" s="145"/>
      <c r="I1391" s="145"/>
      <c r="J1391" s="145"/>
      <c r="K1391" s="145"/>
      <c r="L1391" s="145"/>
      <c r="M1391" s="145"/>
      <c r="N1391" s="145"/>
      <c r="O1391" s="145"/>
    </row>
    <row r="1392" spans="1:15" x14ac:dyDescent="0.35">
      <c r="A1392" s="145"/>
      <c r="B1392" s="145"/>
      <c r="C1392" s="145"/>
      <c r="D1392" s="145"/>
      <c r="E1392" s="145"/>
      <c r="F1392" s="145"/>
      <c r="G1392" s="102"/>
      <c r="H1392" s="145"/>
      <c r="I1392" s="145"/>
      <c r="J1392" s="145"/>
      <c r="K1392" s="145"/>
      <c r="L1392" s="145"/>
      <c r="M1392" s="145"/>
      <c r="N1392" s="145"/>
      <c r="O1392" s="145"/>
    </row>
    <row r="1393" spans="1:15" x14ac:dyDescent="0.35">
      <c r="A1393" s="145"/>
      <c r="B1393" s="145"/>
      <c r="C1393" s="145"/>
      <c r="D1393" s="145"/>
      <c r="E1393" s="145"/>
      <c r="F1393" s="145"/>
      <c r="G1393" s="102"/>
      <c r="H1393" s="145"/>
      <c r="I1393" s="145"/>
      <c r="J1393" s="145"/>
      <c r="K1393" s="145"/>
      <c r="L1393" s="145"/>
      <c r="M1393" s="145"/>
      <c r="N1393" s="145"/>
      <c r="O1393" s="145"/>
    </row>
    <row r="1394" spans="1:15" x14ac:dyDescent="0.35">
      <c r="A1394" s="145"/>
      <c r="B1394" s="145"/>
      <c r="C1394" s="145"/>
      <c r="D1394" s="145"/>
      <c r="E1394" s="145"/>
      <c r="F1394" s="145"/>
      <c r="G1394" s="102"/>
      <c r="H1394" s="145"/>
      <c r="I1394" s="145"/>
      <c r="J1394" s="145"/>
      <c r="K1394" s="145"/>
      <c r="L1394" s="145"/>
      <c r="M1394" s="145"/>
      <c r="N1394" s="145"/>
      <c r="O1394" s="145"/>
    </row>
    <row r="1395" spans="1:15" x14ac:dyDescent="0.35">
      <c r="A1395" s="145"/>
      <c r="B1395" s="145"/>
      <c r="C1395" s="145"/>
      <c r="D1395" s="145"/>
      <c r="E1395" s="145"/>
      <c r="F1395" s="145"/>
      <c r="G1395" s="102"/>
      <c r="H1395" s="145"/>
      <c r="I1395" s="145"/>
      <c r="J1395" s="145"/>
      <c r="K1395" s="145"/>
      <c r="L1395" s="145"/>
      <c r="M1395" s="145"/>
      <c r="N1395" s="145"/>
      <c r="O1395" s="145"/>
    </row>
    <row r="1396" spans="1:15" x14ac:dyDescent="0.35">
      <c r="A1396" s="145"/>
      <c r="B1396" s="145"/>
      <c r="C1396" s="145"/>
      <c r="D1396" s="145"/>
      <c r="E1396" s="145"/>
      <c r="F1396" s="145"/>
      <c r="G1396" s="102"/>
      <c r="H1396" s="145"/>
      <c r="I1396" s="145"/>
      <c r="J1396" s="145"/>
      <c r="K1396" s="145"/>
      <c r="L1396" s="145"/>
      <c r="M1396" s="145"/>
      <c r="N1396" s="145"/>
      <c r="O1396" s="145"/>
    </row>
    <row r="1397" spans="1:15" x14ac:dyDescent="0.35">
      <c r="A1397" s="145"/>
      <c r="B1397" s="145"/>
      <c r="C1397" s="145"/>
      <c r="D1397" s="145"/>
      <c r="E1397" s="145"/>
      <c r="F1397" s="145"/>
      <c r="G1397" s="102"/>
      <c r="H1397" s="145"/>
      <c r="I1397" s="145"/>
      <c r="J1397" s="145"/>
      <c r="K1397" s="145"/>
      <c r="L1397" s="145"/>
      <c r="M1397" s="145"/>
      <c r="N1397" s="145"/>
      <c r="O1397" s="145"/>
    </row>
    <row r="1398" spans="1:15" x14ac:dyDescent="0.35">
      <c r="A1398" s="145"/>
      <c r="B1398" s="145"/>
      <c r="C1398" s="145"/>
      <c r="D1398" s="145"/>
      <c r="E1398" s="145"/>
      <c r="F1398" s="145"/>
      <c r="G1398" s="102"/>
      <c r="H1398" s="145"/>
      <c r="I1398" s="145"/>
      <c r="J1398" s="145"/>
      <c r="K1398" s="145"/>
      <c r="L1398" s="145"/>
      <c r="M1398" s="145"/>
      <c r="N1398" s="145"/>
      <c r="O1398" s="145"/>
    </row>
    <row r="1399" spans="1:15" x14ac:dyDescent="0.35">
      <c r="A1399" s="145"/>
      <c r="B1399" s="145"/>
      <c r="C1399" s="145"/>
      <c r="D1399" s="145"/>
      <c r="E1399" s="145"/>
      <c r="F1399" s="145"/>
      <c r="G1399" s="102"/>
      <c r="H1399" s="145"/>
      <c r="I1399" s="145"/>
      <c r="J1399" s="145"/>
      <c r="K1399" s="145"/>
      <c r="L1399" s="145"/>
      <c r="M1399" s="145"/>
      <c r="N1399" s="145"/>
      <c r="O1399" s="145"/>
    </row>
    <row r="1400" spans="1:15" x14ac:dyDescent="0.35">
      <c r="A1400" s="145"/>
      <c r="B1400" s="145"/>
      <c r="C1400" s="145"/>
      <c r="D1400" s="145"/>
      <c r="E1400" s="145"/>
      <c r="F1400" s="145"/>
      <c r="G1400" s="102"/>
      <c r="H1400" s="145"/>
      <c r="I1400" s="145"/>
      <c r="J1400" s="145"/>
      <c r="K1400" s="145"/>
      <c r="L1400" s="145"/>
      <c r="M1400" s="145"/>
      <c r="N1400" s="145"/>
      <c r="O1400" s="145"/>
    </row>
    <row r="1401" spans="1:15" x14ac:dyDescent="0.35">
      <c r="A1401" s="145"/>
      <c r="B1401" s="145"/>
      <c r="C1401" s="145"/>
      <c r="D1401" s="145"/>
      <c r="E1401" s="145"/>
      <c r="F1401" s="145"/>
      <c r="G1401" s="102"/>
      <c r="H1401" s="145"/>
      <c r="I1401" s="145"/>
      <c r="J1401" s="145"/>
      <c r="K1401" s="145"/>
      <c r="L1401" s="145"/>
      <c r="M1401" s="145"/>
      <c r="N1401" s="145"/>
      <c r="O1401" s="145"/>
    </row>
    <row r="1402" spans="1:15" x14ac:dyDescent="0.35">
      <c r="A1402" s="145"/>
      <c r="B1402" s="145"/>
      <c r="C1402" s="145"/>
      <c r="D1402" s="145"/>
      <c r="E1402" s="145"/>
      <c r="F1402" s="145"/>
      <c r="G1402" s="102"/>
      <c r="H1402" s="145"/>
      <c r="I1402" s="145"/>
      <c r="J1402" s="145"/>
      <c r="K1402" s="145"/>
      <c r="L1402" s="145"/>
      <c r="M1402" s="145"/>
      <c r="N1402" s="145"/>
      <c r="O1402" s="145"/>
    </row>
    <row r="1403" spans="1:15" x14ac:dyDescent="0.35">
      <c r="A1403" s="145"/>
      <c r="B1403" s="145"/>
      <c r="C1403" s="145"/>
      <c r="D1403" s="145"/>
      <c r="E1403" s="145"/>
      <c r="F1403" s="145"/>
      <c r="G1403" s="102"/>
      <c r="H1403" s="145"/>
      <c r="I1403" s="145"/>
      <c r="J1403" s="145"/>
      <c r="K1403" s="145"/>
      <c r="L1403" s="145"/>
      <c r="M1403" s="145"/>
      <c r="N1403" s="145"/>
      <c r="O1403" s="145"/>
    </row>
    <row r="1404" spans="1:15" x14ac:dyDescent="0.35">
      <c r="A1404" s="145"/>
      <c r="B1404" s="145"/>
      <c r="C1404" s="145"/>
      <c r="D1404" s="145"/>
      <c r="E1404" s="145"/>
      <c r="F1404" s="145"/>
      <c r="G1404" s="102"/>
      <c r="H1404" s="145"/>
      <c r="I1404" s="145"/>
      <c r="J1404" s="145"/>
      <c r="K1404" s="145"/>
      <c r="L1404" s="145"/>
      <c r="M1404" s="145"/>
    </row>
    <row r="1405" spans="1:15" x14ac:dyDescent="0.35">
      <c r="A1405" s="145"/>
      <c r="B1405" s="145"/>
      <c r="C1405" s="145"/>
      <c r="D1405" s="145"/>
      <c r="E1405" s="145"/>
      <c r="F1405" s="145"/>
      <c r="G1405" s="102"/>
      <c r="H1405" s="145"/>
      <c r="I1405" s="145"/>
      <c r="J1405" s="145"/>
      <c r="K1405" s="145"/>
      <c r="L1405" s="145"/>
      <c r="M1405" s="145"/>
    </row>
    <row r="1406" spans="1:15" x14ac:dyDescent="0.35">
      <c r="A1406" s="145"/>
      <c r="B1406" s="145"/>
      <c r="C1406" s="145"/>
      <c r="D1406" s="145"/>
      <c r="E1406" s="145"/>
      <c r="F1406" s="145"/>
      <c r="G1406" s="102"/>
      <c r="H1406" s="145"/>
      <c r="I1406" s="145"/>
      <c r="J1406" s="145"/>
      <c r="K1406" s="145"/>
      <c r="L1406" s="145"/>
      <c r="M1406" s="145"/>
      <c r="N1406" s="145"/>
      <c r="O1406" s="145"/>
    </row>
    <row r="1407" spans="1:15" x14ac:dyDescent="0.35">
      <c r="A1407" s="145"/>
      <c r="B1407" s="145"/>
      <c r="C1407" s="145"/>
      <c r="D1407" s="145"/>
      <c r="E1407" s="145"/>
      <c r="F1407" s="145"/>
      <c r="G1407" s="102"/>
      <c r="H1407" s="145"/>
      <c r="I1407" s="145"/>
      <c r="J1407" s="145"/>
      <c r="K1407" s="145"/>
      <c r="L1407" s="145"/>
      <c r="M1407" s="145"/>
      <c r="N1407" s="145"/>
      <c r="O1407" s="145"/>
    </row>
    <row r="1408" spans="1:15" x14ac:dyDescent="0.35">
      <c r="A1408" s="145"/>
      <c r="B1408" s="145"/>
      <c r="C1408" s="145"/>
      <c r="D1408" s="145"/>
      <c r="E1408" s="145"/>
      <c r="F1408" s="145"/>
      <c r="G1408" s="102"/>
      <c r="H1408" s="145"/>
      <c r="I1408" s="145"/>
      <c r="J1408" s="145"/>
      <c r="K1408" s="145"/>
      <c r="L1408" s="145"/>
      <c r="M1408" s="145"/>
      <c r="N1408" s="145"/>
      <c r="O1408" s="145"/>
    </row>
    <row r="1409" spans="1:15" x14ac:dyDescent="0.35">
      <c r="A1409" s="145"/>
      <c r="B1409" s="145"/>
      <c r="C1409" s="145"/>
      <c r="D1409" s="145"/>
      <c r="E1409" s="145"/>
      <c r="F1409" s="145"/>
      <c r="G1409" s="102"/>
      <c r="H1409" s="145"/>
      <c r="I1409" s="145"/>
      <c r="J1409" s="145"/>
      <c r="K1409" s="145"/>
      <c r="L1409" s="145"/>
      <c r="M1409" s="145"/>
      <c r="N1409" s="145"/>
      <c r="O1409" s="145"/>
    </row>
    <row r="1410" spans="1:15" x14ac:dyDescent="0.35">
      <c r="A1410" s="145"/>
      <c r="B1410" s="145"/>
      <c r="C1410" s="145"/>
      <c r="D1410" s="145"/>
      <c r="E1410" s="145"/>
      <c r="F1410" s="145"/>
      <c r="G1410" s="102"/>
      <c r="H1410" s="145"/>
      <c r="I1410" s="145"/>
      <c r="J1410" s="145"/>
      <c r="K1410" s="145"/>
      <c r="L1410" s="145"/>
      <c r="M1410" s="145"/>
      <c r="N1410" s="145"/>
      <c r="O1410" s="145"/>
    </row>
    <row r="1411" spans="1:15" x14ac:dyDescent="0.35">
      <c r="A1411" s="145"/>
      <c r="B1411" s="145"/>
      <c r="C1411" s="145"/>
      <c r="D1411" s="145"/>
      <c r="E1411" s="145"/>
      <c r="F1411" s="145"/>
      <c r="G1411" s="102"/>
      <c r="H1411" s="145"/>
      <c r="I1411" s="145"/>
      <c r="J1411" s="145"/>
      <c r="K1411" s="145"/>
      <c r="L1411" s="145"/>
      <c r="M1411" s="145"/>
      <c r="N1411" s="145"/>
      <c r="O1411" s="145"/>
    </row>
    <row r="1412" spans="1:15" x14ac:dyDescent="0.35">
      <c r="A1412" s="145"/>
      <c r="B1412" s="145"/>
      <c r="C1412" s="145"/>
      <c r="D1412" s="145"/>
      <c r="E1412" s="145"/>
      <c r="F1412" s="145"/>
      <c r="G1412" s="102"/>
      <c r="H1412" s="145"/>
      <c r="I1412" s="145"/>
      <c r="J1412" s="145"/>
      <c r="K1412" s="145"/>
      <c r="L1412" s="145"/>
      <c r="M1412" s="145"/>
      <c r="N1412" s="145"/>
      <c r="O1412" s="145"/>
    </row>
    <row r="1413" spans="1:15" x14ac:dyDescent="0.35">
      <c r="A1413" s="145"/>
      <c r="B1413" s="145"/>
      <c r="C1413" s="145"/>
      <c r="D1413" s="145"/>
      <c r="E1413" s="145"/>
      <c r="F1413" s="145"/>
      <c r="G1413" s="102"/>
      <c r="H1413" s="145"/>
      <c r="I1413" s="145"/>
      <c r="J1413" s="145"/>
      <c r="K1413" s="145"/>
      <c r="L1413" s="145"/>
      <c r="M1413" s="145"/>
      <c r="N1413" s="145"/>
      <c r="O1413" s="145"/>
    </row>
    <row r="1414" spans="1:15" x14ac:dyDescent="0.35">
      <c r="A1414" s="145"/>
      <c r="B1414" s="145"/>
      <c r="C1414" s="145"/>
      <c r="D1414" s="145"/>
      <c r="E1414" s="145"/>
      <c r="F1414" s="145"/>
      <c r="G1414" s="102"/>
      <c r="H1414" s="145"/>
      <c r="I1414" s="145"/>
      <c r="J1414" s="145"/>
      <c r="K1414" s="145"/>
      <c r="L1414" s="145"/>
      <c r="M1414" s="145"/>
      <c r="N1414" s="31"/>
      <c r="O1414" s="31"/>
    </row>
    <row r="1415" spans="1:15" x14ac:dyDescent="0.35">
      <c r="A1415" s="145"/>
      <c r="B1415" s="145"/>
      <c r="C1415" s="145"/>
      <c r="D1415" s="145"/>
      <c r="E1415" s="145"/>
      <c r="F1415" s="145"/>
      <c r="G1415" s="102"/>
      <c r="H1415" s="145"/>
      <c r="I1415" s="145"/>
      <c r="J1415" s="145"/>
      <c r="K1415" s="145"/>
      <c r="L1415" s="145"/>
      <c r="M1415" s="145"/>
    </row>
    <row r="1416" spans="1:15" x14ac:dyDescent="0.35">
      <c r="A1416" s="145"/>
      <c r="B1416" s="145"/>
      <c r="C1416" s="145"/>
      <c r="D1416" s="145"/>
      <c r="E1416" s="145"/>
      <c r="F1416" s="145"/>
      <c r="G1416" s="102"/>
      <c r="H1416" s="145"/>
      <c r="I1416" s="145"/>
      <c r="J1416" s="145"/>
      <c r="K1416" s="145"/>
      <c r="L1416" s="145"/>
      <c r="M1416" s="145"/>
    </row>
    <row r="1417" spans="1:15" x14ac:dyDescent="0.35">
      <c r="A1417" s="145"/>
      <c r="B1417" s="145"/>
      <c r="C1417" s="145"/>
      <c r="D1417" s="145"/>
      <c r="E1417" s="145"/>
      <c r="F1417" s="145"/>
      <c r="G1417" s="102"/>
      <c r="H1417" s="145"/>
      <c r="I1417" s="145"/>
      <c r="J1417" s="145"/>
      <c r="K1417" s="145"/>
      <c r="L1417" s="145"/>
      <c r="M1417" s="145"/>
    </row>
    <row r="1418" spans="1:15" x14ac:dyDescent="0.35">
      <c r="A1418" s="145"/>
      <c r="B1418" s="145"/>
      <c r="C1418" s="145"/>
      <c r="D1418" s="145"/>
      <c r="E1418" s="145"/>
      <c r="F1418" s="145"/>
      <c r="G1418" s="102"/>
      <c r="H1418" s="145"/>
      <c r="I1418" s="145"/>
      <c r="J1418" s="145"/>
      <c r="K1418" s="145"/>
      <c r="L1418" s="145"/>
      <c r="M1418" s="145"/>
    </row>
    <row r="1419" spans="1:15" x14ac:dyDescent="0.35">
      <c r="A1419" s="145"/>
      <c r="B1419" s="145"/>
      <c r="C1419" s="145"/>
      <c r="D1419" s="145"/>
      <c r="E1419" s="145"/>
      <c r="F1419" s="145"/>
      <c r="G1419" s="102"/>
      <c r="H1419" s="145"/>
      <c r="I1419" s="145"/>
      <c r="J1419" s="145"/>
      <c r="K1419" s="145"/>
      <c r="L1419" s="145"/>
      <c r="M1419" s="145"/>
    </row>
    <row r="1420" spans="1:15" x14ac:dyDescent="0.35">
      <c r="A1420" s="145"/>
      <c r="B1420" s="145"/>
      <c r="C1420" s="145"/>
      <c r="D1420" s="145"/>
      <c r="E1420" s="145"/>
      <c r="F1420" s="145"/>
      <c r="G1420" s="102"/>
      <c r="H1420" s="145"/>
      <c r="I1420" s="145"/>
      <c r="J1420" s="145"/>
      <c r="K1420" s="145"/>
      <c r="L1420" s="145"/>
      <c r="M1420" s="145"/>
      <c r="N1420" s="145"/>
      <c r="O1420" s="145"/>
    </row>
    <row r="1421" spans="1:15" x14ac:dyDescent="0.35">
      <c r="A1421" s="145"/>
      <c r="B1421" s="145"/>
      <c r="C1421" s="145"/>
      <c r="D1421" s="145"/>
      <c r="E1421" s="145"/>
      <c r="F1421" s="145"/>
      <c r="G1421" s="102"/>
      <c r="H1421" s="145"/>
      <c r="I1421" s="145"/>
      <c r="J1421" s="145"/>
      <c r="K1421" s="145"/>
      <c r="L1421" s="145"/>
      <c r="M1421" s="145"/>
    </row>
    <row r="1422" spans="1:15" x14ac:dyDescent="0.35">
      <c r="A1422" s="145"/>
      <c r="B1422" s="145"/>
      <c r="C1422" s="145"/>
      <c r="D1422" s="145"/>
      <c r="E1422" s="145"/>
      <c r="F1422" s="145"/>
      <c r="G1422" s="102"/>
      <c r="H1422" s="145"/>
      <c r="I1422" s="145"/>
      <c r="J1422" s="145"/>
      <c r="K1422" s="145"/>
      <c r="L1422" s="145"/>
      <c r="M1422" s="145"/>
      <c r="N1422" s="31"/>
      <c r="O1422" s="31"/>
    </row>
    <row r="1423" spans="1:15" x14ac:dyDescent="0.35">
      <c r="A1423" s="145"/>
      <c r="B1423" s="145"/>
      <c r="C1423" s="145"/>
      <c r="D1423" s="145"/>
      <c r="E1423" s="145"/>
      <c r="F1423" s="145"/>
      <c r="G1423" s="102"/>
      <c r="H1423" s="145"/>
      <c r="I1423" s="145"/>
      <c r="J1423" s="145"/>
      <c r="K1423" s="145"/>
      <c r="L1423" s="145"/>
      <c r="M1423" s="145"/>
      <c r="N1423" s="145"/>
      <c r="O1423" s="145"/>
    </row>
    <row r="1424" spans="1:15" x14ac:dyDescent="0.35">
      <c r="A1424" s="145"/>
      <c r="B1424" s="145"/>
      <c r="C1424" s="145"/>
      <c r="D1424" s="145"/>
      <c r="E1424" s="145"/>
      <c r="F1424" s="145"/>
      <c r="G1424" s="102"/>
      <c r="H1424" s="145"/>
      <c r="I1424" s="145"/>
      <c r="J1424" s="145"/>
      <c r="K1424" s="145"/>
      <c r="L1424" s="145"/>
      <c r="M1424" s="145"/>
      <c r="N1424" s="145"/>
      <c r="O1424" s="145"/>
    </row>
    <row r="1425" spans="1:15" x14ac:dyDescent="0.35">
      <c r="A1425" s="145"/>
      <c r="B1425" s="145"/>
      <c r="C1425" s="145"/>
      <c r="D1425" s="145"/>
      <c r="E1425" s="145"/>
      <c r="F1425" s="145"/>
      <c r="G1425" s="102"/>
      <c r="H1425" s="145"/>
      <c r="I1425" s="145"/>
      <c r="J1425" s="145"/>
      <c r="K1425" s="145"/>
      <c r="L1425" s="145"/>
      <c r="M1425" s="145"/>
      <c r="N1425" s="145"/>
      <c r="O1425" s="145"/>
    </row>
    <row r="1426" spans="1:15" x14ac:dyDescent="0.35">
      <c r="A1426" s="145"/>
      <c r="B1426" s="145"/>
      <c r="C1426" s="145"/>
      <c r="D1426" s="145"/>
      <c r="E1426" s="145"/>
      <c r="F1426" s="145"/>
      <c r="G1426" s="102"/>
      <c r="H1426" s="145"/>
      <c r="I1426" s="145"/>
      <c r="J1426" s="145"/>
      <c r="K1426" s="145"/>
      <c r="L1426" s="145"/>
      <c r="M1426" s="145"/>
      <c r="N1426" s="145"/>
      <c r="O1426" s="145"/>
    </row>
    <row r="1427" spans="1:15" x14ac:dyDescent="0.35">
      <c r="A1427" s="145"/>
      <c r="B1427" s="145"/>
      <c r="C1427" s="145"/>
      <c r="D1427" s="145"/>
      <c r="E1427" s="145"/>
      <c r="F1427" s="145"/>
      <c r="G1427" s="102"/>
      <c r="H1427" s="145"/>
      <c r="I1427" s="145"/>
      <c r="J1427" s="145"/>
      <c r="K1427" s="145"/>
      <c r="L1427" s="145"/>
      <c r="M1427" s="145"/>
      <c r="N1427" s="145"/>
      <c r="O1427" s="145"/>
    </row>
    <row r="1428" spans="1:15" x14ac:dyDescent="0.35">
      <c r="A1428" s="145"/>
      <c r="B1428" s="145"/>
      <c r="C1428" s="145"/>
      <c r="D1428" s="145"/>
      <c r="E1428" s="145"/>
      <c r="F1428" s="145"/>
      <c r="G1428" s="102"/>
      <c r="H1428" s="145"/>
      <c r="I1428" s="145"/>
      <c r="J1428" s="145"/>
      <c r="K1428" s="145"/>
      <c r="L1428" s="145"/>
      <c r="M1428" s="145"/>
      <c r="N1428" s="145"/>
      <c r="O1428" s="145"/>
    </row>
    <row r="1429" spans="1:15" x14ac:dyDescent="0.35">
      <c r="A1429" s="145"/>
      <c r="B1429" s="145"/>
      <c r="C1429" s="145"/>
      <c r="D1429" s="145"/>
      <c r="E1429" s="145"/>
      <c r="F1429" s="145"/>
      <c r="G1429" s="102"/>
      <c r="H1429" s="145"/>
      <c r="I1429" s="145"/>
      <c r="J1429" s="145"/>
      <c r="K1429" s="145"/>
      <c r="L1429" s="145"/>
      <c r="M1429" s="145"/>
      <c r="N1429" s="145"/>
      <c r="O1429" s="145"/>
    </row>
    <row r="1430" spans="1:15" x14ac:dyDescent="0.35">
      <c r="A1430" s="145"/>
      <c r="B1430" s="145"/>
      <c r="C1430" s="145"/>
      <c r="D1430" s="145"/>
      <c r="E1430" s="145"/>
      <c r="F1430" s="145"/>
      <c r="G1430" s="102"/>
      <c r="H1430" s="145"/>
      <c r="I1430" s="145"/>
      <c r="J1430" s="145"/>
      <c r="K1430" s="145"/>
      <c r="L1430" s="145"/>
      <c r="M1430" s="145"/>
      <c r="N1430" s="145"/>
      <c r="O1430" s="145"/>
    </row>
    <row r="1431" spans="1:15" x14ac:dyDescent="0.35">
      <c r="A1431" s="145"/>
      <c r="B1431" s="145"/>
      <c r="C1431" s="145"/>
      <c r="D1431" s="145"/>
      <c r="E1431" s="145"/>
      <c r="F1431" s="145"/>
      <c r="G1431" s="102"/>
      <c r="H1431" s="145"/>
      <c r="I1431" s="145"/>
      <c r="J1431" s="145"/>
      <c r="K1431" s="145"/>
      <c r="L1431" s="145"/>
      <c r="M1431" s="145"/>
      <c r="N1431" s="145"/>
      <c r="O1431" s="145"/>
    </row>
    <row r="1432" spans="1:15" x14ac:dyDescent="0.35">
      <c r="A1432" s="145"/>
      <c r="B1432" s="145"/>
      <c r="C1432" s="145"/>
      <c r="D1432" s="145"/>
      <c r="E1432" s="145"/>
      <c r="F1432" s="145"/>
      <c r="G1432" s="102"/>
      <c r="H1432" s="145"/>
      <c r="I1432" s="145"/>
      <c r="J1432" s="145"/>
      <c r="K1432" s="145"/>
      <c r="L1432" s="145"/>
      <c r="M1432" s="145"/>
    </row>
    <row r="1433" spans="1:15" x14ac:dyDescent="0.35">
      <c r="A1433" s="145"/>
      <c r="B1433" s="145"/>
      <c r="C1433" s="145"/>
      <c r="D1433" s="145"/>
      <c r="E1433" s="145"/>
      <c r="F1433" s="145"/>
      <c r="G1433" s="102"/>
      <c r="H1433" s="145"/>
      <c r="I1433" s="145"/>
      <c r="J1433" s="145"/>
      <c r="K1433" s="145"/>
      <c r="L1433" s="145"/>
      <c r="M1433" s="145"/>
      <c r="N1433" s="145"/>
      <c r="O1433" s="145"/>
    </row>
    <row r="1434" spans="1:15" x14ac:dyDescent="0.35">
      <c r="A1434" s="145"/>
      <c r="B1434" s="145"/>
      <c r="C1434" s="145"/>
      <c r="D1434" s="145"/>
      <c r="E1434" s="145"/>
      <c r="F1434" s="145"/>
      <c r="G1434" s="102"/>
      <c r="H1434" s="145"/>
      <c r="I1434" s="145"/>
      <c r="J1434" s="145"/>
      <c r="K1434" s="145"/>
      <c r="L1434" s="145"/>
      <c r="M1434" s="145"/>
      <c r="N1434" s="145"/>
      <c r="O1434" s="145"/>
    </row>
    <row r="1435" spans="1:15" x14ac:dyDescent="0.35">
      <c r="A1435" s="145"/>
      <c r="B1435" s="145"/>
      <c r="C1435" s="145"/>
      <c r="D1435" s="145"/>
      <c r="E1435" s="145"/>
      <c r="F1435" s="145"/>
      <c r="G1435" s="102"/>
      <c r="H1435" s="145"/>
      <c r="I1435" s="145"/>
      <c r="J1435" s="145"/>
      <c r="K1435" s="145"/>
      <c r="L1435" s="145"/>
      <c r="M1435" s="145"/>
      <c r="N1435" s="145"/>
      <c r="O1435" s="145"/>
    </row>
    <row r="1436" spans="1:15" x14ac:dyDescent="0.35">
      <c r="A1436" s="145"/>
      <c r="B1436" s="145"/>
      <c r="C1436" s="145"/>
      <c r="D1436" s="145"/>
      <c r="E1436" s="145"/>
      <c r="F1436" s="145"/>
      <c r="G1436" s="102"/>
      <c r="H1436" s="145"/>
      <c r="I1436" s="145"/>
      <c r="J1436" s="145"/>
      <c r="K1436" s="145"/>
      <c r="L1436" s="145"/>
      <c r="M1436" s="145"/>
      <c r="N1436" s="145"/>
      <c r="O1436" s="145"/>
    </row>
    <row r="1437" spans="1:15" x14ac:dyDescent="0.35">
      <c r="A1437" s="145"/>
      <c r="B1437" s="145"/>
      <c r="C1437" s="145"/>
      <c r="D1437" s="145"/>
      <c r="E1437" s="145"/>
      <c r="F1437" s="145"/>
      <c r="G1437" s="102"/>
      <c r="H1437" s="145"/>
      <c r="I1437" s="145"/>
      <c r="J1437" s="145"/>
      <c r="K1437" s="145"/>
      <c r="L1437" s="145"/>
      <c r="M1437" s="145"/>
      <c r="N1437" s="145"/>
      <c r="O1437" s="145"/>
    </row>
    <row r="1438" spans="1:15" x14ac:dyDescent="0.35">
      <c r="A1438" s="145"/>
      <c r="B1438" s="145"/>
      <c r="C1438" s="145"/>
      <c r="D1438" s="145"/>
      <c r="E1438" s="145"/>
      <c r="F1438" s="145"/>
      <c r="G1438" s="102"/>
      <c r="H1438" s="145"/>
      <c r="I1438" s="145"/>
      <c r="J1438" s="145"/>
      <c r="K1438" s="145"/>
      <c r="L1438" s="145"/>
      <c r="M1438" s="145"/>
      <c r="N1438" s="145"/>
      <c r="O1438" s="145"/>
    </row>
    <row r="1439" spans="1:15" x14ac:dyDescent="0.35">
      <c r="A1439" s="145"/>
      <c r="B1439" s="145"/>
      <c r="C1439" s="145"/>
      <c r="D1439" s="145"/>
      <c r="E1439" s="145"/>
      <c r="F1439" s="145"/>
      <c r="G1439" s="102"/>
      <c r="H1439" s="145"/>
      <c r="I1439" s="145"/>
      <c r="J1439" s="145"/>
      <c r="K1439" s="145"/>
      <c r="L1439" s="145"/>
      <c r="M1439" s="145"/>
      <c r="N1439" s="145"/>
      <c r="O1439" s="145"/>
    </row>
    <row r="1440" spans="1:15" x14ac:dyDescent="0.35">
      <c r="A1440" s="145"/>
      <c r="B1440" s="145"/>
      <c r="C1440" s="145"/>
      <c r="D1440" s="145"/>
      <c r="E1440" s="145"/>
      <c r="F1440" s="145"/>
      <c r="G1440" s="102"/>
      <c r="H1440" s="145"/>
      <c r="I1440" s="145"/>
      <c r="J1440" s="145"/>
      <c r="K1440" s="145"/>
      <c r="L1440" s="145"/>
      <c r="M1440" s="145"/>
      <c r="N1440" s="145"/>
      <c r="O1440" s="145"/>
    </row>
    <row r="1441" spans="1:15" x14ac:dyDescent="0.35">
      <c r="A1441" s="145"/>
      <c r="B1441" s="145"/>
      <c r="C1441" s="145"/>
      <c r="D1441" s="145"/>
      <c r="E1441" s="145"/>
      <c r="F1441" s="145"/>
      <c r="G1441" s="102"/>
      <c r="H1441" s="145"/>
      <c r="I1441" s="145"/>
      <c r="J1441" s="145"/>
      <c r="K1441" s="145"/>
      <c r="L1441" s="145"/>
      <c r="M1441" s="145"/>
      <c r="N1441" s="145"/>
      <c r="O1441" s="145"/>
    </row>
    <row r="1442" spans="1:15" x14ac:dyDescent="0.35">
      <c r="A1442" s="145"/>
      <c r="B1442" s="145"/>
      <c r="C1442" s="145"/>
      <c r="D1442" s="145"/>
      <c r="E1442" s="145"/>
      <c r="F1442" s="145"/>
      <c r="G1442" s="102"/>
      <c r="H1442" s="145"/>
      <c r="I1442" s="145"/>
      <c r="J1442" s="145"/>
      <c r="K1442" s="145"/>
      <c r="L1442" s="145"/>
      <c r="M1442" s="145"/>
      <c r="N1442" s="145"/>
      <c r="O1442" s="145"/>
    </row>
    <row r="1443" spans="1:15" x14ac:dyDescent="0.35">
      <c r="A1443" s="145"/>
      <c r="B1443" s="145"/>
      <c r="C1443" s="145"/>
      <c r="D1443" s="145"/>
      <c r="E1443" s="145"/>
      <c r="F1443" s="145"/>
      <c r="G1443" s="102"/>
      <c r="H1443" s="145"/>
      <c r="I1443" s="145"/>
      <c r="J1443" s="145"/>
      <c r="K1443" s="145"/>
      <c r="L1443" s="145"/>
      <c r="M1443" s="145"/>
      <c r="N1443" s="145"/>
      <c r="O1443" s="145"/>
    </row>
    <row r="1444" spans="1:15" x14ac:dyDescent="0.35">
      <c r="A1444" s="145"/>
      <c r="B1444" s="145"/>
      <c r="C1444" s="145"/>
      <c r="D1444" s="145"/>
      <c r="E1444" s="145"/>
      <c r="F1444" s="145"/>
      <c r="G1444" s="102"/>
      <c r="H1444" s="145"/>
      <c r="I1444" s="145"/>
      <c r="J1444" s="145"/>
      <c r="K1444" s="145"/>
      <c r="L1444" s="145"/>
      <c r="M1444" s="145"/>
      <c r="N1444" s="145"/>
      <c r="O1444" s="145"/>
    </row>
    <row r="1445" spans="1:15" x14ac:dyDescent="0.35">
      <c r="A1445" s="145"/>
      <c r="B1445" s="145"/>
      <c r="C1445" s="145"/>
      <c r="D1445" s="145"/>
      <c r="E1445" s="145"/>
      <c r="F1445" s="145"/>
      <c r="G1445" s="102"/>
      <c r="H1445" s="145"/>
      <c r="I1445" s="145"/>
      <c r="J1445" s="145"/>
      <c r="K1445" s="145"/>
      <c r="L1445" s="145"/>
      <c r="M1445" s="145"/>
      <c r="N1445" s="145"/>
      <c r="O1445" s="145"/>
    </row>
    <row r="1446" spans="1:15" x14ac:dyDescent="0.35">
      <c r="A1446" s="145"/>
      <c r="B1446" s="145"/>
      <c r="C1446" s="145"/>
      <c r="D1446" s="145"/>
      <c r="E1446" s="145"/>
      <c r="F1446" s="145"/>
      <c r="G1446" s="102"/>
      <c r="H1446" s="145"/>
      <c r="I1446" s="145"/>
      <c r="J1446" s="145"/>
      <c r="K1446" s="145"/>
      <c r="L1446" s="145"/>
      <c r="M1446" s="145"/>
      <c r="N1446" s="145"/>
      <c r="O1446" s="145"/>
    </row>
    <row r="1447" spans="1:15" x14ac:dyDescent="0.35">
      <c r="A1447" s="145"/>
      <c r="B1447" s="145"/>
      <c r="C1447" s="145"/>
      <c r="D1447" s="145"/>
      <c r="E1447" s="145"/>
      <c r="F1447" s="145"/>
      <c r="G1447" s="102"/>
      <c r="H1447" s="145"/>
      <c r="I1447" s="145"/>
      <c r="J1447" s="145"/>
      <c r="K1447" s="145"/>
      <c r="L1447" s="145"/>
      <c r="M1447" s="145"/>
      <c r="N1447" s="145"/>
      <c r="O1447" s="145"/>
    </row>
    <row r="1448" spans="1:15" x14ac:dyDescent="0.35">
      <c r="A1448" s="145"/>
      <c r="B1448" s="145"/>
      <c r="C1448" s="145"/>
      <c r="D1448" s="145"/>
      <c r="E1448" s="145"/>
      <c r="F1448" s="145"/>
      <c r="G1448" s="102"/>
      <c r="H1448" s="145"/>
      <c r="I1448" s="145"/>
      <c r="J1448" s="145"/>
      <c r="K1448" s="145"/>
      <c r="L1448" s="145"/>
      <c r="M1448" s="145"/>
      <c r="N1448" s="145"/>
      <c r="O1448" s="145"/>
    </row>
    <row r="1449" spans="1:15" x14ac:dyDescent="0.35">
      <c r="A1449" s="145"/>
      <c r="B1449" s="145"/>
      <c r="C1449" s="145"/>
      <c r="D1449" s="145"/>
      <c r="E1449" s="145"/>
      <c r="F1449" s="145"/>
      <c r="G1449" s="102"/>
      <c r="H1449" s="145"/>
      <c r="I1449" s="145"/>
      <c r="J1449" s="145"/>
      <c r="K1449" s="145"/>
      <c r="L1449" s="145"/>
      <c r="M1449" s="145"/>
      <c r="N1449" s="145"/>
      <c r="O1449" s="145"/>
    </row>
    <row r="1450" spans="1:15" x14ac:dyDescent="0.35">
      <c r="A1450" s="145"/>
      <c r="B1450" s="145"/>
      <c r="C1450" s="145"/>
      <c r="D1450" s="145"/>
      <c r="E1450" s="145"/>
      <c r="F1450" s="145"/>
      <c r="G1450" s="102"/>
      <c r="H1450" s="145"/>
      <c r="I1450" s="145"/>
      <c r="J1450" s="145"/>
      <c r="K1450" s="145"/>
      <c r="L1450" s="145"/>
      <c r="M1450" s="145"/>
      <c r="N1450" s="145"/>
      <c r="O1450" s="145"/>
    </row>
    <row r="1451" spans="1:15" x14ac:dyDescent="0.35">
      <c r="A1451" s="145"/>
      <c r="B1451" s="145"/>
      <c r="C1451" s="145"/>
      <c r="D1451" s="145"/>
      <c r="E1451" s="145"/>
      <c r="F1451" s="145"/>
      <c r="G1451" s="102"/>
      <c r="H1451" s="145"/>
      <c r="I1451" s="145"/>
      <c r="J1451" s="145"/>
      <c r="K1451" s="145"/>
      <c r="L1451" s="145"/>
      <c r="M1451" s="145"/>
      <c r="N1451" s="145"/>
      <c r="O1451" s="145"/>
    </row>
    <row r="1452" spans="1:15" x14ac:dyDescent="0.35">
      <c r="A1452" s="145"/>
      <c r="B1452" s="145"/>
      <c r="C1452" s="145"/>
      <c r="D1452" s="145"/>
      <c r="E1452" s="145"/>
      <c r="F1452" s="145"/>
      <c r="G1452" s="102"/>
      <c r="H1452" s="145"/>
      <c r="I1452" s="145"/>
      <c r="J1452" s="145"/>
      <c r="K1452" s="145"/>
      <c r="L1452" s="145"/>
      <c r="M1452" s="145"/>
      <c r="N1452" s="145"/>
      <c r="O1452" s="145"/>
    </row>
    <row r="1453" spans="1:15" x14ac:dyDescent="0.35">
      <c r="A1453" s="145"/>
      <c r="B1453" s="145"/>
      <c r="C1453" s="145"/>
      <c r="D1453" s="145"/>
      <c r="E1453" s="145"/>
      <c r="F1453" s="145"/>
      <c r="G1453" s="102"/>
      <c r="H1453" s="145"/>
      <c r="I1453" s="145"/>
      <c r="J1453" s="145"/>
      <c r="K1453" s="145"/>
      <c r="L1453" s="145"/>
      <c r="M1453" s="145"/>
      <c r="N1453" s="145"/>
      <c r="O1453" s="145"/>
    </row>
    <row r="1454" spans="1:15" x14ac:dyDescent="0.35">
      <c r="A1454" s="145"/>
      <c r="B1454" s="145"/>
      <c r="C1454" s="145"/>
      <c r="D1454" s="145"/>
      <c r="E1454" s="145"/>
      <c r="F1454" s="145"/>
      <c r="G1454" s="102"/>
      <c r="H1454" s="145"/>
      <c r="I1454" s="145"/>
      <c r="J1454" s="145"/>
      <c r="K1454" s="145"/>
      <c r="L1454" s="145"/>
      <c r="M1454" s="145"/>
      <c r="N1454" s="145"/>
      <c r="O1454" s="145"/>
    </row>
    <row r="1455" spans="1:15" x14ac:dyDescent="0.35">
      <c r="A1455" s="145"/>
      <c r="B1455" s="145"/>
      <c r="C1455" s="145"/>
      <c r="D1455" s="145"/>
      <c r="E1455" s="145"/>
      <c r="F1455" s="145"/>
      <c r="G1455" s="102"/>
      <c r="H1455" s="145"/>
      <c r="I1455" s="145"/>
      <c r="J1455" s="145"/>
      <c r="K1455" s="145"/>
      <c r="L1455" s="145"/>
      <c r="M1455" s="145"/>
      <c r="N1455" s="145"/>
      <c r="O1455" s="145"/>
    </row>
    <row r="1456" spans="1:15" x14ac:dyDescent="0.35">
      <c r="A1456" s="145"/>
      <c r="B1456" s="145"/>
      <c r="C1456" s="145"/>
      <c r="D1456" s="145"/>
      <c r="E1456" s="145"/>
      <c r="F1456" s="145"/>
      <c r="G1456" s="102"/>
      <c r="H1456" s="145"/>
      <c r="I1456" s="145"/>
      <c r="J1456" s="145"/>
      <c r="K1456" s="145"/>
      <c r="L1456" s="145"/>
      <c r="M1456" s="145"/>
      <c r="N1456" s="145"/>
      <c r="O1456" s="145"/>
    </row>
    <row r="1457" spans="1:15" x14ac:dyDescent="0.35">
      <c r="A1457" s="145"/>
      <c r="B1457" s="145"/>
      <c r="C1457" s="145"/>
      <c r="D1457" s="145"/>
      <c r="E1457" s="145"/>
      <c r="F1457" s="145"/>
      <c r="G1457" s="102"/>
      <c r="H1457" s="145"/>
      <c r="I1457" s="145"/>
      <c r="J1457" s="145"/>
      <c r="K1457" s="145"/>
      <c r="L1457" s="145"/>
      <c r="M1457" s="145"/>
      <c r="N1457" s="145"/>
      <c r="O1457" s="145"/>
    </row>
    <row r="1458" spans="1:15" x14ac:dyDescent="0.35">
      <c r="A1458" s="145"/>
      <c r="B1458" s="145"/>
      <c r="C1458" s="145"/>
      <c r="D1458" s="145"/>
      <c r="E1458" s="145"/>
      <c r="F1458" s="145"/>
      <c r="G1458" s="102"/>
      <c r="H1458" s="145"/>
      <c r="I1458" s="145"/>
      <c r="J1458" s="145"/>
      <c r="K1458" s="145"/>
      <c r="L1458" s="145"/>
      <c r="M1458" s="145"/>
      <c r="N1458" s="145"/>
      <c r="O1458" s="145"/>
    </row>
    <row r="1459" spans="1:15" x14ac:dyDescent="0.35">
      <c r="A1459" s="145"/>
      <c r="B1459" s="145"/>
      <c r="C1459" s="145"/>
      <c r="D1459" s="145"/>
      <c r="E1459" s="145"/>
      <c r="F1459" s="145"/>
      <c r="G1459" s="102"/>
      <c r="H1459" s="145"/>
      <c r="I1459" s="145"/>
      <c r="J1459" s="145"/>
      <c r="K1459" s="145"/>
      <c r="L1459" s="145"/>
      <c r="M1459" s="145"/>
      <c r="N1459" s="145"/>
      <c r="O1459" s="145"/>
    </row>
    <row r="1460" spans="1:15" x14ac:dyDescent="0.35">
      <c r="A1460" s="145"/>
      <c r="B1460" s="145"/>
      <c r="C1460" s="145"/>
      <c r="D1460" s="145"/>
      <c r="E1460" s="145"/>
      <c r="F1460" s="145"/>
      <c r="G1460" s="102"/>
      <c r="H1460" s="145"/>
      <c r="I1460" s="145"/>
      <c r="J1460" s="145"/>
      <c r="K1460" s="145"/>
      <c r="L1460" s="145"/>
      <c r="M1460" s="145"/>
      <c r="N1460" s="145"/>
      <c r="O1460" s="145"/>
    </row>
    <row r="1461" spans="1:15" x14ac:dyDescent="0.35">
      <c r="A1461" s="145"/>
      <c r="B1461" s="145"/>
      <c r="C1461" s="145"/>
      <c r="D1461" s="145"/>
      <c r="E1461" s="145"/>
      <c r="F1461" s="145"/>
      <c r="G1461" s="102"/>
      <c r="H1461" s="145"/>
      <c r="I1461" s="145"/>
      <c r="J1461" s="145"/>
      <c r="K1461" s="145"/>
      <c r="L1461" s="145"/>
      <c r="M1461" s="145"/>
      <c r="N1461" s="145"/>
      <c r="O1461" s="145"/>
    </row>
    <row r="1462" spans="1:15" x14ac:dyDescent="0.35">
      <c r="A1462" s="145"/>
      <c r="B1462" s="145"/>
      <c r="C1462" s="145"/>
      <c r="D1462" s="145"/>
      <c r="E1462" s="145"/>
      <c r="F1462" s="145"/>
      <c r="G1462" s="102"/>
      <c r="H1462" s="145"/>
      <c r="I1462" s="145"/>
      <c r="J1462" s="145"/>
      <c r="K1462" s="145"/>
      <c r="L1462" s="145"/>
      <c r="M1462" s="145"/>
      <c r="N1462" s="145"/>
      <c r="O1462" s="145"/>
    </row>
    <row r="1463" spans="1:15" x14ac:dyDescent="0.35">
      <c r="A1463" s="145"/>
      <c r="B1463" s="145"/>
      <c r="C1463" s="145"/>
      <c r="D1463" s="145"/>
      <c r="E1463" s="145"/>
      <c r="F1463" s="145"/>
      <c r="G1463" s="102"/>
      <c r="H1463" s="145"/>
      <c r="I1463" s="145"/>
      <c r="J1463" s="145"/>
      <c r="K1463" s="145"/>
      <c r="L1463" s="145"/>
      <c r="M1463" s="145"/>
      <c r="N1463" s="145"/>
      <c r="O1463" s="145"/>
    </row>
    <row r="1464" spans="1:15" x14ac:dyDescent="0.35">
      <c r="A1464" s="145"/>
      <c r="B1464" s="145"/>
      <c r="C1464" s="145"/>
      <c r="D1464" s="145"/>
      <c r="E1464" s="145"/>
      <c r="F1464" s="145"/>
      <c r="G1464" s="102"/>
      <c r="H1464" s="145"/>
      <c r="I1464" s="145"/>
      <c r="J1464" s="145"/>
      <c r="K1464" s="145"/>
      <c r="L1464" s="145"/>
      <c r="M1464" s="145"/>
      <c r="N1464" s="145"/>
      <c r="O1464" s="145"/>
    </row>
    <row r="1465" spans="1:15" x14ac:dyDescent="0.35">
      <c r="A1465" s="145"/>
      <c r="B1465" s="145"/>
      <c r="C1465" s="145"/>
      <c r="D1465" s="145"/>
      <c r="E1465" s="145"/>
      <c r="F1465" s="145"/>
      <c r="G1465" s="102"/>
      <c r="H1465" s="145"/>
      <c r="I1465" s="145"/>
      <c r="J1465" s="145"/>
      <c r="K1465" s="145"/>
      <c r="L1465" s="145"/>
      <c r="M1465" s="145"/>
      <c r="N1465" s="145"/>
      <c r="O1465" s="145"/>
    </row>
    <row r="1466" spans="1:15" x14ac:dyDescent="0.35">
      <c r="A1466" s="145"/>
      <c r="B1466" s="145"/>
      <c r="C1466" s="145"/>
      <c r="D1466" s="145"/>
      <c r="E1466" s="145"/>
      <c r="F1466" s="145"/>
      <c r="G1466" s="102"/>
      <c r="H1466" s="145"/>
      <c r="I1466" s="145"/>
      <c r="J1466" s="145"/>
      <c r="K1466" s="145"/>
      <c r="L1466" s="145"/>
      <c r="M1466" s="145"/>
      <c r="N1466" s="145"/>
      <c r="O1466" s="145"/>
    </row>
    <row r="1467" spans="1:15" x14ac:dyDescent="0.35">
      <c r="A1467" s="145"/>
      <c r="B1467" s="145"/>
      <c r="C1467" s="145"/>
      <c r="D1467" s="145"/>
      <c r="E1467" s="145"/>
      <c r="F1467" s="145"/>
      <c r="G1467" s="102"/>
      <c r="H1467" s="145"/>
      <c r="I1467" s="145"/>
      <c r="J1467" s="145"/>
      <c r="K1467" s="145"/>
      <c r="L1467" s="145"/>
      <c r="M1467" s="145"/>
      <c r="N1467" s="145"/>
      <c r="O1467" s="145"/>
    </row>
    <row r="1468" spans="1:15" x14ac:dyDescent="0.35">
      <c r="A1468" s="145"/>
      <c r="B1468" s="145"/>
      <c r="C1468" s="145"/>
      <c r="D1468" s="145"/>
      <c r="E1468" s="145"/>
      <c r="F1468" s="145"/>
      <c r="G1468" s="102"/>
      <c r="H1468" s="145"/>
      <c r="I1468" s="145"/>
      <c r="J1468" s="145"/>
      <c r="K1468" s="145"/>
      <c r="L1468" s="145"/>
      <c r="M1468" s="145"/>
      <c r="N1468" s="145"/>
      <c r="O1468" s="145"/>
    </row>
    <row r="1469" spans="1:15" x14ac:dyDescent="0.35">
      <c r="A1469" s="145"/>
      <c r="B1469" s="145"/>
      <c r="C1469" s="145"/>
      <c r="D1469" s="145"/>
      <c r="E1469" s="145"/>
      <c r="F1469" s="145"/>
      <c r="G1469" s="102"/>
      <c r="H1469" s="145"/>
      <c r="I1469" s="145"/>
      <c r="J1469" s="145"/>
      <c r="K1469" s="145"/>
      <c r="L1469" s="145"/>
      <c r="M1469" s="145"/>
      <c r="N1469" s="145"/>
      <c r="O1469" s="145"/>
    </row>
    <row r="1470" spans="1:15" x14ac:dyDescent="0.35">
      <c r="A1470" s="145"/>
      <c r="B1470" s="145"/>
      <c r="C1470" s="145"/>
      <c r="D1470" s="145"/>
      <c r="E1470" s="145"/>
      <c r="F1470" s="145"/>
      <c r="G1470" s="102"/>
      <c r="H1470" s="145"/>
      <c r="I1470" s="145"/>
      <c r="J1470" s="145"/>
      <c r="K1470" s="145"/>
      <c r="L1470" s="145"/>
      <c r="M1470" s="145"/>
      <c r="N1470" s="145"/>
      <c r="O1470" s="145"/>
    </row>
    <row r="1471" spans="1:15" x14ac:dyDescent="0.35">
      <c r="A1471" s="145"/>
      <c r="B1471" s="145"/>
      <c r="C1471" s="145"/>
      <c r="D1471" s="145"/>
      <c r="E1471" s="145"/>
      <c r="F1471" s="145"/>
      <c r="G1471" s="102"/>
      <c r="H1471" s="145"/>
      <c r="I1471" s="145"/>
      <c r="J1471" s="145"/>
      <c r="K1471" s="145"/>
      <c r="L1471" s="145"/>
      <c r="M1471" s="145"/>
      <c r="N1471" s="145"/>
      <c r="O1471" s="145"/>
    </row>
    <row r="1472" spans="1:15" x14ac:dyDescent="0.35">
      <c r="A1472" s="145"/>
      <c r="B1472" s="145"/>
      <c r="C1472" s="145"/>
      <c r="D1472" s="145"/>
      <c r="E1472" s="145"/>
      <c r="F1472" s="145"/>
      <c r="G1472" s="102"/>
      <c r="H1472" s="145"/>
      <c r="I1472" s="145"/>
      <c r="J1472" s="145"/>
      <c r="K1472" s="145"/>
      <c r="L1472" s="145"/>
      <c r="M1472" s="145"/>
      <c r="N1472" s="145"/>
      <c r="O1472" s="145"/>
    </row>
    <row r="1473" spans="1:15" x14ac:dyDescent="0.35">
      <c r="A1473" s="145"/>
      <c r="B1473" s="145"/>
      <c r="C1473" s="145"/>
      <c r="D1473" s="145"/>
      <c r="E1473" s="145"/>
      <c r="F1473" s="145"/>
      <c r="G1473" s="102"/>
      <c r="H1473" s="145"/>
      <c r="I1473" s="145"/>
      <c r="J1473" s="145"/>
      <c r="K1473" s="145"/>
      <c r="L1473" s="145"/>
      <c r="M1473" s="145"/>
      <c r="N1473" s="145"/>
      <c r="O1473" s="145"/>
    </row>
    <row r="1474" spans="1:15" x14ac:dyDescent="0.35">
      <c r="A1474" s="145"/>
      <c r="B1474" s="145"/>
      <c r="C1474" s="145"/>
      <c r="D1474" s="145"/>
      <c r="E1474" s="145"/>
      <c r="F1474" s="145"/>
      <c r="G1474" s="102"/>
      <c r="H1474" s="145"/>
      <c r="I1474" s="145"/>
      <c r="J1474" s="145"/>
      <c r="K1474" s="145"/>
      <c r="L1474" s="145"/>
      <c r="M1474" s="145"/>
      <c r="N1474" s="145"/>
      <c r="O1474" s="145"/>
    </row>
    <row r="1475" spans="1:15" x14ac:dyDescent="0.35">
      <c r="A1475" s="145"/>
      <c r="B1475" s="145"/>
      <c r="C1475" s="145"/>
      <c r="D1475" s="145"/>
      <c r="E1475" s="145"/>
      <c r="F1475" s="145"/>
      <c r="G1475" s="102"/>
      <c r="H1475" s="145"/>
      <c r="I1475" s="145"/>
      <c r="J1475" s="145"/>
      <c r="K1475" s="145"/>
      <c r="L1475" s="145"/>
      <c r="M1475" s="145"/>
      <c r="N1475" s="145"/>
      <c r="O1475" s="145"/>
    </row>
    <row r="1476" spans="1:15" x14ac:dyDescent="0.35">
      <c r="A1476" s="145"/>
      <c r="B1476" s="145"/>
      <c r="C1476" s="145"/>
      <c r="D1476" s="145"/>
      <c r="E1476" s="145"/>
      <c r="F1476" s="145"/>
      <c r="G1476" s="102"/>
      <c r="H1476" s="145"/>
      <c r="I1476" s="145"/>
      <c r="J1476" s="145"/>
      <c r="K1476" s="145"/>
      <c r="L1476" s="145"/>
      <c r="M1476" s="145"/>
      <c r="N1476" s="145"/>
      <c r="O1476" s="145"/>
    </row>
    <row r="1477" spans="1:15" x14ac:dyDescent="0.35">
      <c r="A1477" s="145"/>
      <c r="B1477" s="145"/>
      <c r="C1477" s="145"/>
      <c r="D1477" s="145"/>
      <c r="E1477" s="145"/>
      <c r="F1477" s="145"/>
      <c r="G1477" s="102"/>
      <c r="H1477" s="145"/>
      <c r="I1477" s="145"/>
      <c r="J1477" s="145"/>
      <c r="K1477" s="145"/>
      <c r="L1477" s="145"/>
      <c r="M1477" s="145"/>
      <c r="N1477" s="145"/>
      <c r="O1477" s="145"/>
    </row>
    <row r="1478" spans="1:15" x14ac:dyDescent="0.35">
      <c r="A1478" s="145"/>
      <c r="B1478" s="145"/>
      <c r="C1478" s="145"/>
      <c r="D1478" s="145"/>
      <c r="E1478" s="145"/>
      <c r="F1478" s="145"/>
      <c r="G1478" s="102"/>
      <c r="H1478" s="145"/>
      <c r="I1478" s="145"/>
      <c r="J1478" s="145"/>
      <c r="K1478" s="145"/>
      <c r="L1478" s="145"/>
      <c r="M1478" s="145"/>
      <c r="N1478" s="145"/>
      <c r="O1478" s="145"/>
    </row>
    <row r="1479" spans="1:15" x14ac:dyDescent="0.35">
      <c r="A1479" s="145"/>
      <c r="B1479" s="145"/>
      <c r="C1479" s="145"/>
      <c r="D1479" s="145"/>
      <c r="E1479" s="145"/>
      <c r="F1479" s="145"/>
      <c r="G1479" s="102"/>
      <c r="H1479" s="145"/>
      <c r="I1479" s="145"/>
      <c r="J1479" s="145"/>
      <c r="K1479" s="145"/>
      <c r="L1479" s="145"/>
      <c r="M1479" s="145"/>
      <c r="N1479" s="145"/>
      <c r="O1479" s="145"/>
    </row>
    <row r="1480" spans="1:15" x14ac:dyDescent="0.35">
      <c r="A1480" s="145"/>
      <c r="B1480" s="145"/>
      <c r="C1480" s="145"/>
      <c r="D1480" s="145"/>
      <c r="E1480" s="145"/>
      <c r="F1480" s="145"/>
      <c r="G1480" s="102"/>
      <c r="H1480" s="145"/>
      <c r="I1480" s="145"/>
      <c r="J1480" s="145"/>
      <c r="K1480" s="145"/>
      <c r="L1480" s="145"/>
      <c r="M1480" s="145"/>
      <c r="N1480" s="145"/>
      <c r="O1480" s="145"/>
    </row>
    <row r="1481" spans="1:15" x14ac:dyDescent="0.35">
      <c r="A1481" s="145"/>
      <c r="B1481" s="145"/>
      <c r="C1481" s="145"/>
      <c r="D1481" s="145"/>
      <c r="E1481" s="145"/>
      <c r="F1481" s="145"/>
      <c r="G1481" s="102"/>
      <c r="H1481" s="145"/>
      <c r="I1481" s="145"/>
      <c r="J1481" s="145"/>
      <c r="K1481" s="145"/>
      <c r="L1481" s="145"/>
      <c r="M1481" s="145"/>
      <c r="N1481" s="145"/>
      <c r="O1481" s="145"/>
    </row>
    <row r="1482" spans="1:15" x14ac:dyDescent="0.35">
      <c r="A1482" s="145"/>
      <c r="B1482" s="145"/>
      <c r="C1482" s="145"/>
      <c r="D1482" s="145"/>
      <c r="E1482" s="145"/>
      <c r="F1482" s="145"/>
      <c r="G1482" s="102"/>
      <c r="H1482" s="145"/>
      <c r="I1482" s="145"/>
      <c r="J1482" s="145"/>
      <c r="K1482" s="145"/>
      <c r="L1482" s="145"/>
      <c r="M1482" s="145"/>
      <c r="N1482" s="145"/>
      <c r="O1482" s="145"/>
    </row>
    <row r="1483" spans="1:15" x14ac:dyDescent="0.35">
      <c r="A1483" s="145"/>
      <c r="B1483" s="145"/>
      <c r="C1483" s="145"/>
      <c r="D1483" s="145"/>
      <c r="E1483" s="145"/>
      <c r="F1483" s="145"/>
      <c r="G1483" s="102"/>
      <c r="H1483" s="145"/>
      <c r="I1483" s="145"/>
      <c r="J1483" s="145"/>
      <c r="K1483" s="145"/>
      <c r="L1483" s="145"/>
      <c r="M1483" s="145"/>
      <c r="N1483" s="145"/>
      <c r="O1483" s="145"/>
    </row>
    <row r="1484" spans="1:15" x14ac:dyDescent="0.35">
      <c r="A1484" s="145"/>
      <c r="B1484" s="145"/>
      <c r="C1484" s="145"/>
      <c r="D1484" s="145"/>
      <c r="E1484" s="145"/>
      <c r="F1484" s="145"/>
      <c r="G1484" s="102"/>
      <c r="H1484" s="145"/>
      <c r="I1484" s="145"/>
      <c r="J1484" s="145"/>
      <c r="K1484" s="145"/>
      <c r="L1484" s="145"/>
      <c r="M1484" s="145"/>
      <c r="N1484" s="145"/>
      <c r="O1484" s="145"/>
    </row>
    <row r="1485" spans="1:15" x14ac:dyDescent="0.35">
      <c r="A1485" s="145"/>
      <c r="B1485" s="145"/>
      <c r="C1485" s="145"/>
      <c r="D1485" s="145"/>
      <c r="E1485" s="145"/>
      <c r="F1485" s="145"/>
      <c r="G1485" s="102"/>
      <c r="H1485" s="145"/>
      <c r="I1485" s="145"/>
      <c r="J1485" s="145"/>
      <c r="K1485" s="145"/>
      <c r="L1485" s="145"/>
      <c r="M1485" s="145"/>
      <c r="N1485" s="145"/>
      <c r="O1485" s="145"/>
    </row>
    <row r="1486" spans="1:15" x14ac:dyDescent="0.35">
      <c r="A1486" s="145"/>
      <c r="B1486" s="145"/>
      <c r="C1486" s="145"/>
      <c r="D1486" s="145"/>
      <c r="E1486" s="145"/>
      <c r="F1486" s="145"/>
      <c r="G1486" s="102"/>
      <c r="H1486" s="145"/>
      <c r="I1486" s="145"/>
      <c r="J1486" s="145"/>
      <c r="K1486" s="145"/>
      <c r="L1486" s="145"/>
      <c r="M1486" s="145"/>
      <c r="N1486" s="145"/>
      <c r="O1486" s="145"/>
    </row>
    <row r="1487" spans="1:15" x14ac:dyDescent="0.35">
      <c r="A1487" s="145"/>
      <c r="B1487" s="145"/>
      <c r="C1487" s="145"/>
      <c r="D1487" s="145"/>
      <c r="E1487" s="145"/>
      <c r="F1487" s="145"/>
      <c r="G1487" s="102"/>
      <c r="H1487" s="145"/>
      <c r="I1487" s="145"/>
      <c r="J1487" s="145"/>
      <c r="K1487" s="145"/>
      <c r="L1487" s="145"/>
      <c r="M1487" s="145"/>
      <c r="N1487" s="145"/>
      <c r="O1487" s="145"/>
    </row>
    <row r="1488" spans="1:15" x14ac:dyDescent="0.35">
      <c r="A1488" s="145"/>
      <c r="B1488" s="145"/>
      <c r="C1488" s="145"/>
      <c r="D1488" s="145"/>
      <c r="E1488" s="145"/>
      <c r="F1488" s="145"/>
      <c r="G1488" s="102"/>
      <c r="H1488" s="145"/>
      <c r="I1488" s="145"/>
      <c r="J1488" s="145"/>
      <c r="K1488" s="145"/>
      <c r="L1488" s="145"/>
      <c r="M1488" s="145"/>
      <c r="N1488" s="31"/>
      <c r="O1488" s="31"/>
    </row>
    <row r="1489" spans="1:15" x14ac:dyDescent="0.35">
      <c r="A1489" s="145"/>
      <c r="B1489" s="145"/>
      <c r="C1489" s="145"/>
      <c r="D1489" s="145"/>
      <c r="E1489" s="145"/>
      <c r="F1489" s="145"/>
      <c r="G1489" s="102"/>
      <c r="H1489" s="145"/>
      <c r="I1489" s="145"/>
      <c r="J1489" s="145"/>
      <c r="K1489" s="145"/>
      <c r="L1489" s="145"/>
      <c r="M1489" s="145"/>
    </row>
    <row r="1490" spans="1:15" x14ac:dyDescent="0.35">
      <c r="A1490" s="145"/>
      <c r="B1490" s="145"/>
      <c r="C1490" s="145"/>
      <c r="D1490" s="145"/>
      <c r="E1490" s="145"/>
      <c r="F1490" s="145"/>
      <c r="G1490" s="102"/>
      <c r="H1490" s="145"/>
      <c r="I1490" s="145"/>
      <c r="J1490" s="145"/>
      <c r="K1490" s="145"/>
      <c r="L1490" s="145"/>
      <c r="M1490" s="145"/>
    </row>
    <row r="1491" spans="1:15" x14ac:dyDescent="0.35">
      <c r="A1491" s="145"/>
      <c r="B1491" s="145"/>
      <c r="C1491" s="145"/>
      <c r="D1491" s="145"/>
      <c r="E1491" s="145"/>
      <c r="F1491" s="145"/>
      <c r="G1491" s="102"/>
      <c r="H1491" s="145"/>
      <c r="I1491" s="145"/>
      <c r="J1491" s="145"/>
      <c r="K1491" s="145"/>
      <c r="L1491" s="145"/>
      <c r="M1491" s="145"/>
    </row>
    <row r="1492" spans="1:15" x14ac:dyDescent="0.35">
      <c r="A1492" s="145"/>
      <c r="B1492" s="145"/>
      <c r="C1492" s="145"/>
      <c r="D1492" s="145"/>
      <c r="E1492" s="145"/>
      <c r="F1492" s="145"/>
      <c r="G1492" s="102"/>
      <c r="H1492" s="145"/>
      <c r="I1492" s="145"/>
      <c r="J1492" s="145"/>
      <c r="K1492" s="145"/>
      <c r="L1492" s="145"/>
      <c r="M1492" s="145"/>
      <c r="N1492" s="145"/>
      <c r="O1492" s="145"/>
    </row>
    <row r="1493" spans="1:15" x14ac:dyDescent="0.35">
      <c r="A1493" s="145"/>
      <c r="B1493" s="145"/>
      <c r="C1493" s="145"/>
      <c r="D1493" s="145"/>
      <c r="E1493" s="145"/>
      <c r="F1493" s="145"/>
      <c r="G1493" s="102"/>
      <c r="H1493" s="145"/>
      <c r="I1493" s="145"/>
      <c r="J1493" s="145"/>
      <c r="K1493" s="145"/>
      <c r="L1493" s="145"/>
      <c r="M1493" s="145"/>
    </row>
    <row r="1494" spans="1:15" x14ac:dyDescent="0.35">
      <c r="A1494" s="145"/>
      <c r="B1494" s="145"/>
      <c r="C1494" s="145"/>
      <c r="D1494" s="145"/>
      <c r="E1494" s="145"/>
      <c r="F1494" s="145"/>
      <c r="G1494" s="102"/>
      <c r="H1494" s="145"/>
      <c r="I1494" s="145"/>
      <c r="J1494" s="145"/>
      <c r="K1494" s="145"/>
      <c r="L1494" s="145"/>
      <c r="M1494" s="145"/>
    </row>
    <row r="1495" spans="1:15" x14ac:dyDescent="0.35">
      <c r="A1495" s="145"/>
      <c r="B1495" s="145"/>
      <c r="C1495" s="145"/>
      <c r="D1495" s="145"/>
      <c r="E1495" s="145"/>
      <c r="F1495" s="145"/>
      <c r="G1495" s="102"/>
      <c r="H1495" s="145"/>
      <c r="I1495" s="145"/>
      <c r="J1495" s="145"/>
      <c r="K1495" s="145"/>
      <c r="L1495" s="145"/>
      <c r="M1495" s="145"/>
    </row>
    <row r="1496" spans="1:15" x14ac:dyDescent="0.35">
      <c r="A1496" s="145"/>
      <c r="B1496" s="145"/>
      <c r="C1496" s="145"/>
      <c r="D1496" s="145"/>
      <c r="E1496" s="145"/>
      <c r="F1496" s="145"/>
      <c r="G1496" s="102"/>
      <c r="H1496" s="145"/>
      <c r="I1496" s="145"/>
      <c r="J1496" s="145"/>
      <c r="K1496" s="145"/>
      <c r="L1496" s="145"/>
      <c r="M1496" s="145"/>
      <c r="N1496" s="31"/>
      <c r="O1496" s="31"/>
    </row>
    <row r="1497" spans="1:15" x14ac:dyDescent="0.35">
      <c r="A1497" s="145"/>
      <c r="B1497" s="145"/>
      <c r="C1497" s="145"/>
      <c r="D1497" s="145"/>
      <c r="E1497" s="145"/>
      <c r="F1497" s="145"/>
      <c r="G1497" s="102"/>
      <c r="H1497" s="145"/>
      <c r="I1497" s="145"/>
      <c r="J1497" s="145"/>
      <c r="K1497" s="145"/>
      <c r="L1497" s="145"/>
      <c r="M1497" s="145"/>
      <c r="N1497" s="145"/>
      <c r="O1497" s="145"/>
    </row>
    <row r="1498" spans="1:15" x14ac:dyDescent="0.35">
      <c r="A1498" s="145"/>
      <c r="B1498" s="145"/>
      <c r="C1498" s="145"/>
      <c r="D1498" s="145"/>
      <c r="E1498" s="145"/>
      <c r="F1498" s="145"/>
      <c r="G1498" s="102"/>
      <c r="H1498" s="145"/>
      <c r="I1498" s="145"/>
      <c r="J1498" s="145"/>
      <c r="K1498" s="145"/>
      <c r="L1498" s="145"/>
      <c r="M1498" s="145"/>
      <c r="N1498" s="145"/>
      <c r="O1498" s="145"/>
    </row>
    <row r="1499" spans="1:15" x14ac:dyDescent="0.35">
      <c r="A1499" s="145"/>
      <c r="B1499" s="145"/>
      <c r="C1499" s="145"/>
      <c r="D1499" s="145"/>
      <c r="E1499" s="145"/>
      <c r="F1499" s="145"/>
      <c r="G1499" s="102"/>
      <c r="H1499" s="145"/>
      <c r="I1499" s="145"/>
      <c r="J1499" s="145"/>
      <c r="K1499" s="145"/>
      <c r="L1499" s="145"/>
      <c r="M1499" s="145"/>
      <c r="N1499" s="145"/>
      <c r="O1499" s="145"/>
    </row>
    <row r="1500" spans="1:15" x14ac:dyDescent="0.35">
      <c r="A1500" s="145"/>
      <c r="B1500" s="145"/>
      <c r="C1500" s="145"/>
      <c r="D1500" s="145"/>
      <c r="E1500" s="145"/>
      <c r="F1500" s="145"/>
      <c r="G1500" s="102"/>
      <c r="H1500" s="145"/>
      <c r="I1500" s="145"/>
      <c r="J1500" s="145"/>
      <c r="K1500" s="145"/>
      <c r="L1500" s="145"/>
      <c r="M1500" s="145"/>
      <c r="N1500" s="145"/>
      <c r="O1500" s="145"/>
    </row>
    <row r="1501" spans="1:15" x14ac:dyDescent="0.35">
      <c r="A1501" s="145"/>
      <c r="B1501" s="145"/>
      <c r="C1501" s="145"/>
      <c r="D1501" s="145"/>
      <c r="E1501" s="145"/>
      <c r="F1501" s="145"/>
      <c r="G1501" s="102"/>
      <c r="H1501" s="145"/>
      <c r="I1501" s="145"/>
      <c r="J1501" s="145"/>
      <c r="K1501" s="145"/>
      <c r="L1501" s="145"/>
      <c r="M1501" s="145"/>
      <c r="N1501" s="145"/>
      <c r="O1501" s="145"/>
    </row>
    <row r="1502" spans="1:15" x14ac:dyDescent="0.35">
      <c r="A1502" s="145"/>
      <c r="B1502" s="145"/>
      <c r="C1502" s="145"/>
      <c r="D1502" s="145"/>
      <c r="E1502" s="145"/>
      <c r="F1502" s="145"/>
      <c r="G1502" s="102"/>
      <c r="H1502" s="145"/>
      <c r="I1502" s="145"/>
      <c r="J1502" s="145"/>
      <c r="K1502" s="145"/>
      <c r="L1502" s="145"/>
      <c r="M1502" s="145"/>
      <c r="N1502" s="145"/>
      <c r="O1502" s="145"/>
    </row>
    <row r="1503" spans="1:15" x14ac:dyDescent="0.35">
      <c r="A1503" s="145"/>
      <c r="B1503" s="145"/>
      <c r="C1503" s="145"/>
      <c r="D1503" s="145"/>
      <c r="E1503" s="145"/>
      <c r="F1503" s="145"/>
      <c r="G1503" s="102"/>
      <c r="H1503" s="145"/>
      <c r="I1503" s="145"/>
      <c r="J1503" s="145"/>
      <c r="K1503" s="145"/>
      <c r="L1503" s="145"/>
      <c r="M1503" s="145"/>
      <c r="N1503" s="145"/>
      <c r="O1503" s="145"/>
    </row>
    <row r="1504" spans="1:15" x14ac:dyDescent="0.35">
      <c r="A1504" s="145"/>
      <c r="B1504" s="145"/>
      <c r="C1504" s="145"/>
      <c r="D1504" s="145"/>
      <c r="E1504" s="145"/>
      <c r="F1504" s="145"/>
      <c r="G1504" s="102"/>
      <c r="H1504" s="145"/>
      <c r="I1504" s="145"/>
      <c r="J1504" s="145"/>
      <c r="K1504" s="145"/>
      <c r="L1504" s="145"/>
      <c r="M1504" s="145"/>
      <c r="N1504" s="145"/>
      <c r="O1504" s="145"/>
    </row>
    <row r="1505" spans="1:15" x14ac:dyDescent="0.35">
      <c r="A1505" s="145"/>
      <c r="B1505" s="145"/>
      <c r="C1505" s="145"/>
      <c r="D1505" s="145"/>
      <c r="E1505" s="145"/>
      <c r="F1505" s="145"/>
      <c r="G1505" s="102"/>
      <c r="H1505" s="145"/>
      <c r="I1505" s="145"/>
      <c r="J1505" s="145"/>
      <c r="K1505" s="145"/>
      <c r="L1505" s="145"/>
      <c r="M1505" s="145"/>
      <c r="N1505" s="145"/>
      <c r="O1505" s="145"/>
    </row>
    <row r="1506" spans="1:15" x14ac:dyDescent="0.35">
      <c r="A1506" s="145"/>
      <c r="B1506" s="145"/>
      <c r="C1506" s="145"/>
      <c r="D1506" s="145"/>
      <c r="E1506" s="145"/>
      <c r="F1506" s="145"/>
      <c r="G1506" s="102"/>
      <c r="H1506" s="145"/>
      <c r="I1506" s="145"/>
      <c r="J1506" s="145"/>
      <c r="K1506" s="145"/>
      <c r="L1506" s="145"/>
      <c r="M1506" s="145"/>
      <c r="N1506" s="145"/>
      <c r="O1506" s="145"/>
    </row>
    <row r="1507" spans="1:15" x14ac:dyDescent="0.35">
      <c r="A1507" s="145"/>
      <c r="B1507" s="145"/>
      <c r="C1507" s="145"/>
      <c r="D1507" s="145"/>
      <c r="E1507" s="145"/>
      <c r="F1507" s="145"/>
      <c r="G1507" s="102"/>
      <c r="H1507" s="145"/>
      <c r="I1507" s="145"/>
      <c r="J1507" s="145"/>
      <c r="K1507" s="145"/>
      <c r="L1507" s="145"/>
      <c r="M1507" s="145"/>
      <c r="N1507" s="145"/>
      <c r="O1507" s="145"/>
    </row>
    <row r="1508" spans="1:15" x14ac:dyDescent="0.35">
      <c r="A1508" s="145"/>
      <c r="B1508" s="145"/>
      <c r="C1508" s="145"/>
      <c r="D1508" s="145"/>
      <c r="E1508" s="145"/>
      <c r="F1508" s="145"/>
      <c r="G1508" s="102"/>
      <c r="H1508" s="145"/>
      <c r="I1508" s="145"/>
      <c r="J1508" s="145"/>
      <c r="K1508" s="145"/>
      <c r="L1508" s="145"/>
      <c r="M1508" s="145"/>
      <c r="N1508" s="145"/>
      <c r="O1508" s="145"/>
    </row>
    <row r="1509" spans="1:15" x14ac:dyDescent="0.35">
      <c r="A1509" s="145"/>
      <c r="B1509" s="145"/>
      <c r="C1509" s="145"/>
      <c r="D1509" s="145"/>
      <c r="E1509" s="145"/>
      <c r="F1509" s="145"/>
      <c r="G1509" s="102"/>
      <c r="H1509" s="145"/>
      <c r="I1509" s="145"/>
      <c r="J1509" s="145"/>
      <c r="K1509" s="145"/>
      <c r="L1509" s="145"/>
      <c r="M1509" s="145"/>
      <c r="N1509" s="145"/>
      <c r="O1509" s="145"/>
    </row>
    <row r="1510" spans="1:15" x14ac:dyDescent="0.35">
      <c r="A1510" s="145"/>
      <c r="B1510" s="145"/>
      <c r="C1510" s="145"/>
      <c r="D1510" s="145"/>
      <c r="E1510" s="145"/>
      <c r="F1510" s="145"/>
      <c r="G1510" s="102"/>
      <c r="H1510" s="145"/>
      <c r="I1510" s="145"/>
      <c r="J1510" s="145"/>
      <c r="K1510" s="145"/>
      <c r="L1510" s="145"/>
      <c r="M1510" s="145"/>
      <c r="N1510" s="145"/>
      <c r="O1510" s="145"/>
    </row>
    <row r="1511" spans="1:15" x14ac:dyDescent="0.35">
      <c r="A1511" s="145"/>
      <c r="B1511" s="145"/>
      <c r="C1511" s="145"/>
      <c r="D1511" s="145"/>
      <c r="E1511" s="145"/>
      <c r="F1511" s="145"/>
      <c r="G1511" s="102"/>
      <c r="H1511" s="145"/>
      <c r="I1511" s="145"/>
      <c r="J1511" s="145"/>
      <c r="K1511" s="145"/>
      <c r="L1511" s="145"/>
      <c r="M1511" s="145"/>
      <c r="N1511" s="145"/>
      <c r="O1511" s="145"/>
    </row>
    <row r="1512" spans="1:15" x14ac:dyDescent="0.35">
      <c r="A1512" s="145"/>
      <c r="B1512" s="145"/>
      <c r="C1512" s="145"/>
      <c r="D1512" s="145"/>
      <c r="E1512" s="145"/>
      <c r="F1512" s="145"/>
      <c r="G1512" s="102"/>
      <c r="H1512" s="145"/>
      <c r="I1512" s="145"/>
      <c r="J1512" s="145"/>
      <c r="K1512" s="145"/>
      <c r="L1512" s="145"/>
      <c r="M1512" s="145"/>
      <c r="N1512" s="145"/>
      <c r="O1512" s="145"/>
    </row>
    <row r="1513" spans="1:15" x14ac:dyDescent="0.35">
      <c r="A1513" s="145"/>
      <c r="B1513" s="145"/>
      <c r="C1513" s="145"/>
      <c r="D1513" s="145"/>
      <c r="E1513" s="145"/>
      <c r="F1513" s="145"/>
      <c r="G1513" s="102"/>
      <c r="H1513" s="145"/>
      <c r="I1513" s="145"/>
      <c r="J1513" s="145"/>
      <c r="K1513" s="145"/>
      <c r="L1513" s="145"/>
      <c r="M1513" s="145"/>
      <c r="N1513" s="145"/>
      <c r="O1513" s="145"/>
    </row>
    <row r="1514" spans="1:15" x14ac:dyDescent="0.35">
      <c r="A1514" s="145"/>
      <c r="B1514" s="145"/>
      <c r="C1514" s="145"/>
      <c r="D1514" s="145"/>
      <c r="E1514" s="145"/>
      <c r="F1514" s="145"/>
      <c r="G1514" s="102"/>
      <c r="H1514" s="145"/>
      <c r="I1514" s="145"/>
      <c r="J1514" s="145"/>
      <c r="K1514" s="145"/>
      <c r="L1514" s="145"/>
      <c r="M1514" s="145"/>
      <c r="N1514" s="145"/>
      <c r="O1514" s="145"/>
    </row>
    <row r="1515" spans="1:15" x14ac:dyDescent="0.35">
      <c r="A1515" s="145"/>
      <c r="B1515" s="145"/>
      <c r="C1515" s="145"/>
      <c r="D1515" s="145"/>
      <c r="E1515" s="145"/>
      <c r="F1515" s="145"/>
      <c r="G1515" s="102"/>
      <c r="H1515" s="145"/>
      <c r="I1515" s="145"/>
      <c r="J1515" s="145"/>
      <c r="K1515" s="145"/>
      <c r="L1515" s="145"/>
      <c r="M1515" s="145"/>
      <c r="N1515" s="145"/>
      <c r="O1515" s="145"/>
    </row>
    <row r="1516" spans="1:15" x14ac:dyDescent="0.35">
      <c r="A1516" s="145"/>
      <c r="B1516" s="145"/>
      <c r="C1516" s="145"/>
      <c r="D1516" s="145"/>
      <c r="E1516" s="145"/>
      <c r="F1516" s="145"/>
      <c r="G1516" s="102"/>
      <c r="H1516" s="145"/>
      <c r="I1516" s="145"/>
      <c r="J1516" s="145"/>
      <c r="K1516" s="145"/>
      <c r="L1516" s="145"/>
      <c r="M1516" s="145"/>
      <c r="N1516" s="145"/>
      <c r="O1516" s="145"/>
    </row>
    <row r="1517" spans="1:15" x14ac:dyDescent="0.35">
      <c r="A1517" s="145"/>
      <c r="B1517" s="145"/>
      <c r="C1517" s="145"/>
      <c r="D1517" s="145"/>
      <c r="E1517" s="145"/>
      <c r="F1517" s="145"/>
      <c r="G1517" s="102"/>
      <c r="H1517" s="145"/>
      <c r="I1517" s="145"/>
      <c r="J1517" s="145"/>
      <c r="K1517" s="145"/>
      <c r="L1517" s="145"/>
      <c r="M1517" s="145"/>
      <c r="N1517" s="145"/>
      <c r="O1517" s="145"/>
    </row>
    <row r="1518" spans="1:15" x14ac:dyDescent="0.35">
      <c r="A1518" s="145"/>
      <c r="B1518" s="145"/>
      <c r="C1518" s="145"/>
      <c r="D1518" s="145"/>
      <c r="E1518" s="145"/>
      <c r="F1518" s="145"/>
      <c r="G1518" s="102"/>
      <c r="H1518" s="145"/>
      <c r="I1518" s="145"/>
      <c r="J1518" s="145"/>
      <c r="K1518" s="145"/>
      <c r="L1518" s="145"/>
      <c r="M1518" s="145"/>
      <c r="N1518" s="145"/>
      <c r="O1518" s="145"/>
    </row>
    <row r="1519" spans="1:15" x14ac:dyDescent="0.35">
      <c r="A1519" s="145"/>
      <c r="B1519" s="145"/>
      <c r="C1519" s="145"/>
      <c r="D1519" s="145"/>
      <c r="E1519" s="145"/>
      <c r="F1519" s="145"/>
      <c r="G1519" s="102"/>
      <c r="H1519" s="145"/>
      <c r="I1519" s="145"/>
      <c r="J1519" s="145"/>
      <c r="K1519" s="145"/>
      <c r="L1519" s="145"/>
      <c r="M1519" s="145"/>
      <c r="N1519" s="145"/>
      <c r="O1519" s="145"/>
    </row>
    <row r="1520" spans="1:15" x14ac:dyDescent="0.35">
      <c r="A1520" s="145"/>
      <c r="B1520" s="145"/>
      <c r="C1520" s="145"/>
      <c r="D1520" s="145"/>
      <c r="E1520" s="145"/>
      <c r="F1520" s="145"/>
      <c r="G1520" s="102"/>
      <c r="H1520" s="145"/>
      <c r="I1520" s="145"/>
      <c r="J1520" s="145"/>
      <c r="K1520" s="145"/>
      <c r="L1520" s="145"/>
      <c r="M1520" s="145"/>
      <c r="N1520" s="145"/>
      <c r="O1520" s="145"/>
    </row>
    <row r="1521" spans="1:15" x14ac:dyDescent="0.35">
      <c r="A1521" s="145"/>
      <c r="B1521" s="145"/>
      <c r="C1521" s="145"/>
      <c r="D1521" s="145"/>
      <c r="E1521" s="145"/>
      <c r="F1521" s="145"/>
      <c r="G1521" s="102"/>
      <c r="H1521" s="145"/>
      <c r="I1521" s="145"/>
      <c r="J1521" s="145"/>
      <c r="K1521" s="145"/>
      <c r="L1521" s="145"/>
      <c r="M1521" s="145"/>
      <c r="N1521" s="145"/>
      <c r="O1521" s="145"/>
    </row>
    <row r="1522" spans="1:15" x14ac:dyDescent="0.35">
      <c r="A1522" s="145"/>
      <c r="B1522" s="145"/>
      <c r="C1522" s="145"/>
      <c r="D1522" s="145"/>
      <c r="E1522" s="145"/>
      <c r="F1522" s="145"/>
      <c r="G1522" s="102"/>
      <c r="H1522" s="145"/>
      <c r="I1522" s="145"/>
      <c r="J1522" s="145"/>
      <c r="K1522" s="145"/>
      <c r="L1522" s="145"/>
      <c r="M1522" s="145"/>
      <c r="N1522" s="145"/>
      <c r="O1522" s="145"/>
    </row>
    <row r="1523" spans="1:15" x14ac:dyDescent="0.35">
      <c r="A1523" s="145"/>
      <c r="B1523" s="145"/>
      <c r="C1523" s="145"/>
      <c r="D1523" s="145"/>
      <c r="E1523" s="145"/>
      <c r="F1523" s="145"/>
      <c r="G1523" s="102"/>
      <c r="H1523" s="145"/>
      <c r="I1523" s="145"/>
      <c r="J1523" s="145"/>
      <c r="K1523" s="145"/>
      <c r="L1523" s="145"/>
      <c r="M1523" s="145"/>
      <c r="N1523" s="145"/>
      <c r="O1523" s="145"/>
    </row>
    <row r="1524" spans="1:15" x14ac:dyDescent="0.35">
      <c r="A1524" s="145"/>
      <c r="B1524" s="145"/>
      <c r="C1524" s="145"/>
      <c r="D1524" s="145"/>
      <c r="E1524" s="145"/>
      <c r="F1524" s="145"/>
      <c r="G1524" s="102"/>
      <c r="H1524" s="145"/>
      <c r="I1524" s="145"/>
      <c r="J1524" s="145"/>
      <c r="K1524" s="145"/>
      <c r="L1524" s="145"/>
      <c r="M1524" s="145"/>
      <c r="N1524" s="145"/>
      <c r="O1524" s="145"/>
    </row>
    <row r="1525" spans="1:15" x14ac:dyDescent="0.35">
      <c r="A1525" s="145"/>
      <c r="B1525" s="145"/>
      <c r="C1525" s="145"/>
      <c r="D1525" s="145"/>
      <c r="E1525" s="145"/>
      <c r="F1525" s="145"/>
      <c r="G1525" s="102"/>
      <c r="H1525" s="145"/>
      <c r="I1525" s="145"/>
      <c r="J1525" s="145"/>
      <c r="K1525" s="145"/>
      <c r="L1525" s="145"/>
      <c r="M1525" s="145"/>
      <c r="N1525" s="145"/>
      <c r="O1525" s="145"/>
    </row>
    <row r="1526" spans="1:15" x14ac:dyDescent="0.35">
      <c r="A1526" s="145"/>
      <c r="B1526" s="145"/>
      <c r="C1526" s="145"/>
      <c r="D1526" s="145"/>
      <c r="E1526" s="145"/>
      <c r="F1526" s="145"/>
      <c r="G1526" s="102"/>
      <c r="H1526" s="145"/>
      <c r="I1526" s="145"/>
      <c r="J1526" s="145"/>
      <c r="K1526" s="145"/>
      <c r="L1526" s="145"/>
      <c r="M1526" s="145"/>
      <c r="N1526" s="145"/>
      <c r="O1526" s="145"/>
    </row>
    <row r="1527" spans="1:15" x14ac:dyDescent="0.35">
      <c r="A1527" s="145"/>
      <c r="B1527" s="145"/>
      <c r="C1527" s="145"/>
      <c r="D1527" s="145"/>
      <c r="E1527" s="145"/>
      <c r="F1527" s="145"/>
      <c r="G1527" s="102"/>
      <c r="H1527" s="145"/>
      <c r="I1527" s="145"/>
      <c r="J1527" s="145"/>
      <c r="K1527" s="145"/>
      <c r="L1527" s="145"/>
      <c r="M1527" s="145"/>
      <c r="N1527" s="145"/>
      <c r="O1527" s="145"/>
    </row>
    <row r="1528" spans="1:15" x14ac:dyDescent="0.35">
      <c r="A1528" s="145"/>
      <c r="B1528" s="145"/>
      <c r="C1528" s="145"/>
      <c r="D1528" s="145"/>
      <c r="E1528" s="145"/>
      <c r="F1528" s="145"/>
      <c r="G1528" s="102"/>
      <c r="H1528" s="145"/>
      <c r="I1528" s="145"/>
      <c r="J1528" s="145"/>
      <c r="K1528" s="145"/>
      <c r="L1528" s="145"/>
      <c r="M1528" s="145"/>
      <c r="N1528" s="145"/>
      <c r="O1528" s="145"/>
    </row>
    <row r="1529" spans="1:15" x14ac:dyDescent="0.35">
      <c r="A1529" s="145"/>
      <c r="B1529" s="145"/>
      <c r="C1529" s="145"/>
      <c r="D1529" s="145"/>
      <c r="E1529" s="145"/>
      <c r="F1529" s="145"/>
      <c r="G1529" s="102"/>
      <c r="H1529" s="145"/>
      <c r="I1529" s="145"/>
      <c r="J1529" s="145"/>
      <c r="K1529" s="145"/>
      <c r="L1529" s="145"/>
      <c r="M1529" s="145"/>
      <c r="N1529" s="145"/>
      <c r="O1529" s="145"/>
    </row>
    <row r="1530" spans="1:15" x14ac:dyDescent="0.35">
      <c r="A1530" s="145"/>
      <c r="B1530" s="145"/>
      <c r="C1530" s="145"/>
      <c r="D1530" s="145"/>
      <c r="E1530" s="145"/>
      <c r="F1530" s="145"/>
      <c r="G1530" s="102"/>
      <c r="H1530" s="145"/>
      <c r="I1530" s="145"/>
      <c r="J1530" s="145"/>
      <c r="K1530" s="145"/>
      <c r="L1530" s="145"/>
      <c r="M1530" s="145"/>
      <c r="N1530" s="145"/>
      <c r="O1530" s="145"/>
    </row>
    <row r="1531" spans="1:15" x14ac:dyDescent="0.35">
      <c r="A1531" s="145"/>
      <c r="B1531" s="145"/>
      <c r="C1531" s="145"/>
      <c r="D1531" s="145"/>
      <c r="E1531" s="145"/>
      <c r="F1531" s="145"/>
      <c r="G1531" s="102"/>
      <c r="H1531" s="145"/>
      <c r="I1531" s="145"/>
      <c r="J1531" s="145"/>
      <c r="K1531" s="145"/>
      <c r="L1531" s="145"/>
      <c r="M1531" s="145"/>
      <c r="N1531" s="145"/>
      <c r="O1531" s="145"/>
    </row>
    <row r="1532" spans="1:15" x14ac:dyDescent="0.35">
      <c r="A1532" s="145"/>
      <c r="B1532" s="145"/>
      <c r="C1532" s="145"/>
      <c r="D1532" s="145"/>
      <c r="E1532" s="145"/>
      <c r="F1532" s="145"/>
      <c r="G1532" s="102"/>
      <c r="H1532" s="145"/>
      <c r="I1532" s="145"/>
      <c r="J1532" s="145"/>
      <c r="K1532" s="145"/>
      <c r="L1532" s="145"/>
      <c r="M1532" s="145"/>
      <c r="N1532" s="145"/>
      <c r="O1532" s="145"/>
    </row>
    <row r="1533" spans="1:15" x14ac:dyDescent="0.35">
      <c r="A1533" s="145"/>
      <c r="B1533" s="145"/>
      <c r="C1533" s="145"/>
      <c r="D1533" s="145"/>
      <c r="E1533" s="145"/>
      <c r="F1533" s="145"/>
      <c r="G1533" s="102"/>
      <c r="H1533" s="145"/>
      <c r="I1533" s="145"/>
      <c r="J1533" s="145"/>
      <c r="K1533" s="145"/>
      <c r="L1533" s="145"/>
      <c r="M1533" s="145"/>
      <c r="N1533" s="145"/>
      <c r="O1533" s="145"/>
    </row>
    <row r="1534" spans="1:15" x14ac:dyDescent="0.35">
      <c r="A1534" s="145"/>
      <c r="B1534" s="145"/>
      <c r="C1534" s="145"/>
      <c r="D1534" s="145"/>
      <c r="E1534" s="145"/>
      <c r="F1534" s="145"/>
      <c r="G1534" s="102"/>
      <c r="H1534" s="145"/>
      <c r="I1534" s="145"/>
      <c r="J1534" s="145"/>
      <c r="K1534" s="145"/>
      <c r="L1534" s="145"/>
      <c r="M1534" s="145"/>
      <c r="N1534" s="145"/>
      <c r="O1534" s="145"/>
    </row>
    <row r="1535" spans="1:15" x14ac:dyDescent="0.35">
      <c r="A1535" s="145"/>
      <c r="B1535" s="145"/>
      <c r="C1535" s="145"/>
      <c r="D1535" s="145"/>
      <c r="E1535" s="145"/>
      <c r="F1535" s="145"/>
      <c r="G1535" s="102"/>
      <c r="H1535" s="145"/>
      <c r="I1535" s="145"/>
      <c r="J1535" s="145"/>
      <c r="K1535" s="145"/>
      <c r="L1535" s="145"/>
      <c r="M1535" s="145"/>
      <c r="N1535" s="145"/>
      <c r="O1535" s="145"/>
    </row>
    <row r="1536" spans="1:15" x14ac:dyDescent="0.35">
      <c r="A1536" s="145"/>
      <c r="B1536" s="145"/>
      <c r="C1536" s="145"/>
      <c r="D1536" s="145"/>
      <c r="E1536" s="145"/>
      <c r="F1536" s="145"/>
      <c r="G1536" s="102"/>
      <c r="H1536" s="145"/>
      <c r="I1536" s="145"/>
      <c r="J1536" s="145"/>
      <c r="K1536" s="145"/>
      <c r="L1536" s="145"/>
      <c r="M1536" s="145"/>
      <c r="N1536" s="145"/>
      <c r="O1536" s="145"/>
    </row>
    <row r="1537" spans="1:15" x14ac:dyDescent="0.35">
      <c r="A1537" s="145"/>
      <c r="B1537" s="145"/>
      <c r="C1537" s="145"/>
      <c r="D1537" s="145"/>
      <c r="E1537" s="145"/>
      <c r="F1537" s="145"/>
      <c r="G1537" s="102"/>
      <c r="H1537" s="145"/>
      <c r="I1537" s="145"/>
      <c r="J1537" s="145"/>
      <c r="K1537" s="145"/>
      <c r="L1537" s="145"/>
      <c r="M1537" s="145"/>
      <c r="N1537" s="145"/>
      <c r="O1537" s="145"/>
    </row>
    <row r="1538" spans="1:15" x14ac:dyDescent="0.35">
      <c r="A1538" s="145"/>
      <c r="B1538" s="145"/>
      <c r="C1538" s="145"/>
      <c r="D1538" s="145"/>
      <c r="E1538" s="145"/>
      <c r="F1538" s="145"/>
      <c r="G1538" s="102"/>
      <c r="H1538" s="145"/>
      <c r="I1538" s="145"/>
      <c r="J1538" s="145"/>
      <c r="K1538" s="145"/>
      <c r="L1538" s="145"/>
      <c r="M1538" s="145"/>
      <c r="N1538" s="145"/>
      <c r="O1538" s="145"/>
    </row>
    <row r="1539" spans="1:15" x14ac:dyDescent="0.35">
      <c r="A1539" s="145"/>
      <c r="B1539" s="145"/>
      <c r="C1539" s="145"/>
      <c r="D1539" s="145"/>
      <c r="E1539" s="145"/>
      <c r="F1539" s="145"/>
      <c r="G1539" s="102"/>
      <c r="H1539" s="145"/>
      <c r="I1539" s="145"/>
      <c r="J1539" s="145"/>
      <c r="K1539" s="145"/>
      <c r="L1539" s="145"/>
      <c r="M1539" s="145"/>
      <c r="N1539" s="145"/>
      <c r="O1539" s="145"/>
    </row>
    <row r="1540" spans="1:15" x14ac:dyDescent="0.35">
      <c r="A1540" s="145"/>
      <c r="B1540" s="145"/>
      <c r="C1540" s="145"/>
      <c r="D1540" s="145"/>
      <c r="E1540" s="145"/>
      <c r="F1540" s="145"/>
      <c r="G1540" s="102"/>
      <c r="H1540" s="145"/>
      <c r="I1540" s="145"/>
      <c r="J1540" s="145"/>
      <c r="K1540" s="145"/>
      <c r="L1540" s="145"/>
      <c r="M1540" s="145"/>
      <c r="N1540" s="145"/>
      <c r="O1540" s="145"/>
    </row>
    <row r="1541" spans="1:15" x14ac:dyDescent="0.35">
      <c r="A1541" s="145"/>
      <c r="B1541" s="145"/>
      <c r="C1541" s="145"/>
      <c r="D1541" s="145"/>
      <c r="E1541" s="145"/>
      <c r="F1541" s="145"/>
      <c r="G1541" s="102"/>
      <c r="H1541" s="145"/>
      <c r="I1541" s="145"/>
      <c r="J1541" s="145"/>
      <c r="K1541" s="145"/>
      <c r="L1541" s="145"/>
      <c r="M1541" s="145"/>
      <c r="N1541" s="145"/>
      <c r="O1541" s="145"/>
    </row>
    <row r="1542" spans="1:15" x14ac:dyDescent="0.35">
      <c r="A1542" s="145"/>
      <c r="B1542" s="145"/>
      <c r="C1542" s="145"/>
      <c r="D1542" s="145"/>
      <c r="E1542" s="145"/>
      <c r="F1542" s="145"/>
      <c r="G1542" s="102"/>
      <c r="H1542" s="145"/>
      <c r="I1542" s="145"/>
      <c r="J1542" s="145"/>
      <c r="K1542" s="145"/>
      <c r="L1542" s="145"/>
      <c r="M1542" s="145"/>
      <c r="N1542" s="145"/>
      <c r="O1542" s="145"/>
    </row>
    <row r="1543" spans="1:15" x14ac:dyDescent="0.35">
      <c r="A1543" s="145"/>
      <c r="B1543" s="145"/>
      <c r="C1543" s="145"/>
      <c r="D1543" s="145"/>
      <c r="E1543" s="145"/>
      <c r="F1543" s="145"/>
      <c r="G1543" s="102"/>
      <c r="H1543" s="145"/>
      <c r="I1543" s="145"/>
      <c r="J1543" s="145"/>
      <c r="K1543" s="145"/>
      <c r="L1543" s="145"/>
      <c r="M1543" s="145"/>
      <c r="N1543" s="145"/>
      <c r="O1543" s="145"/>
    </row>
    <row r="1544" spans="1:15" x14ac:dyDescent="0.35">
      <c r="A1544" s="145"/>
      <c r="B1544" s="145"/>
      <c r="C1544" s="145"/>
      <c r="D1544" s="145"/>
      <c r="E1544" s="145"/>
      <c r="F1544" s="145"/>
      <c r="G1544" s="102"/>
      <c r="H1544" s="145"/>
      <c r="I1544" s="145"/>
      <c r="J1544" s="145"/>
      <c r="K1544" s="145"/>
      <c r="L1544" s="145"/>
      <c r="M1544" s="145"/>
      <c r="N1544" s="145"/>
      <c r="O1544" s="145"/>
    </row>
    <row r="1545" spans="1:15" x14ac:dyDescent="0.35">
      <c r="A1545" s="145"/>
      <c r="B1545" s="145"/>
      <c r="C1545" s="145"/>
      <c r="D1545" s="145"/>
      <c r="E1545" s="145"/>
      <c r="F1545" s="145"/>
      <c r="G1545" s="102"/>
      <c r="H1545" s="145"/>
      <c r="I1545" s="145"/>
      <c r="J1545" s="145"/>
      <c r="K1545" s="145"/>
      <c r="L1545" s="145"/>
      <c r="M1545" s="145"/>
      <c r="N1545" s="145"/>
      <c r="O1545" s="145"/>
    </row>
    <row r="1546" spans="1:15" x14ac:dyDescent="0.35">
      <c r="A1546" s="145"/>
      <c r="B1546" s="145"/>
      <c r="C1546" s="145"/>
      <c r="D1546" s="145"/>
      <c r="E1546" s="145"/>
      <c r="F1546" s="145"/>
      <c r="G1546" s="102"/>
      <c r="H1546" s="145"/>
      <c r="I1546" s="145"/>
      <c r="J1546" s="145"/>
      <c r="K1546" s="145"/>
      <c r="L1546" s="145"/>
      <c r="M1546" s="145"/>
      <c r="N1546" s="145"/>
      <c r="O1546" s="145"/>
    </row>
    <row r="1547" spans="1:15" x14ac:dyDescent="0.35">
      <c r="A1547" s="145"/>
      <c r="B1547" s="145"/>
      <c r="C1547" s="145"/>
      <c r="D1547" s="145"/>
      <c r="E1547" s="145"/>
      <c r="F1547" s="145"/>
      <c r="G1547" s="102"/>
      <c r="H1547" s="145"/>
      <c r="I1547" s="145"/>
      <c r="J1547" s="145"/>
      <c r="K1547" s="145"/>
      <c r="L1547" s="145"/>
      <c r="M1547" s="145"/>
      <c r="N1547" s="145"/>
      <c r="O1547" s="145"/>
    </row>
    <row r="1548" spans="1:15" x14ac:dyDescent="0.35">
      <c r="A1548" s="145"/>
      <c r="B1548" s="145"/>
      <c r="C1548" s="145"/>
      <c r="D1548" s="145"/>
      <c r="E1548" s="145"/>
      <c r="F1548" s="145"/>
      <c r="G1548" s="102"/>
      <c r="H1548" s="145"/>
      <c r="I1548" s="145"/>
      <c r="J1548" s="145"/>
      <c r="K1548" s="145"/>
      <c r="L1548" s="145"/>
      <c r="M1548" s="145"/>
      <c r="N1548" s="145"/>
      <c r="O1548" s="145"/>
    </row>
    <row r="1549" spans="1:15" x14ac:dyDescent="0.35">
      <c r="A1549" s="145"/>
      <c r="B1549" s="145"/>
      <c r="C1549" s="145"/>
      <c r="D1549" s="145"/>
      <c r="E1549" s="145"/>
      <c r="F1549" s="145"/>
      <c r="G1549" s="102"/>
      <c r="H1549" s="145"/>
      <c r="I1549" s="145"/>
      <c r="J1549" s="145"/>
      <c r="K1549" s="145"/>
      <c r="L1549" s="145"/>
      <c r="M1549" s="145"/>
      <c r="N1549" s="145"/>
      <c r="O1549" s="145"/>
    </row>
    <row r="1550" spans="1:15" x14ac:dyDescent="0.35">
      <c r="A1550" s="145"/>
      <c r="B1550" s="145"/>
      <c r="C1550" s="145"/>
      <c r="D1550" s="145"/>
      <c r="E1550" s="145"/>
      <c r="F1550" s="145"/>
      <c r="G1550" s="102"/>
      <c r="H1550" s="145"/>
      <c r="I1550" s="145"/>
      <c r="J1550" s="145"/>
      <c r="K1550" s="145"/>
      <c r="L1550" s="145"/>
      <c r="M1550" s="145"/>
      <c r="N1550" s="145"/>
      <c r="O1550" s="145"/>
    </row>
    <row r="1551" spans="1:15" x14ac:dyDescent="0.35">
      <c r="A1551" s="145"/>
      <c r="B1551" s="145"/>
      <c r="C1551" s="145"/>
      <c r="D1551" s="145"/>
      <c r="E1551" s="145"/>
      <c r="F1551" s="145"/>
      <c r="G1551" s="102"/>
      <c r="H1551" s="145"/>
      <c r="I1551" s="145"/>
      <c r="J1551" s="145"/>
      <c r="K1551" s="145"/>
      <c r="L1551" s="145"/>
      <c r="M1551" s="145"/>
      <c r="N1551" s="145"/>
      <c r="O1551" s="145"/>
    </row>
    <row r="1552" spans="1:15" x14ac:dyDescent="0.35">
      <c r="A1552" s="145"/>
      <c r="B1552" s="145"/>
      <c r="C1552" s="145"/>
      <c r="D1552" s="145"/>
      <c r="E1552" s="145"/>
      <c r="F1552" s="145"/>
      <c r="G1552" s="102"/>
      <c r="H1552" s="145"/>
      <c r="I1552" s="145"/>
      <c r="J1552" s="145"/>
      <c r="K1552" s="145"/>
      <c r="L1552" s="145"/>
      <c r="M1552" s="145"/>
      <c r="N1552" s="145"/>
      <c r="O1552" s="145"/>
    </row>
    <row r="1553" spans="1:15" x14ac:dyDescent="0.35">
      <c r="A1553" s="145"/>
      <c r="B1553" s="145"/>
      <c r="C1553" s="145"/>
      <c r="D1553" s="145"/>
      <c r="E1553" s="145"/>
      <c r="F1553" s="145"/>
      <c r="G1553" s="102"/>
      <c r="H1553" s="145"/>
      <c r="I1553" s="145"/>
      <c r="J1553" s="145"/>
      <c r="K1553" s="145"/>
      <c r="L1553" s="145"/>
      <c r="M1553" s="145"/>
      <c r="N1553" s="145"/>
      <c r="O1553" s="145"/>
    </row>
    <row r="1554" spans="1:15" x14ac:dyDescent="0.35">
      <c r="A1554" s="145"/>
      <c r="B1554" s="145"/>
      <c r="C1554" s="145"/>
      <c r="D1554" s="145"/>
      <c r="E1554" s="145"/>
      <c r="F1554" s="145"/>
      <c r="G1554" s="102"/>
      <c r="H1554" s="145"/>
      <c r="I1554" s="145"/>
      <c r="J1554" s="145"/>
      <c r="K1554" s="145"/>
      <c r="L1554" s="145"/>
      <c r="M1554" s="145"/>
      <c r="N1554" s="145"/>
      <c r="O1554" s="145"/>
    </row>
    <row r="1555" spans="1:15" x14ac:dyDescent="0.35">
      <c r="A1555" s="145"/>
      <c r="B1555" s="145"/>
      <c r="C1555" s="145"/>
      <c r="D1555" s="145"/>
      <c r="E1555" s="145"/>
      <c r="F1555" s="145"/>
      <c r="G1555" s="102"/>
      <c r="H1555" s="145"/>
      <c r="I1555" s="145"/>
      <c r="J1555" s="145"/>
      <c r="K1555" s="145"/>
      <c r="L1555" s="145"/>
      <c r="M1555" s="145"/>
      <c r="N1555" s="145"/>
      <c r="O1555" s="145"/>
    </row>
    <row r="1556" spans="1:15" x14ac:dyDescent="0.35">
      <c r="A1556" s="145"/>
      <c r="B1556" s="145"/>
      <c r="C1556" s="145"/>
      <c r="D1556" s="145"/>
      <c r="E1556" s="145"/>
      <c r="F1556" s="145"/>
      <c r="G1556" s="102"/>
      <c r="H1556" s="145"/>
      <c r="I1556" s="145"/>
      <c r="J1556" s="145"/>
      <c r="K1556" s="145"/>
      <c r="L1556" s="145"/>
      <c r="M1556" s="145"/>
      <c r="N1556" s="145"/>
      <c r="O1556" s="145"/>
    </row>
    <row r="1557" spans="1:15" x14ac:dyDescent="0.35">
      <c r="A1557" s="145"/>
      <c r="B1557" s="145"/>
      <c r="C1557" s="145"/>
      <c r="D1557" s="145"/>
      <c r="E1557" s="145"/>
      <c r="F1557" s="145"/>
      <c r="G1557" s="102"/>
      <c r="H1557" s="145"/>
      <c r="I1557" s="145"/>
      <c r="J1557" s="145"/>
      <c r="K1557" s="145"/>
      <c r="L1557" s="145"/>
      <c r="M1557" s="145"/>
      <c r="N1557" s="145"/>
      <c r="O1557" s="145"/>
    </row>
    <row r="1558" spans="1:15" x14ac:dyDescent="0.35">
      <c r="A1558" s="145"/>
      <c r="B1558" s="145"/>
      <c r="C1558" s="145"/>
      <c r="D1558" s="145"/>
      <c r="E1558" s="145"/>
      <c r="F1558" s="145"/>
      <c r="G1558" s="102"/>
      <c r="H1558" s="145"/>
      <c r="I1558" s="145"/>
      <c r="J1558" s="145"/>
      <c r="K1558" s="145"/>
      <c r="L1558" s="145"/>
      <c r="M1558" s="145"/>
      <c r="N1558" s="145"/>
      <c r="O1558" s="145"/>
    </row>
    <row r="1559" spans="1:15" x14ac:dyDescent="0.35">
      <c r="A1559" s="145"/>
      <c r="B1559" s="145"/>
      <c r="C1559" s="145"/>
      <c r="D1559" s="145"/>
      <c r="E1559" s="145"/>
      <c r="F1559" s="145"/>
      <c r="G1559" s="102"/>
      <c r="H1559" s="145"/>
      <c r="I1559" s="145"/>
      <c r="J1559" s="145"/>
      <c r="K1559" s="145"/>
      <c r="L1559" s="145"/>
      <c r="M1559" s="145"/>
      <c r="N1559" s="145"/>
      <c r="O1559" s="145"/>
    </row>
    <row r="1560" spans="1:15" x14ac:dyDescent="0.35">
      <c r="A1560" s="145"/>
      <c r="B1560" s="145"/>
      <c r="C1560" s="145"/>
      <c r="D1560" s="145"/>
      <c r="E1560" s="145"/>
      <c r="F1560" s="145"/>
      <c r="G1560" s="102"/>
      <c r="H1560" s="145"/>
      <c r="I1560" s="145"/>
      <c r="J1560" s="145"/>
      <c r="K1560" s="145"/>
      <c r="L1560" s="145"/>
      <c r="M1560" s="145"/>
      <c r="N1560" s="145"/>
      <c r="O1560" s="145"/>
    </row>
    <row r="1561" spans="1:15" x14ac:dyDescent="0.35">
      <c r="A1561" s="145"/>
      <c r="B1561" s="145"/>
      <c r="C1561" s="145"/>
      <c r="D1561" s="145"/>
      <c r="E1561" s="145"/>
      <c r="F1561" s="145"/>
      <c r="G1561" s="102"/>
      <c r="H1561" s="145"/>
      <c r="I1561" s="145"/>
      <c r="J1561" s="145"/>
      <c r="K1561" s="145"/>
      <c r="L1561" s="145"/>
      <c r="M1561" s="145"/>
      <c r="N1561" s="145"/>
      <c r="O1561" s="145"/>
    </row>
    <row r="1562" spans="1:15" x14ac:dyDescent="0.35">
      <c r="A1562" s="145"/>
      <c r="B1562" s="145"/>
      <c r="C1562" s="145"/>
      <c r="D1562" s="145"/>
      <c r="E1562" s="145"/>
      <c r="F1562" s="145"/>
      <c r="G1562" s="102"/>
      <c r="H1562" s="145"/>
      <c r="I1562" s="145"/>
      <c r="J1562" s="145"/>
      <c r="K1562" s="145"/>
      <c r="L1562" s="145"/>
      <c r="M1562" s="145"/>
      <c r="N1562" s="145"/>
      <c r="O1562" s="145"/>
    </row>
    <row r="1563" spans="1:15" x14ac:dyDescent="0.35">
      <c r="A1563" s="145"/>
      <c r="B1563" s="145"/>
      <c r="C1563" s="145"/>
      <c r="D1563" s="145"/>
      <c r="E1563" s="145"/>
      <c r="F1563" s="145"/>
      <c r="G1563" s="102"/>
      <c r="H1563" s="145"/>
      <c r="I1563" s="145"/>
      <c r="J1563" s="145"/>
      <c r="K1563" s="145"/>
      <c r="L1563" s="145"/>
      <c r="M1563" s="145"/>
      <c r="N1563" s="145"/>
      <c r="O1563" s="145"/>
    </row>
    <row r="1564" spans="1:15" x14ac:dyDescent="0.35">
      <c r="A1564" s="145"/>
      <c r="B1564" s="145"/>
      <c r="C1564" s="145"/>
      <c r="D1564" s="145"/>
      <c r="E1564" s="145"/>
      <c r="F1564" s="145"/>
      <c r="G1564" s="102"/>
      <c r="H1564" s="145"/>
      <c r="I1564" s="145"/>
      <c r="J1564" s="145"/>
      <c r="K1564" s="145"/>
      <c r="L1564" s="145"/>
      <c r="M1564" s="145"/>
      <c r="N1564" s="145"/>
      <c r="O1564" s="145"/>
    </row>
    <row r="1565" spans="1:15" x14ac:dyDescent="0.35">
      <c r="A1565" s="145"/>
      <c r="B1565" s="145"/>
      <c r="C1565" s="145"/>
      <c r="D1565" s="145"/>
      <c r="E1565" s="145"/>
      <c r="F1565" s="145"/>
      <c r="G1565" s="102"/>
      <c r="H1565" s="145"/>
      <c r="I1565" s="145"/>
      <c r="J1565" s="145"/>
      <c r="K1565" s="145"/>
      <c r="L1565" s="145"/>
      <c r="M1565" s="145"/>
      <c r="N1565" s="145"/>
      <c r="O1565" s="145"/>
    </row>
    <row r="1566" spans="1:15" x14ac:dyDescent="0.35">
      <c r="A1566" s="145"/>
      <c r="B1566" s="145"/>
      <c r="C1566" s="145"/>
      <c r="D1566" s="145"/>
      <c r="E1566" s="145"/>
      <c r="F1566" s="145"/>
      <c r="G1566" s="102"/>
      <c r="H1566" s="145"/>
      <c r="I1566" s="145"/>
      <c r="J1566" s="145"/>
      <c r="K1566" s="145"/>
      <c r="L1566" s="145"/>
      <c r="M1566" s="145"/>
      <c r="N1566" s="145"/>
      <c r="O1566" s="145"/>
    </row>
    <row r="1567" spans="1:15" x14ac:dyDescent="0.35">
      <c r="A1567" s="145"/>
      <c r="B1567" s="145"/>
      <c r="C1567" s="145"/>
      <c r="D1567" s="145"/>
      <c r="E1567" s="145"/>
      <c r="F1567" s="145"/>
      <c r="G1567" s="102"/>
      <c r="H1567" s="145"/>
      <c r="I1567" s="145"/>
      <c r="J1567" s="145"/>
      <c r="K1567" s="145"/>
      <c r="L1567" s="145"/>
      <c r="M1567" s="145"/>
      <c r="N1567" s="145"/>
      <c r="O1567" s="145"/>
    </row>
    <row r="1568" spans="1:15" x14ac:dyDescent="0.35">
      <c r="A1568" s="145"/>
      <c r="B1568" s="145"/>
      <c r="C1568" s="145"/>
      <c r="D1568" s="145"/>
      <c r="E1568" s="145"/>
      <c r="F1568" s="145"/>
      <c r="G1568" s="102"/>
      <c r="H1568" s="145"/>
      <c r="I1568" s="145"/>
      <c r="J1568" s="145"/>
      <c r="K1568" s="145"/>
      <c r="L1568" s="145"/>
      <c r="M1568" s="145"/>
      <c r="N1568" s="145"/>
      <c r="O1568" s="145"/>
    </row>
    <row r="1569" spans="1:15" x14ac:dyDescent="0.35">
      <c r="A1569" s="145"/>
      <c r="B1569" s="145"/>
      <c r="C1569" s="145"/>
      <c r="D1569" s="145"/>
      <c r="E1569" s="145"/>
      <c r="F1569" s="145"/>
      <c r="G1569" s="102"/>
      <c r="H1569" s="145"/>
      <c r="I1569" s="145"/>
      <c r="J1569" s="145"/>
      <c r="K1569" s="145"/>
      <c r="L1569" s="145"/>
      <c r="M1569" s="145"/>
      <c r="N1569" s="145"/>
      <c r="O1569" s="145"/>
    </row>
    <row r="1570" spans="1:15" x14ac:dyDescent="0.35">
      <c r="A1570" s="145"/>
      <c r="B1570" s="145"/>
      <c r="C1570" s="145"/>
      <c r="D1570" s="145"/>
      <c r="E1570" s="145"/>
      <c r="F1570" s="145"/>
      <c r="G1570" s="102"/>
      <c r="H1570" s="145"/>
      <c r="I1570" s="145"/>
      <c r="J1570" s="145"/>
      <c r="K1570" s="145"/>
      <c r="L1570" s="145"/>
      <c r="M1570" s="145"/>
      <c r="N1570" s="145"/>
      <c r="O1570" s="145"/>
    </row>
    <row r="1571" spans="1:15" x14ac:dyDescent="0.35">
      <c r="A1571" s="145"/>
      <c r="B1571" s="145"/>
      <c r="C1571" s="145"/>
      <c r="D1571" s="145"/>
      <c r="E1571" s="145"/>
      <c r="F1571" s="145"/>
      <c r="G1571" s="102"/>
      <c r="H1571" s="145"/>
      <c r="I1571" s="145"/>
      <c r="J1571" s="145"/>
      <c r="K1571" s="145"/>
      <c r="L1571" s="145"/>
      <c r="M1571" s="145"/>
      <c r="N1571" s="145"/>
      <c r="O1571" s="145"/>
    </row>
    <row r="1572" spans="1:15" x14ac:dyDescent="0.35">
      <c r="A1572" s="145"/>
      <c r="B1572" s="145"/>
      <c r="C1572" s="145"/>
      <c r="D1572" s="145"/>
      <c r="E1572" s="145"/>
      <c r="F1572" s="145"/>
      <c r="G1572" s="102"/>
      <c r="H1572" s="145"/>
      <c r="I1572" s="145"/>
      <c r="J1572" s="145"/>
      <c r="K1572" s="145"/>
      <c r="L1572" s="145"/>
      <c r="M1572" s="145"/>
      <c r="N1572" s="145"/>
      <c r="O1572" s="145"/>
    </row>
    <row r="1573" spans="1:15" x14ac:dyDescent="0.35">
      <c r="A1573" s="145"/>
      <c r="B1573" s="145"/>
      <c r="C1573" s="145"/>
      <c r="D1573" s="145"/>
      <c r="E1573" s="145"/>
      <c r="F1573" s="145"/>
      <c r="G1573" s="102"/>
      <c r="H1573" s="145"/>
      <c r="I1573" s="145"/>
      <c r="J1573" s="145"/>
      <c r="K1573" s="145"/>
      <c r="L1573" s="145"/>
      <c r="M1573" s="145"/>
      <c r="N1573" s="145"/>
      <c r="O1573" s="145"/>
    </row>
    <row r="1574" spans="1:15" x14ac:dyDescent="0.35">
      <c r="A1574" s="145"/>
      <c r="B1574" s="145"/>
      <c r="C1574" s="145"/>
      <c r="D1574" s="145"/>
      <c r="E1574" s="145"/>
      <c r="F1574" s="145"/>
      <c r="G1574" s="102"/>
      <c r="H1574" s="145"/>
      <c r="I1574" s="145"/>
      <c r="J1574" s="145"/>
      <c r="K1574" s="145"/>
      <c r="L1574" s="145"/>
      <c r="M1574" s="145"/>
      <c r="N1574" s="31"/>
      <c r="O1574" s="31"/>
    </row>
    <row r="1575" spans="1:15" x14ac:dyDescent="0.35">
      <c r="A1575" s="145"/>
      <c r="B1575" s="145"/>
      <c r="C1575" s="145"/>
      <c r="D1575" s="145"/>
      <c r="E1575" s="145"/>
      <c r="F1575" s="145"/>
      <c r="G1575" s="102"/>
      <c r="H1575" s="145"/>
      <c r="I1575" s="145"/>
      <c r="J1575" s="145"/>
      <c r="K1575" s="145"/>
      <c r="L1575" s="145"/>
      <c r="M1575" s="145"/>
      <c r="N1575" s="31"/>
      <c r="O1575" s="31"/>
    </row>
    <row r="1576" spans="1:15" x14ac:dyDescent="0.35">
      <c r="A1576" s="145"/>
      <c r="B1576" s="145"/>
      <c r="C1576" s="145"/>
      <c r="D1576" s="145"/>
      <c r="E1576" s="145"/>
      <c r="F1576" s="145"/>
      <c r="G1576" s="102"/>
      <c r="H1576" s="145"/>
      <c r="I1576" s="145"/>
      <c r="J1576" s="145"/>
      <c r="K1576" s="145"/>
      <c r="L1576" s="145"/>
      <c r="M1576" s="145"/>
    </row>
    <row r="1577" spans="1:15" x14ac:dyDescent="0.35">
      <c r="A1577" s="145"/>
      <c r="B1577" s="145"/>
      <c r="C1577" s="145"/>
      <c r="D1577" s="145"/>
      <c r="E1577" s="145"/>
      <c r="F1577" s="145"/>
      <c r="G1577" s="102"/>
      <c r="H1577" s="145"/>
      <c r="I1577" s="145"/>
      <c r="J1577" s="145"/>
      <c r="K1577" s="145"/>
      <c r="L1577" s="145"/>
      <c r="M1577" s="145"/>
    </row>
    <row r="1578" spans="1:15" x14ac:dyDescent="0.35">
      <c r="A1578" s="145"/>
      <c r="B1578" s="145"/>
      <c r="C1578" s="145"/>
      <c r="D1578" s="145"/>
      <c r="E1578" s="145"/>
      <c r="F1578" s="145"/>
      <c r="G1578" s="102"/>
      <c r="H1578" s="145"/>
      <c r="I1578" s="145"/>
      <c r="J1578" s="145"/>
      <c r="K1578" s="145"/>
      <c r="L1578" s="145"/>
      <c r="M1578" s="145"/>
    </row>
    <row r="1579" spans="1:15" x14ac:dyDescent="0.35">
      <c r="A1579" s="145"/>
      <c r="B1579" s="145"/>
      <c r="C1579" s="145"/>
      <c r="D1579" s="145"/>
      <c r="E1579" s="145"/>
      <c r="F1579" s="145"/>
      <c r="G1579" s="102"/>
      <c r="H1579" s="145"/>
      <c r="I1579" s="145"/>
      <c r="J1579" s="145"/>
      <c r="K1579" s="145"/>
      <c r="L1579" s="145"/>
      <c r="M1579" s="145"/>
      <c r="N1579" s="145"/>
      <c r="O1579" s="145"/>
    </row>
    <row r="1580" spans="1:15" x14ac:dyDescent="0.35">
      <c r="A1580" s="145"/>
      <c r="B1580" s="145"/>
      <c r="C1580" s="145"/>
      <c r="D1580" s="145"/>
      <c r="E1580" s="145"/>
      <c r="F1580" s="145"/>
      <c r="G1580" s="102"/>
      <c r="H1580" s="145"/>
      <c r="I1580" s="145"/>
      <c r="J1580" s="145"/>
      <c r="K1580" s="145"/>
      <c r="L1580" s="145"/>
      <c r="M1580" s="145"/>
    </row>
    <row r="1581" spans="1:15" x14ac:dyDescent="0.35">
      <c r="A1581" s="145"/>
      <c r="B1581" s="145"/>
      <c r="C1581" s="145"/>
      <c r="D1581" s="145"/>
      <c r="E1581" s="145"/>
      <c r="F1581" s="145"/>
      <c r="G1581" s="102"/>
      <c r="H1581" s="145"/>
      <c r="I1581" s="145"/>
      <c r="J1581" s="145"/>
      <c r="K1581" s="145"/>
      <c r="L1581" s="145"/>
      <c r="M1581" s="145"/>
    </row>
    <row r="1582" spans="1:15" x14ac:dyDescent="0.35">
      <c r="A1582" s="145"/>
      <c r="B1582" s="145"/>
      <c r="C1582" s="145"/>
      <c r="D1582" s="145"/>
      <c r="E1582" s="145"/>
      <c r="F1582" s="145"/>
      <c r="G1582" s="102"/>
      <c r="H1582" s="145"/>
      <c r="I1582" s="145"/>
      <c r="J1582" s="145"/>
      <c r="K1582" s="145"/>
      <c r="L1582" s="145"/>
      <c r="M1582" s="145"/>
    </row>
    <row r="1583" spans="1:15" x14ac:dyDescent="0.35">
      <c r="A1583" s="145"/>
      <c r="B1583" s="145"/>
      <c r="C1583" s="145"/>
      <c r="D1583" s="145"/>
      <c r="E1583" s="145"/>
      <c r="F1583" s="145"/>
      <c r="G1583" s="102"/>
      <c r="H1583" s="145"/>
      <c r="I1583" s="145"/>
      <c r="J1583" s="145"/>
      <c r="K1583" s="145"/>
      <c r="L1583" s="145"/>
      <c r="M1583" s="145"/>
      <c r="N1583" s="145"/>
      <c r="O1583" s="145"/>
    </row>
    <row r="1584" spans="1:15" x14ac:dyDescent="0.35">
      <c r="A1584" s="145"/>
      <c r="B1584" s="145"/>
      <c r="C1584" s="145"/>
      <c r="D1584" s="145"/>
      <c r="E1584" s="145"/>
      <c r="F1584" s="145"/>
      <c r="G1584" s="102"/>
      <c r="H1584" s="145"/>
      <c r="I1584" s="145"/>
      <c r="J1584" s="145"/>
      <c r="K1584" s="145"/>
      <c r="L1584" s="145"/>
      <c r="M1584" s="145"/>
      <c r="N1584" s="145"/>
      <c r="O1584" s="145"/>
    </row>
    <row r="1585" spans="1:15" x14ac:dyDescent="0.35">
      <c r="A1585" s="145"/>
      <c r="B1585" s="145"/>
      <c r="C1585" s="145"/>
      <c r="D1585" s="145"/>
      <c r="E1585" s="145"/>
      <c r="F1585" s="145"/>
      <c r="G1585" s="102"/>
      <c r="H1585" s="145"/>
      <c r="I1585" s="145"/>
      <c r="J1585" s="145"/>
      <c r="K1585" s="145"/>
      <c r="L1585" s="145"/>
      <c r="M1585" s="145"/>
      <c r="N1585" s="145"/>
      <c r="O1585" s="145"/>
    </row>
    <row r="1586" spans="1:15" x14ac:dyDescent="0.35">
      <c r="A1586" s="145"/>
      <c r="B1586" s="145"/>
      <c r="C1586" s="145"/>
      <c r="D1586" s="145"/>
      <c r="E1586" s="145"/>
      <c r="F1586" s="145"/>
      <c r="G1586" s="102"/>
      <c r="H1586" s="145"/>
      <c r="I1586" s="145"/>
      <c r="J1586" s="145"/>
      <c r="K1586" s="145"/>
      <c r="L1586" s="145"/>
      <c r="M1586" s="145"/>
      <c r="N1586" s="145"/>
      <c r="O1586" s="145"/>
    </row>
    <row r="1587" spans="1:15" x14ac:dyDescent="0.35">
      <c r="A1587" s="145"/>
      <c r="B1587" s="145"/>
      <c r="C1587" s="145"/>
      <c r="D1587" s="145"/>
      <c r="E1587" s="145"/>
      <c r="F1587" s="145"/>
      <c r="G1587" s="102"/>
      <c r="H1587" s="145"/>
      <c r="I1587" s="145"/>
      <c r="J1587" s="145"/>
      <c r="K1587" s="145"/>
      <c r="L1587" s="145"/>
      <c r="M1587" s="145"/>
      <c r="N1587" s="145"/>
      <c r="O1587" s="145"/>
    </row>
    <row r="1588" spans="1:15" x14ac:dyDescent="0.35">
      <c r="A1588" s="145"/>
      <c r="B1588" s="145"/>
      <c r="C1588" s="145"/>
      <c r="D1588" s="145"/>
      <c r="E1588" s="145"/>
      <c r="F1588" s="145"/>
      <c r="G1588" s="102"/>
      <c r="H1588" s="145"/>
      <c r="I1588" s="145"/>
      <c r="J1588" s="145"/>
      <c r="K1588" s="145"/>
      <c r="L1588" s="145"/>
      <c r="M1588" s="145"/>
      <c r="N1588" s="145"/>
      <c r="O1588" s="145"/>
    </row>
    <row r="1589" spans="1:15" x14ac:dyDescent="0.35">
      <c r="A1589" s="145"/>
      <c r="B1589" s="145"/>
      <c r="C1589" s="145"/>
      <c r="D1589" s="145"/>
      <c r="E1589" s="145"/>
      <c r="F1589" s="145"/>
      <c r="G1589" s="102"/>
      <c r="H1589" s="145"/>
      <c r="I1589" s="145"/>
      <c r="J1589" s="145"/>
      <c r="K1589" s="145"/>
      <c r="L1589" s="145"/>
      <c r="M1589" s="145"/>
      <c r="N1589" s="145"/>
      <c r="O1589" s="145"/>
    </row>
    <row r="1590" spans="1:15" x14ac:dyDescent="0.35">
      <c r="A1590" s="145"/>
      <c r="B1590" s="145"/>
      <c r="C1590" s="145"/>
      <c r="D1590" s="145"/>
      <c r="E1590" s="145"/>
      <c r="F1590" s="145"/>
      <c r="G1590" s="102"/>
      <c r="H1590" s="145"/>
      <c r="I1590" s="145"/>
      <c r="J1590" s="145"/>
      <c r="K1590" s="145"/>
      <c r="L1590" s="145"/>
      <c r="M1590" s="145"/>
      <c r="N1590" s="145"/>
      <c r="O1590" s="145"/>
    </row>
    <row r="1591" spans="1:15" x14ac:dyDescent="0.35">
      <c r="A1591" s="145"/>
      <c r="B1591" s="145"/>
      <c r="C1591" s="145"/>
      <c r="D1591" s="145"/>
      <c r="E1591" s="145"/>
      <c r="F1591" s="145"/>
      <c r="G1591" s="102"/>
      <c r="H1591" s="145"/>
      <c r="I1591" s="145"/>
      <c r="J1591" s="145"/>
      <c r="K1591" s="145"/>
      <c r="L1591" s="145"/>
      <c r="M1591" s="145"/>
      <c r="N1591" s="145"/>
      <c r="O1591" s="145"/>
    </row>
    <row r="1592" spans="1:15" x14ac:dyDescent="0.35">
      <c r="A1592" s="145"/>
      <c r="B1592" s="145"/>
      <c r="C1592" s="145"/>
      <c r="D1592" s="145"/>
      <c r="E1592" s="145"/>
      <c r="F1592" s="145"/>
      <c r="G1592" s="102"/>
      <c r="H1592" s="145"/>
      <c r="I1592" s="145"/>
      <c r="J1592" s="145"/>
      <c r="K1592" s="145"/>
      <c r="L1592" s="145"/>
      <c r="M1592" s="145"/>
      <c r="N1592" s="145"/>
      <c r="O1592" s="145"/>
    </row>
    <row r="1593" spans="1:15" x14ac:dyDescent="0.35">
      <c r="A1593" s="145"/>
      <c r="B1593" s="145"/>
      <c r="C1593" s="145"/>
      <c r="D1593" s="145"/>
      <c r="E1593" s="145"/>
      <c r="F1593" s="145"/>
      <c r="G1593" s="102"/>
      <c r="H1593" s="145"/>
      <c r="I1593" s="145"/>
      <c r="J1593" s="145"/>
      <c r="K1593" s="145"/>
      <c r="L1593" s="145"/>
      <c r="M1593" s="145"/>
    </row>
    <row r="1594" spans="1:15" x14ac:dyDescent="0.35">
      <c r="A1594" s="145"/>
      <c r="B1594" s="145"/>
      <c r="C1594" s="145"/>
      <c r="D1594" s="145"/>
      <c r="E1594" s="145"/>
      <c r="F1594" s="145"/>
      <c r="G1594" s="102"/>
      <c r="H1594" s="145"/>
      <c r="I1594" s="145"/>
      <c r="J1594" s="145"/>
      <c r="K1594" s="145"/>
      <c r="L1594" s="145"/>
      <c r="M1594" s="145"/>
    </row>
    <row r="1595" spans="1:15" x14ac:dyDescent="0.35">
      <c r="A1595" s="145"/>
      <c r="B1595" s="145"/>
      <c r="C1595" s="145"/>
      <c r="D1595" s="145"/>
      <c r="E1595" s="145"/>
      <c r="F1595" s="145"/>
      <c r="G1595" s="102"/>
      <c r="H1595" s="145"/>
      <c r="I1595" s="145"/>
      <c r="J1595" s="145"/>
      <c r="K1595" s="145"/>
      <c r="L1595" s="145"/>
      <c r="M1595" s="145"/>
      <c r="N1595" s="145"/>
      <c r="O1595" s="145"/>
    </row>
    <row r="1596" spans="1:15" x14ac:dyDescent="0.35">
      <c r="A1596" s="145"/>
      <c r="B1596" s="145"/>
      <c r="C1596" s="145"/>
      <c r="D1596" s="145"/>
      <c r="E1596" s="145"/>
      <c r="F1596" s="145"/>
      <c r="G1596" s="102"/>
      <c r="H1596" s="145"/>
      <c r="I1596" s="145"/>
      <c r="J1596" s="145"/>
      <c r="K1596" s="145"/>
      <c r="L1596" s="145"/>
      <c r="M1596" s="145"/>
      <c r="N1596" s="145"/>
      <c r="O1596" s="145"/>
    </row>
    <row r="1597" spans="1:15" x14ac:dyDescent="0.35">
      <c r="A1597" s="145"/>
      <c r="B1597" s="145"/>
      <c r="C1597" s="145"/>
      <c r="D1597" s="145"/>
      <c r="E1597" s="145"/>
      <c r="F1597" s="145"/>
      <c r="G1597" s="102"/>
      <c r="H1597" s="145"/>
      <c r="I1597" s="145"/>
      <c r="J1597" s="145"/>
      <c r="K1597" s="145"/>
      <c r="L1597" s="145"/>
      <c r="M1597" s="145"/>
      <c r="N1597" s="145"/>
      <c r="O1597" s="145"/>
    </row>
    <row r="1598" spans="1:15" x14ac:dyDescent="0.35">
      <c r="A1598" s="145"/>
      <c r="B1598" s="145"/>
      <c r="C1598" s="145"/>
      <c r="D1598" s="145"/>
      <c r="E1598" s="145"/>
      <c r="F1598" s="145"/>
      <c r="G1598" s="102"/>
      <c r="H1598" s="145"/>
      <c r="I1598" s="145"/>
      <c r="J1598" s="145"/>
      <c r="K1598" s="145"/>
      <c r="L1598" s="145"/>
      <c r="M1598" s="145"/>
      <c r="N1598" s="145"/>
      <c r="O1598" s="145"/>
    </row>
    <row r="1599" spans="1:15" x14ac:dyDescent="0.35">
      <c r="A1599" s="145"/>
      <c r="B1599" s="145"/>
      <c r="C1599" s="145"/>
      <c r="D1599" s="145"/>
      <c r="E1599" s="145"/>
      <c r="F1599" s="145"/>
      <c r="G1599" s="102"/>
      <c r="H1599" s="145"/>
      <c r="I1599" s="145"/>
      <c r="J1599" s="145"/>
      <c r="K1599" s="145"/>
      <c r="L1599" s="145"/>
      <c r="M1599" s="145"/>
      <c r="N1599" s="145"/>
      <c r="O1599" s="145"/>
    </row>
    <row r="1600" spans="1:15" x14ac:dyDescent="0.35">
      <c r="A1600" s="145"/>
      <c r="B1600" s="145"/>
      <c r="C1600" s="145"/>
      <c r="D1600" s="145"/>
      <c r="E1600" s="145"/>
      <c r="F1600" s="145"/>
      <c r="G1600" s="102"/>
      <c r="H1600" s="145"/>
      <c r="I1600" s="145"/>
      <c r="J1600" s="145"/>
      <c r="K1600" s="145"/>
      <c r="L1600" s="145"/>
      <c r="M1600" s="145"/>
      <c r="N1600" s="145"/>
      <c r="O1600" s="145"/>
    </row>
    <row r="1601" spans="1:15" x14ac:dyDescent="0.35">
      <c r="A1601" s="145"/>
      <c r="B1601" s="145"/>
      <c r="C1601" s="145"/>
      <c r="D1601" s="145"/>
      <c r="E1601" s="145"/>
      <c r="F1601" s="145"/>
      <c r="G1601" s="102"/>
      <c r="H1601" s="145"/>
      <c r="I1601" s="145"/>
      <c r="J1601" s="145"/>
      <c r="K1601" s="145"/>
      <c r="L1601" s="145"/>
      <c r="M1601" s="145"/>
      <c r="N1601" s="145"/>
      <c r="O1601" s="145"/>
    </row>
    <row r="1602" spans="1:15" x14ac:dyDescent="0.35">
      <c r="A1602" s="145"/>
      <c r="B1602" s="145"/>
      <c r="C1602" s="145"/>
      <c r="D1602" s="145"/>
      <c r="E1602" s="145"/>
      <c r="F1602" s="145"/>
      <c r="G1602" s="102"/>
      <c r="H1602" s="145"/>
      <c r="I1602" s="145"/>
      <c r="J1602" s="145"/>
      <c r="K1602" s="145"/>
      <c r="L1602" s="145"/>
      <c r="M1602" s="145"/>
      <c r="N1602" s="145"/>
      <c r="O1602" s="145"/>
    </row>
    <row r="1603" spans="1:15" x14ac:dyDescent="0.35">
      <c r="A1603" s="145"/>
      <c r="B1603" s="145"/>
      <c r="C1603" s="145"/>
      <c r="D1603" s="145"/>
      <c r="E1603" s="145"/>
      <c r="F1603" s="145"/>
      <c r="G1603" s="102"/>
      <c r="H1603" s="145"/>
      <c r="I1603" s="145"/>
      <c r="J1603" s="145"/>
      <c r="K1603" s="145"/>
      <c r="L1603" s="145"/>
      <c r="M1603" s="145"/>
      <c r="N1603" s="145"/>
      <c r="O1603" s="145"/>
    </row>
    <row r="1604" spans="1:15" x14ac:dyDescent="0.35">
      <c r="A1604" s="145"/>
      <c r="B1604" s="145"/>
      <c r="C1604" s="145"/>
      <c r="D1604" s="145"/>
      <c r="E1604" s="145"/>
      <c r="F1604" s="145"/>
      <c r="G1604" s="102"/>
      <c r="H1604" s="145"/>
      <c r="I1604" s="145"/>
      <c r="J1604" s="145"/>
      <c r="K1604" s="145"/>
      <c r="L1604" s="145"/>
      <c r="M1604" s="145"/>
      <c r="N1604" s="145"/>
      <c r="O1604" s="145"/>
    </row>
    <row r="1605" spans="1:15" x14ac:dyDescent="0.35">
      <c r="A1605" s="145"/>
      <c r="B1605" s="145"/>
      <c r="C1605" s="145"/>
      <c r="D1605" s="145"/>
      <c r="E1605" s="145"/>
      <c r="F1605" s="145"/>
      <c r="G1605" s="102"/>
      <c r="H1605" s="145"/>
      <c r="I1605" s="145"/>
      <c r="J1605" s="145"/>
      <c r="K1605" s="145"/>
      <c r="L1605" s="145"/>
      <c r="M1605" s="145"/>
      <c r="N1605" s="145"/>
      <c r="O1605" s="145"/>
    </row>
    <row r="1606" spans="1:15" x14ac:dyDescent="0.35">
      <c r="A1606" s="145"/>
      <c r="B1606" s="145"/>
      <c r="C1606" s="145"/>
      <c r="D1606" s="145"/>
      <c r="E1606" s="145"/>
      <c r="F1606" s="145"/>
      <c r="G1606" s="102"/>
      <c r="H1606" s="145"/>
      <c r="I1606" s="145"/>
      <c r="J1606" s="145"/>
      <c r="K1606" s="145"/>
      <c r="L1606" s="145"/>
      <c r="M1606" s="145"/>
      <c r="N1606" s="145"/>
      <c r="O1606" s="145"/>
    </row>
    <row r="1607" spans="1:15" x14ac:dyDescent="0.35">
      <c r="A1607" s="145"/>
      <c r="B1607" s="145"/>
      <c r="C1607" s="145"/>
      <c r="D1607" s="145"/>
      <c r="E1607" s="145"/>
      <c r="F1607" s="145"/>
      <c r="G1607" s="102"/>
      <c r="H1607" s="145"/>
      <c r="I1607" s="145"/>
      <c r="J1607" s="145"/>
      <c r="K1607" s="145"/>
      <c r="L1607" s="145"/>
      <c r="M1607" s="145"/>
      <c r="N1607" s="31"/>
      <c r="O1607" s="31"/>
    </row>
    <row r="1608" spans="1:15" x14ac:dyDescent="0.35">
      <c r="A1608" s="145"/>
      <c r="B1608" s="145"/>
      <c r="C1608" s="145"/>
      <c r="D1608" s="145"/>
      <c r="E1608" s="145"/>
      <c r="F1608" s="145"/>
      <c r="G1608" s="102"/>
      <c r="H1608" s="145"/>
      <c r="I1608" s="145"/>
      <c r="J1608" s="145"/>
      <c r="K1608" s="145"/>
      <c r="L1608" s="145"/>
      <c r="M1608" s="145"/>
      <c r="N1608" s="145"/>
      <c r="O1608" s="145"/>
    </row>
    <row r="1609" spans="1:15" x14ac:dyDescent="0.35">
      <c r="A1609" s="145"/>
      <c r="B1609" s="145"/>
      <c r="C1609" s="145"/>
      <c r="D1609" s="145"/>
      <c r="E1609" s="145"/>
      <c r="F1609" s="145"/>
      <c r="G1609" s="102"/>
      <c r="H1609" s="145"/>
      <c r="I1609" s="145"/>
      <c r="J1609" s="145"/>
      <c r="K1609" s="145"/>
      <c r="L1609" s="145"/>
      <c r="M1609" s="145"/>
      <c r="N1609" s="145"/>
      <c r="O1609" s="145"/>
    </row>
    <row r="1610" spans="1:15" x14ac:dyDescent="0.35">
      <c r="A1610" s="145"/>
      <c r="B1610" s="145"/>
      <c r="C1610" s="145"/>
      <c r="D1610" s="145"/>
      <c r="E1610" s="145"/>
      <c r="F1610" s="145"/>
      <c r="G1610" s="102"/>
      <c r="H1610" s="145"/>
      <c r="I1610" s="145"/>
      <c r="J1610" s="145"/>
      <c r="K1610" s="145"/>
      <c r="L1610" s="145"/>
      <c r="M1610" s="145"/>
    </row>
    <row r="1611" spans="1:15" x14ac:dyDescent="0.35">
      <c r="A1611" s="145"/>
      <c r="B1611" s="145"/>
      <c r="C1611" s="145"/>
      <c r="D1611" s="145"/>
      <c r="E1611" s="145"/>
      <c r="F1611" s="145"/>
      <c r="G1611" s="102"/>
      <c r="H1611" s="145"/>
      <c r="I1611" s="145"/>
      <c r="J1611" s="145"/>
      <c r="K1611" s="145"/>
      <c r="L1611" s="145"/>
      <c r="M1611" s="145"/>
      <c r="N1611" s="145"/>
      <c r="O1611" s="145"/>
    </row>
    <row r="1612" spans="1:15" x14ac:dyDescent="0.35">
      <c r="A1612" s="145"/>
      <c r="B1612" s="145"/>
      <c r="C1612" s="145"/>
      <c r="D1612" s="145"/>
      <c r="E1612" s="145"/>
      <c r="F1612" s="145"/>
      <c r="G1612" s="102"/>
      <c r="H1612" s="145"/>
      <c r="I1612" s="145"/>
      <c r="J1612" s="145"/>
      <c r="K1612" s="145"/>
      <c r="L1612" s="145"/>
      <c r="M1612" s="145"/>
    </row>
    <row r="1613" spans="1:15" x14ac:dyDescent="0.35">
      <c r="A1613" s="145"/>
      <c r="B1613" s="145"/>
      <c r="C1613" s="145"/>
      <c r="D1613" s="145"/>
      <c r="E1613" s="145"/>
      <c r="F1613" s="145"/>
      <c r="G1613" s="102"/>
      <c r="H1613" s="145"/>
      <c r="I1613" s="145"/>
      <c r="J1613" s="145"/>
      <c r="K1613" s="145"/>
      <c r="L1613" s="145"/>
      <c r="M1613" s="145"/>
    </row>
    <row r="1614" spans="1:15" x14ac:dyDescent="0.35">
      <c r="A1614" s="145"/>
      <c r="B1614" s="145"/>
      <c r="C1614" s="145"/>
      <c r="D1614" s="145"/>
      <c r="E1614" s="145"/>
      <c r="F1614" s="145"/>
      <c r="G1614" s="102"/>
      <c r="H1614" s="145"/>
      <c r="I1614" s="145"/>
      <c r="J1614" s="145"/>
      <c r="K1614" s="145"/>
      <c r="L1614" s="145"/>
      <c r="M1614" s="145"/>
    </row>
    <row r="1615" spans="1:15" x14ac:dyDescent="0.35">
      <c r="A1615" s="145"/>
      <c r="B1615" s="145"/>
      <c r="C1615" s="145"/>
      <c r="D1615" s="145"/>
      <c r="E1615" s="145"/>
      <c r="F1615" s="145"/>
      <c r="G1615" s="102"/>
      <c r="H1615" s="145"/>
      <c r="I1615" s="145"/>
      <c r="J1615" s="145"/>
      <c r="K1615" s="145"/>
      <c r="L1615" s="145"/>
      <c r="M1615" s="145"/>
      <c r="N1615" s="145"/>
      <c r="O1615" s="145"/>
    </row>
    <row r="1616" spans="1:15" x14ac:dyDescent="0.35">
      <c r="A1616" s="145"/>
      <c r="B1616" s="145"/>
      <c r="C1616" s="145"/>
      <c r="D1616" s="145"/>
      <c r="E1616" s="145"/>
      <c r="F1616" s="145"/>
      <c r="G1616" s="102"/>
      <c r="H1616" s="145"/>
      <c r="I1616" s="145"/>
      <c r="J1616" s="145"/>
      <c r="K1616" s="145"/>
      <c r="L1616" s="145"/>
      <c r="M1616" s="145"/>
      <c r="N1616" s="145"/>
      <c r="O1616" s="145"/>
    </row>
    <row r="1617" spans="1:15" x14ac:dyDescent="0.35">
      <c r="A1617" s="145"/>
      <c r="B1617" s="145"/>
      <c r="C1617" s="145"/>
      <c r="D1617" s="145"/>
      <c r="E1617" s="145"/>
      <c r="F1617" s="145"/>
      <c r="G1617" s="102"/>
      <c r="H1617" s="145"/>
      <c r="I1617" s="145"/>
      <c r="J1617" s="145"/>
      <c r="K1617" s="145"/>
      <c r="L1617" s="145"/>
      <c r="M1617" s="145"/>
      <c r="N1617" s="145"/>
      <c r="O1617" s="145"/>
    </row>
    <row r="1618" spans="1:15" x14ac:dyDescent="0.35">
      <c r="A1618" s="145"/>
      <c r="B1618" s="145"/>
      <c r="C1618" s="145"/>
      <c r="D1618" s="145"/>
      <c r="E1618" s="145"/>
      <c r="F1618" s="145"/>
      <c r="G1618" s="102"/>
      <c r="H1618" s="145"/>
      <c r="I1618" s="145"/>
      <c r="J1618" s="145"/>
      <c r="K1618" s="145"/>
      <c r="L1618" s="145"/>
      <c r="M1618" s="145"/>
      <c r="N1618" s="145"/>
      <c r="O1618" s="145"/>
    </row>
    <row r="1619" spans="1:15" x14ac:dyDescent="0.35">
      <c r="A1619" s="145"/>
      <c r="B1619" s="145"/>
      <c r="C1619" s="145"/>
      <c r="D1619" s="145"/>
      <c r="E1619" s="145"/>
      <c r="F1619" s="145"/>
      <c r="G1619" s="102"/>
      <c r="H1619" s="145"/>
      <c r="I1619" s="145"/>
      <c r="J1619" s="145"/>
      <c r="K1619" s="145"/>
      <c r="L1619" s="145"/>
      <c r="M1619" s="145"/>
      <c r="N1619" s="145"/>
      <c r="O1619" s="145"/>
    </row>
    <row r="1620" spans="1:15" x14ac:dyDescent="0.35">
      <c r="A1620" s="145"/>
      <c r="B1620" s="145"/>
      <c r="C1620" s="145"/>
      <c r="D1620" s="145"/>
      <c r="E1620" s="145"/>
      <c r="F1620" s="145"/>
      <c r="G1620" s="102"/>
      <c r="H1620" s="145"/>
      <c r="I1620" s="145"/>
      <c r="J1620" s="145"/>
      <c r="K1620" s="145"/>
      <c r="L1620" s="145"/>
      <c r="M1620" s="145"/>
    </row>
    <row r="1621" spans="1:15" x14ac:dyDescent="0.35">
      <c r="A1621" s="145"/>
      <c r="B1621" s="145"/>
      <c r="C1621" s="145"/>
      <c r="D1621" s="145"/>
      <c r="E1621" s="145"/>
      <c r="F1621" s="145"/>
      <c r="G1621" s="102"/>
      <c r="H1621" s="145"/>
      <c r="I1621" s="145"/>
      <c r="J1621" s="145"/>
      <c r="K1621" s="145"/>
      <c r="L1621" s="145"/>
      <c r="M1621" s="145"/>
      <c r="N1621" s="145"/>
      <c r="O1621" s="145"/>
    </row>
    <row r="1622" spans="1:15" x14ac:dyDescent="0.35">
      <c r="A1622" s="145"/>
      <c r="B1622" s="145"/>
      <c r="C1622" s="145"/>
      <c r="D1622" s="145"/>
      <c r="E1622" s="145"/>
      <c r="F1622" s="145"/>
      <c r="G1622" s="102"/>
      <c r="H1622" s="145"/>
      <c r="I1622" s="145"/>
      <c r="J1622" s="145"/>
      <c r="K1622" s="145"/>
      <c r="L1622" s="145"/>
      <c r="M1622" s="145"/>
      <c r="N1622" s="145"/>
      <c r="O1622" s="145"/>
    </row>
    <row r="1623" spans="1:15" x14ac:dyDescent="0.35">
      <c r="A1623" s="145"/>
      <c r="B1623" s="145"/>
      <c r="C1623" s="145"/>
      <c r="D1623" s="145"/>
      <c r="E1623" s="145"/>
      <c r="F1623" s="145"/>
      <c r="G1623" s="102"/>
      <c r="H1623" s="145"/>
      <c r="I1623" s="145"/>
      <c r="J1623" s="145"/>
      <c r="K1623" s="145"/>
      <c r="L1623" s="145"/>
      <c r="M1623" s="145"/>
      <c r="N1623" s="145"/>
      <c r="O1623" s="145"/>
    </row>
    <row r="1624" spans="1:15" x14ac:dyDescent="0.35">
      <c r="A1624" s="145"/>
      <c r="B1624" s="145"/>
      <c r="C1624" s="145"/>
      <c r="D1624" s="145"/>
      <c r="E1624" s="145"/>
      <c r="F1624" s="145"/>
      <c r="G1624" s="102"/>
      <c r="H1624" s="145"/>
      <c r="I1624" s="145"/>
      <c r="J1624" s="145"/>
      <c r="K1624" s="145"/>
      <c r="L1624" s="145"/>
      <c r="M1624" s="145"/>
      <c r="N1624" s="145"/>
      <c r="O1624" s="145"/>
    </row>
    <row r="1625" spans="1:15" x14ac:dyDescent="0.35">
      <c r="A1625" s="145"/>
      <c r="B1625" s="145"/>
      <c r="C1625" s="145"/>
      <c r="D1625" s="145"/>
      <c r="E1625" s="145"/>
      <c r="F1625" s="145"/>
      <c r="G1625" s="102"/>
      <c r="H1625" s="145"/>
      <c r="I1625" s="145"/>
      <c r="J1625" s="145"/>
      <c r="K1625" s="145"/>
      <c r="L1625" s="145"/>
      <c r="M1625" s="145"/>
      <c r="N1625" s="145"/>
      <c r="O1625" s="145"/>
    </row>
    <row r="1626" spans="1:15" x14ac:dyDescent="0.35">
      <c r="A1626" s="145"/>
      <c r="B1626" s="145"/>
      <c r="C1626" s="145"/>
      <c r="D1626" s="145"/>
      <c r="E1626" s="145"/>
      <c r="F1626" s="145"/>
      <c r="G1626" s="102"/>
      <c r="H1626" s="145"/>
      <c r="I1626" s="145"/>
      <c r="J1626" s="145"/>
      <c r="K1626" s="145"/>
      <c r="L1626" s="145"/>
      <c r="M1626" s="145"/>
      <c r="N1626" s="145"/>
      <c r="O1626" s="145"/>
    </row>
    <row r="1627" spans="1:15" x14ac:dyDescent="0.35">
      <c r="A1627" s="145"/>
      <c r="B1627" s="145"/>
      <c r="C1627" s="145"/>
      <c r="D1627" s="145"/>
      <c r="E1627" s="145"/>
      <c r="F1627" s="145"/>
      <c r="G1627" s="102"/>
      <c r="H1627" s="145"/>
      <c r="I1627" s="145"/>
      <c r="J1627" s="145"/>
      <c r="K1627" s="145"/>
      <c r="L1627" s="145"/>
      <c r="M1627" s="145"/>
      <c r="N1627" s="145"/>
      <c r="O1627" s="145"/>
    </row>
    <row r="1628" spans="1:15" x14ac:dyDescent="0.35">
      <c r="A1628" s="145"/>
      <c r="B1628" s="145"/>
      <c r="C1628" s="145"/>
      <c r="D1628" s="145"/>
      <c r="E1628" s="145"/>
      <c r="F1628" s="145"/>
      <c r="G1628" s="102"/>
      <c r="H1628" s="145"/>
      <c r="I1628" s="145"/>
      <c r="J1628" s="145"/>
      <c r="K1628" s="145"/>
      <c r="L1628" s="145"/>
      <c r="M1628" s="145"/>
      <c r="N1628" s="145"/>
      <c r="O1628" s="145"/>
    </row>
    <row r="1629" spans="1:15" x14ac:dyDescent="0.35">
      <c r="A1629" s="145"/>
      <c r="B1629" s="145"/>
      <c r="C1629" s="145"/>
      <c r="D1629" s="145"/>
      <c r="E1629" s="145"/>
      <c r="F1629" s="145"/>
      <c r="G1629" s="102"/>
      <c r="H1629" s="145"/>
      <c r="I1629" s="145"/>
      <c r="J1629" s="145"/>
      <c r="K1629" s="145"/>
      <c r="L1629" s="145"/>
      <c r="M1629" s="145"/>
      <c r="N1629" s="145"/>
      <c r="O1629" s="145"/>
    </row>
    <row r="1630" spans="1:15" x14ac:dyDescent="0.35">
      <c r="A1630" s="145"/>
      <c r="B1630" s="145"/>
      <c r="C1630" s="145"/>
      <c r="D1630" s="145"/>
      <c r="E1630" s="145"/>
      <c r="F1630" s="145"/>
      <c r="G1630" s="102"/>
      <c r="H1630" s="145"/>
      <c r="I1630" s="145"/>
      <c r="J1630" s="145"/>
      <c r="K1630" s="145"/>
      <c r="L1630" s="145"/>
      <c r="M1630" s="145"/>
      <c r="N1630" s="145"/>
      <c r="O1630" s="145"/>
    </row>
    <row r="1631" spans="1:15" x14ac:dyDescent="0.35">
      <c r="A1631" s="145"/>
      <c r="B1631" s="145"/>
      <c r="C1631" s="145"/>
      <c r="D1631" s="145"/>
      <c r="E1631" s="145"/>
      <c r="F1631" s="145"/>
      <c r="G1631" s="102"/>
      <c r="H1631" s="145"/>
      <c r="I1631" s="145"/>
      <c r="J1631" s="145"/>
      <c r="K1631" s="145"/>
      <c r="L1631" s="145"/>
      <c r="M1631" s="145"/>
      <c r="N1631" s="31"/>
      <c r="O1631" s="31"/>
    </row>
    <row r="1632" spans="1:15" x14ac:dyDescent="0.35">
      <c r="A1632" s="145"/>
      <c r="B1632" s="145"/>
      <c r="C1632" s="145"/>
      <c r="D1632" s="145"/>
      <c r="E1632" s="145"/>
      <c r="F1632" s="145"/>
      <c r="G1632" s="102"/>
      <c r="H1632" s="145"/>
      <c r="I1632" s="145"/>
      <c r="J1632" s="145"/>
      <c r="K1632" s="145"/>
      <c r="L1632" s="145"/>
      <c r="M1632" s="145"/>
      <c r="N1632" s="145"/>
      <c r="O1632" s="145"/>
    </row>
    <row r="1633" spans="1:15" x14ac:dyDescent="0.35">
      <c r="A1633" s="145"/>
      <c r="B1633" s="145"/>
      <c r="C1633" s="145"/>
      <c r="D1633" s="145"/>
      <c r="E1633" s="145"/>
      <c r="F1633" s="145"/>
      <c r="G1633" s="102"/>
      <c r="H1633" s="145"/>
      <c r="I1633" s="145"/>
      <c r="J1633" s="145"/>
      <c r="K1633" s="145"/>
      <c r="L1633" s="145"/>
      <c r="M1633" s="145"/>
      <c r="N1633" s="145"/>
      <c r="O1633" s="145"/>
    </row>
    <row r="1634" spans="1:15" x14ac:dyDescent="0.35">
      <c r="A1634" s="145"/>
      <c r="B1634" s="145"/>
      <c r="C1634" s="145"/>
      <c r="D1634" s="145"/>
      <c r="E1634" s="145"/>
      <c r="F1634" s="145"/>
      <c r="G1634" s="102"/>
      <c r="H1634" s="145"/>
      <c r="I1634" s="145"/>
      <c r="J1634" s="145"/>
      <c r="K1634" s="145"/>
      <c r="L1634" s="145"/>
      <c r="M1634" s="145"/>
    </row>
    <row r="1635" spans="1:15" x14ac:dyDescent="0.35">
      <c r="A1635" s="145"/>
      <c r="B1635" s="145"/>
      <c r="C1635" s="145"/>
      <c r="D1635" s="145"/>
      <c r="E1635" s="145"/>
      <c r="F1635" s="145"/>
      <c r="G1635" s="102"/>
      <c r="H1635" s="145"/>
      <c r="I1635" s="145"/>
      <c r="J1635" s="145"/>
      <c r="K1635" s="145"/>
      <c r="L1635" s="145"/>
      <c r="M1635" s="145"/>
      <c r="N1635" s="145"/>
      <c r="O1635" s="145"/>
    </row>
    <row r="1636" spans="1:15" x14ac:dyDescent="0.35">
      <c r="A1636" s="145"/>
      <c r="B1636" s="145"/>
      <c r="C1636" s="145"/>
      <c r="D1636" s="145"/>
      <c r="E1636" s="145"/>
      <c r="F1636" s="145"/>
      <c r="G1636" s="102"/>
      <c r="H1636" s="145"/>
      <c r="I1636" s="145"/>
      <c r="J1636" s="145"/>
      <c r="K1636" s="145"/>
      <c r="L1636" s="145"/>
      <c r="M1636" s="145"/>
      <c r="N1636" s="145"/>
      <c r="O1636" s="145"/>
    </row>
    <row r="1637" spans="1:15" x14ac:dyDescent="0.35">
      <c r="A1637" s="145"/>
      <c r="B1637" s="145"/>
      <c r="C1637" s="145"/>
      <c r="D1637" s="145"/>
      <c r="E1637" s="145"/>
      <c r="F1637" s="145"/>
      <c r="G1637" s="102"/>
      <c r="H1637" s="145"/>
      <c r="I1637" s="145"/>
      <c r="J1637" s="145"/>
      <c r="K1637" s="145"/>
      <c r="L1637" s="145"/>
      <c r="M1637" s="145"/>
      <c r="N1637" s="145"/>
      <c r="O1637" s="145"/>
    </row>
    <row r="1638" spans="1:15" x14ac:dyDescent="0.35">
      <c r="A1638" s="145"/>
      <c r="B1638" s="145"/>
      <c r="C1638" s="145"/>
      <c r="D1638" s="145"/>
      <c r="E1638" s="145"/>
      <c r="F1638" s="145"/>
      <c r="G1638" s="102"/>
      <c r="H1638" s="145"/>
      <c r="I1638" s="145"/>
      <c r="J1638" s="145"/>
      <c r="K1638" s="145"/>
      <c r="L1638" s="145"/>
      <c r="M1638" s="145"/>
      <c r="N1638" s="145"/>
      <c r="O1638" s="145"/>
    </row>
    <row r="1639" spans="1:15" x14ac:dyDescent="0.35">
      <c r="A1639" s="145"/>
      <c r="B1639" s="145"/>
      <c r="C1639" s="145"/>
      <c r="D1639" s="145"/>
      <c r="E1639" s="145"/>
      <c r="F1639" s="145"/>
      <c r="G1639" s="102"/>
      <c r="H1639" s="145"/>
      <c r="I1639" s="145"/>
      <c r="J1639" s="145"/>
      <c r="K1639" s="145"/>
      <c r="L1639" s="145"/>
      <c r="M1639" s="145"/>
      <c r="N1639" s="145"/>
      <c r="O1639" s="145"/>
    </row>
    <row r="1640" spans="1:15" x14ac:dyDescent="0.35">
      <c r="A1640" s="145"/>
      <c r="B1640" s="145"/>
      <c r="C1640" s="145"/>
      <c r="D1640" s="145"/>
      <c r="E1640" s="145"/>
      <c r="F1640" s="145"/>
      <c r="G1640" s="102"/>
      <c r="H1640" s="145"/>
      <c r="I1640" s="145"/>
      <c r="J1640" s="145"/>
      <c r="K1640" s="145"/>
      <c r="L1640" s="145"/>
      <c r="M1640" s="145"/>
      <c r="N1640" s="145"/>
      <c r="O1640" s="145"/>
    </row>
    <row r="1641" spans="1:15" x14ac:dyDescent="0.35">
      <c r="A1641" s="145"/>
      <c r="B1641" s="145"/>
      <c r="C1641" s="145"/>
      <c r="D1641" s="145"/>
      <c r="E1641" s="145"/>
      <c r="F1641" s="145"/>
      <c r="G1641" s="102"/>
      <c r="H1641" s="145"/>
      <c r="I1641" s="145"/>
      <c r="J1641" s="145"/>
      <c r="K1641" s="145"/>
      <c r="L1641" s="145"/>
      <c r="M1641" s="145"/>
      <c r="N1641" s="145"/>
      <c r="O1641" s="145"/>
    </row>
    <row r="1642" spans="1:15" x14ac:dyDescent="0.35">
      <c r="A1642" s="145"/>
      <c r="B1642" s="145"/>
      <c r="C1642" s="145"/>
      <c r="D1642" s="145"/>
      <c r="E1642" s="145"/>
      <c r="F1642" s="145"/>
      <c r="G1642" s="102"/>
      <c r="H1642" s="145"/>
      <c r="I1642" s="145"/>
      <c r="J1642" s="145"/>
      <c r="K1642" s="145"/>
      <c r="L1642" s="145"/>
      <c r="M1642" s="145"/>
      <c r="N1642" s="145"/>
      <c r="O1642" s="145"/>
    </row>
    <row r="1643" spans="1:15" x14ac:dyDescent="0.35">
      <c r="A1643" s="145"/>
      <c r="B1643" s="145"/>
      <c r="C1643" s="145"/>
      <c r="D1643" s="145"/>
      <c r="E1643" s="145"/>
      <c r="F1643" s="145"/>
      <c r="G1643" s="102"/>
      <c r="H1643" s="145"/>
      <c r="I1643" s="145"/>
      <c r="J1643" s="145"/>
      <c r="K1643" s="145"/>
      <c r="L1643" s="145"/>
      <c r="M1643" s="145"/>
      <c r="N1643" s="145"/>
      <c r="O1643" s="145"/>
    </row>
    <row r="1644" spans="1:15" x14ac:dyDescent="0.35">
      <c r="A1644" s="145"/>
      <c r="B1644" s="145"/>
      <c r="C1644" s="145"/>
      <c r="D1644" s="145"/>
      <c r="E1644" s="145"/>
      <c r="F1644" s="145"/>
      <c r="G1644" s="102"/>
      <c r="H1644" s="145"/>
      <c r="I1644" s="145"/>
      <c r="J1644" s="145"/>
      <c r="K1644" s="145"/>
      <c r="L1644" s="145"/>
      <c r="M1644" s="145"/>
      <c r="N1644" s="145"/>
      <c r="O1644" s="145"/>
    </row>
    <row r="1645" spans="1:15" x14ac:dyDescent="0.35">
      <c r="A1645" s="145"/>
      <c r="B1645" s="145"/>
      <c r="C1645" s="145"/>
      <c r="D1645" s="145"/>
      <c r="E1645" s="145"/>
      <c r="F1645" s="145"/>
      <c r="G1645" s="102"/>
      <c r="H1645" s="145"/>
      <c r="I1645" s="145"/>
      <c r="J1645" s="145"/>
      <c r="K1645" s="145"/>
      <c r="L1645" s="145"/>
      <c r="M1645" s="145"/>
      <c r="N1645" s="145"/>
      <c r="O1645" s="145"/>
    </row>
    <row r="1646" spans="1:15" x14ac:dyDescent="0.35">
      <c r="A1646" s="145"/>
      <c r="B1646" s="145"/>
      <c r="C1646" s="145"/>
      <c r="D1646" s="145"/>
      <c r="E1646" s="145"/>
      <c r="F1646" s="145"/>
      <c r="G1646" s="102"/>
      <c r="H1646" s="145"/>
      <c r="I1646" s="145"/>
      <c r="J1646" s="145"/>
      <c r="K1646" s="145"/>
      <c r="L1646" s="145"/>
      <c r="M1646" s="145"/>
      <c r="N1646" s="145"/>
      <c r="O1646" s="145"/>
    </row>
    <row r="1647" spans="1:15" x14ac:dyDescent="0.35">
      <c r="A1647" s="145"/>
      <c r="B1647" s="145"/>
      <c r="C1647" s="145"/>
      <c r="D1647" s="145"/>
      <c r="E1647" s="145"/>
      <c r="F1647" s="145"/>
      <c r="G1647" s="102"/>
      <c r="H1647" s="145"/>
      <c r="I1647" s="145"/>
      <c r="J1647" s="145"/>
      <c r="K1647" s="145"/>
      <c r="L1647" s="145"/>
      <c r="M1647" s="145"/>
      <c r="N1647" s="145"/>
      <c r="O1647" s="145"/>
    </row>
    <row r="1648" spans="1:15" x14ac:dyDescent="0.35">
      <c r="A1648" s="145"/>
      <c r="B1648" s="145"/>
      <c r="C1648" s="145"/>
      <c r="D1648" s="145"/>
      <c r="E1648" s="145"/>
      <c r="F1648" s="145"/>
      <c r="G1648" s="102"/>
      <c r="H1648" s="145"/>
      <c r="I1648" s="145"/>
      <c r="J1648" s="145"/>
      <c r="K1648" s="145"/>
      <c r="L1648" s="145"/>
      <c r="M1648" s="145"/>
      <c r="N1648" s="145"/>
      <c r="O1648" s="145"/>
    </row>
    <row r="1649" spans="1:15" x14ac:dyDescent="0.35">
      <c r="A1649" s="145"/>
      <c r="B1649" s="145"/>
      <c r="C1649" s="145"/>
      <c r="D1649" s="145"/>
      <c r="E1649" s="145"/>
      <c r="F1649" s="145"/>
      <c r="G1649" s="102"/>
      <c r="H1649" s="145"/>
      <c r="I1649" s="145"/>
      <c r="J1649" s="145"/>
      <c r="K1649" s="145"/>
      <c r="L1649" s="145"/>
      <c r="M1649" s="145"/>
      <c r="N1649" s="145"/>
      <c r="O1649" s="145"/>
    </row>
    <row r="1650" spans="1:15" x14ac:dyDescent="0.35">
      <c r="A1650" s="145"/>
      <c r="B1650" s="145"/>
      <c r="C1650" s="145"/>
      <c r="D1650" s="145"/>
      <c r="E1650" s="145"/>
      <c r="F1650" s="145"/>
      <c r="G1650" s="102"/>
      <c r="H1650" s="145"/>
      <c r="I1650" s="145"/>
      <c r="J1650" s="145"/>
      <c r="K1650" s="145"/>
      <c r="L1650" s="145"/>
      <c r="M1650" s="145"/>
      <c r="N1650" s="145"/>
      <c r="O1650" s="145"/>
    </row>
    <row r="1651" spans="1:15" x14ac:dyDescent="0.35">
      <c r="A1651" s="145"/>
      <c r="B1651" s="145"/>
      <c r="C1651" s="145"/>
      <c r="D1651" s="145"/>
      <c r="E1651" s="145"/>
      <c r="F1651" s="145"/>
      <c r="G1651" s="102"/>
      <c r="H1651" s="145"/>
      <c r="I1651" s="145"/>
      <c r="J1651" s="145"/>
      <c r="K1651" s="145"/>
      <c r="L1651" s="145"/>
      <c r="M1651" s="145"/>
      <c r="N1651" s="145"/>
      <c r="O1651" s="145"/>
    </row>
    <row r="1652" spans="1:15" x14ac:dyDescent="0.35">
      <c r="A1652" s="145"/>
      <c r="B1652" s="145"/>
      <c r="C1652" s="145"/>
      <c r="D1652" s="145"/>
      <c r="E1652" s="145"/>
      <c r="F1652" s="145"/>
      <c r="G1652" s="102"/>
      <c r="H1652" s="145"/>
      <c r="I1652" s="145"/>
      <c r="J1652" s="145"/>
      <c r="K1652" s="145"/>
      <c r="L1652" s="145"/>
      <c r="M1652" s="145"/>
      <c r="N1652" s="145"/>
      <c r="O1652" s="145"/>
    </row>
    <row r="1653" spans="1:15" x14ac:dyDescent="0.35">
      <c r="A1653" s="145"/>
      <c r="B1653" s="145"/>
      <c r="C1653" s="145"/>
      <c r="D1653" s="145"/>
      <c r="E1653" s="145"/>
      <c r="F1653" s="145"/>
      <c r="G1653" s="102"/>
      <c r="H1653" s="145"/>
      <c r="I1653" s="145"/>
      <c r="J1653" s="145"/>
      <c r="K1653" s="145"/>
      <c r="L1653" s="145"/>
      <c r="M1653" s="145"/>
      <c r="N1653" s="145"/>
      <c r="O1653" s="145"/>
    </row>
    <row r="1654" spans="1:15" x14ac:dyDescent="0.35">
      <c r="A1654" s="145"/>
      <c r="B1654" s="145"/>
      <c r="C1654" s="145"/>
      <c r="D1654" s="145"/>
      <c r="E1654" s="145"/>
      <c r="F1654" s="145"/>
      <c r="G1654" s="102"/>
      <c r="H1654" s="145"/>
      <c r="I1654" s="145"/>
      <c r="J1654" s="145"/>
      <c r="K1654" s="145"/>
      <c r="L1654" s="145"/>
      <c r="M1654" s="145"/>
      <c r="N1654" s="145"/>
      <c r="O1654" s="145"/>
    </row>
    <row r="1655" spans="1:15" x14ac:dyDescent="0.35">
      <c r="A1655" s="145"/>
      <c r="B1655" s="145"/>
      <c r="C1655" s="145"/>
      <c r="D1655" s="145"/>
      <c r="E1655" s="145"/>
      <c r="F1655" s="145"/>
      <c r="G1655" s="102"/>
      <c r="H1655" s="145"/>
      <c r="I1655" s="145"/>
      <c r="J1655" s="145"/>
      <c r="K1655" s="145"/>
      <c r="L1655" s="145"/>
      <c r="M1655" s="145"/>
      <c r="N1655" s="145"/>
      <c r="O1655" s="145"/>
    </row>
    <row r="1656" spans="1:15" x14ac:dyDescent="0.35">
      <c r="A1656" s="145"/>
      <c r="B1656" s="145"/>
      <c r="C1656" s="145"/>
      <c r="D1656" s="145"/>
      <c r="E1656" s="145"/>
      <c r="F1656" s="145"/>
      <c r="G1656" s="102"/>
      <c r="H1656" s="145"/>
      <c r="I1656" s="145"/>
      <c r="J1656" s="145"/>
      <c r="K1656" s="145"/>
      <c r="L1656" s="145"/>
      <c r="M1656" s="145"/>
      <c r="N1656" s="145"/>
      <c r="O1656" s="145"/>
    </row>
    <row r="1657" spans="1:15" x14ac:dyDescent="0.35">
      <c r="A1657" s="145"/>
      <c r="B1657" s="145"/>
      <c r="C1657" s="145"/>
      <c r="D1657" s="145"/>
      <c r="E1657" s="145"/>
      <c r="F1657" s="145"/>
      <c r="G1657" s="102"/>
      <c r="H1657" s="145"/>
      <c r="I1657" s="145"/>
      <c r="J1657" s="145"/>
      <c r="K1657" s="145"/>
      <c r="L1657" s="145"/>
      <c r="M1657" s="145"/>
      <c r="N1657" s="145"/>
      <c r="O1657" s="145"/>
    </row>
    <row r="1658" spans="1:15" x14ac:dyDescent="0.35">
      <c r="A1658" s="145"/>
      <c r="B1658" s="145"/>
      <c r="C1658" s="145"/>
      <c r="D1658" s="145"/>
      <c r="E1658" s="145"/>
      <c r="F1658" s="145"/>
      <c r="G1658" s="102"/>
      <c r="H1658" s="145"/>
      <c r="I1658" s="145"/>
      <c r="J1658" s="145"/>
      <c r="K1658" s="145"/>
      <c r="L1658" s="145"/>
      <c r="M1658" s="145"/>
      <c r="N1658" s="145"/>
      <c r="O1658" s="145"/>
    </row>
    <row r="1659" spans="1:15" x14ac:dyDescent="0.35">
      <c r="A1659" s="145"/>
      <c r="B1659" s="145"/>
      <c r="C1659" s="145"/>
      <c r="D1659" s="145"/>
      <c r="E1659" s="145"/>
      <c r="F1659" s="145"/>
      <c r="G1659" s="102"/>
      <c r="H1659" s="145"/>
      <c r="I1659" s="145"/>
      <c r="J1659" s="145"/>
      <c r="K1659" s="145"/>
      <c r="L1659" s="145"/>
      <c r="M1659" s="145"/>
      <c r="N1659" s="145"/>
      <c r="O1659" s="145"/>
    </row>
    <row r="1660" spans="1:15" x14ac:dyDescent="0.35">
      <c r="A1660" s="145"/>
      <c r="B1660" s="145"/>
      <c r="C1660" s="145"/>
      <c r="D1660" s="145"/>
      <c r="E1660" s="145"/>
      <c r="F1660" s="145"/>
      <c r="G1660" s="102"/>
      <c r="H1660" s="145"/>
      <c r="I1660" s="145"/>
      <c r="J1660" s="145"/>
      <c r="K1660" s="145"/>
      <c r="L1660" s="145"/>
      <c r="M1660" s="145"/>
      <c r="N1660" s="145"/>
      <c r="O1660" s="145"/>
    </row>
    <row r="1661" spans="1:15" x14ac:dyDescent="0.35">
      <c r="A1661" s="145"/>
      <c r="B1661" s="145"/>
      <c r="C1661" s="145"/>
      <c r="D1661" s="145"/>
      <c r="E1661" s="145"/>
      <c r="F1661" s="145"/>
      <c r="G1661" s="102"/>
      <c r="H1661" s="145"/>
      <c r="I1661" s="145"/>
      <c r="J1661" s="145"/>
      <c r="K1661" s="145"/>
      <c r="L1661" s="145"/>
      <c r="M1661" s="145"/>
      <c r="N1661" s="145"/>
      <c r="O1661" s="145"/>
    </row>
    <row r="1662" spans="1:15" x14ac:dyDescent="0.35">
      <c r="A1662" s="145"/>
      <c r="B1662" s="145"/>
      <c r="C1662" s="145"/>
      <c r="D1662" s="145"/>
      <c r="E1662" s="145"/>
      <c r="F1662" s="145"/>
      <c r="G1662" s="102"/>
      <c r="H1662" s="145"/>
      <c r="I1662" s="145"/>
      <c r="J1662" s="145"/>
      <c r="K1662" s="145"/>
      <c r="L1662" s="145"/>
      <c r="M1662" s="145"/>
      <c r="N1662" s="145"/>
      <c r="O1662" s="145"/>
    </row>
    <row r="1663" spans="1:15" x14ac:dyDescent="0.35">
      <c r="A1663" s="145"/>
      <c r="B1663" s="145"/>
      <c r="C1663" s="145"/>
      <c r="D1663" s="145"/>
      <c r="E1663" s="145"/>
      <c r="F1663" s="145"/>
      <c r="G1663" s="102"/>
      <c r="H1663" s="145"/>
      <c r="I1663" s="145"/>
      <c r="J1663" s="145"/>
      <c r="K1663" s="145"/>
      <c r="L1663" s="145"/>
      <c r="M1663" s="145"/>
      <c r="N1663" s="145"/>
      <c r="O1663" s="145"/>
    </row>
    <row r="1664" spans="1:15" x14ac:dyDescent="0.35">
      <c r="A1664" s="145"/>
      <c r="B1664" s="145"/>
      <c r="C1664" s="145"/>
      <c r="D1664" s="145"/>
      <c r="E1664" s="145"/>
      <c r="F1664" s="145"/>
      <c r="G1664" s="102"/>
      <c r="H1664" s="145"/>
      <c r="I1664" s="145"/>
      <c r="J1664" s="145"/>
      <c r="K1664" s="145"/>
      <c r="L1664" s="145"/>
      <c r="M1664" s="145"/>
      <c r="N1664" s="145"/>
      <c r="O1664" s="145"/>
    </row>
    <row r="1665" spans="1:15" x14ac:dyDescent="0.35">
      <c r="A1665" s="145"/>
      <c r="B1665" s="145"/>
      <c r="C1665" s="145"/>
      <c r="D1665" s="145"/>
      <c r="E1665" s="145"/>
      <c r="F1665" s="145"/>
      <c r="G1665" s="102"/>
      <c r="H1665" s="145"/>
      <c r="I1665" s="145"/>
      <c r="J1665" s="145"/>
      <c r="K1665" s="145"/>
      <c r="L1665" s="145"/>
      <c r="M1665" s="145"/>
      <c r="N1665" s="145"/>
      <c r="O1665" s="145"/>
    </row>
    <row r="1666" spans="1:15" x14ac:dyDescent="0.35">
      <c r="A1666" s="145"/>
      <c r="B1666" s="145"/>
      <c r="C1666" s="145"/>
      <c r="D1666" s="145"/>
      <c r="E1666" s="145"/>
      <c r="F1666" s="145"/>
      <c r="G1666" s="102"/>
      <c r="H1666" s="145"/>
      <c r="I1666" s="145"/>
      <c r="J1666" s="145"/>
      <c r="K1666" s="145"/>
      <c r="L1666" s="145"/>
      <c r="M1666" s="145"/>
      <c r="N1666" s="145"/>
      <c r="O1666" s="145"/>
    </row>
    <row r="1667" spans="1:15" x14ac:dyDescent="0.35">
      <c r="A1667" s="145"/>
      <c r="B1667" s="145"/>
      <c r="C1667" s="145"/>
      <c r="D1667" s="145"/>
      <c r="E1667" s="145"/>
      <c r="F1667" s="145"/>
      <c r="G1667" s="102"/>
      <c r="H1667" s="145"/>
      <c r="I1667" s="145"/>
      <c r="J1667" s="145"/>
      <c r="K1667" s="145"/>
      <c r="L1667" s="145"/>
      <c r="M1667" s="145"/>
      <c r="N1667" s="145"/>
      <c r="O1667" s="145"/>
    </row>
    <row r="1668" spans="1:15" x14ac:dyDescent="0.35">
      <c r="A1668" s="145"/>
      <c r="B1668" s="145"/>
      <c r="C1668" s="145"/>
      <c r="D1668" s="145"/>
      <c r="E1668" s="145"/>
      <c r="F1668" s="145"/>
      <c r="G1668" s="102"/>
      <c r="H1668" s="145"/>
      <c r="I1668" s="145"/>
      <c r="J1668" s="145"/>
      <c r="K1668" s="145"/>
      <c r="L1668" s="145"/>
      <c r="M1668" s="145"/>
      <c r="N1668" s="145"/>
      <c r="O1668" s="145"/>
    </row>
    <row r="1669" spans="1:15" x14ac:dyDescent="0.35">
      <c r="A1669" s="145"/>
      <c r="B1669" s="145"/>
      <c r="C1669" s="145"/>
      <c r="D1669" s="145"/>
      <c r="E1669" s="145"/>
      <c r="F1669" s="145"/>
      <c r="G1669" s="102"/>
      <c r="H1669" s="145"/>
      <c r="I1669" s="145"/>
      <c r="J1669" s="145"/>
      <c r="K1669" s="145"/>
      <c r="L1669" s="145"/>
      <c r="M1669" s="145"/>
      <c r="N1669" s="145"/>
      <c r="O1669" s="145"/>
    </row>
    <row r="1670" spans="1:15" x14ac:dyDescent="0.35">
      <c r="A1670" s="145"/>
      <c r="B1670" s="145"/>
      <c r="C1670" s="145"/>
      <c r="D1670" s="145"/>
      <c r="E1670" s="145"/>
      <c r="F1670" s="145"/>
      <c r="G1670" s="102"/>
      <c r="H1670" s="145"/>
      <c r="I1670" s="145"/>
      <c r="J1670" s="145"/>
      <c r="K1670" s="145"/>
      <c r="L1670" s="145"/>
      <c r="M1670" s="145"/>
      <c r="N1670" s="31"/>
      <c r="O1670" s="31"/>
    </row>
    <row r="1671" spans="1:15" x14ac:dyDescent="0.35">
      <c r="A1671" s="145"/>
      <c r="B1671" s="145"/>
      <c r="C1671" s="145"/>
      <c r="D1671" s="145"/>
      <c r="E1671" s="145"/>
      <c r="F1671" s="145"/>
      <c r="G1671" s="102"/>
      <c r="H1671" s="145"/>
      <c r="I1671" s="145"/>
      <c r="J1671" s="145"/>
      <c r="K1671" s="145"/>
      <c r="L1671" s="145"/>
      <c r="M1671" s="145"/>
      <c r="N1671" s="145"/>
      <c r="O1671" s="145"/>
    </row>
    <row r="1672" spans="1:15" x14ac:dyDescent="0.35">
      <c r="A1672" s="145"/>
      <c r="B1672" s="145"/>
      <c r="C1672" s="145"/>
      <c r="D1672" s="145"/>
      <c r="E1672" s="145"/>
      <c r="F1672" s="145"/>
      <c r="G1672" s="102"/>
      <c r="H1672" s="145"/>
      <c r="I1672" s="145"/>
      <c r="J1672" s="145"/>
      <c r="K1672" s="145"/>
      <c r="L1672" s="145"/>
      <c r="M1672" s="145"/>
      <c r="N1672" s="145"/>
      <c r="O1672" s="145"/>
    </row>
    <row r="1673" spans="1:15" x14ac:dyDescent="0.35">
      <c r="A1673" s="145"/>
      <c r="B1673" s="145"/>
      <c r="C1673" s="145"/>
      <c r="D1673" s="145"/>
      <c r="E1673" s="145"/>
      <c r="F1673" s="145"/>
      <c r="G1673" s="102"/>
      <c r="H1673" s="145"/>
      <c r="I1673" s="145"/>
      <c r="J1673" s="145"/>
      <c r="K1673" s="145"/>
      <c r="L1673" s="145"/>
      <c r="M1673" s="145"/>
      <c r="N1673" s="145"/>
      <c r="O1673" s="145"/>
    </row>
    <row r="1674" spans="1:15" x14ac:dyDescent="0.35">
      <c r="A1674" s="145"/>
      <c r="B1674" s="145"/>
      <c r="C1674" s="145"/>
      <c r="D1674" s="145"/>
      <c r="E1674" s="145"/>
      <c r="F1674" s="145"/>
      <c r="G1674" s="102"/>
      <c r="H1674" s="145"/>
      <c r="I1674" s="145"/>
      <c r="J1674" s="145"/>
      <c r="K1674" s="145"/>
      <c r="L1674" s="145"/>
      <c r="M1674" s="145"/>
      <c r="N1674" s="145"/>
      <c r="O1674" s="145"/>
    </row>
    <row r="1675" spans="1:15" x14ac:dyDescent="0.35">
      <c r="A1675" s="145"/>
      <c r="B1675" s="145"/>
      <c r="C1675" s="145"/>
      <c r="D1675" s="145"/>
      <c r="E1675" s="145"/>
      <c r="F1675" s="145"/>
      <c r="G1675" s="102"/>
      <c r="H1675" s="145"/>
      <c r="I1675" s="145"/>
      <c r="J1675" s="145"/>
      <c r="K1675" s="145"/>
      <c r="L1675" s="145"/>
      <c r="M1675" s="145"/>
    </row>
    <row r="1676" spans="1:15" x14ac:dyDescent="0.35">
      <c r="A1676" s="145"/>
      <c r="B1676" s="145"/>
      <c r="C1676" s="145"/>
      <c r="D1676" s="145"/>
      <c r="E1676" s="145"/>
      <c r="F1676" s="145"/>
      <c r="G1676" s="102"/>
      <c r="H1676" s="145"/>
      <c r="I1676" s="145"/>
      <c r="J1676" s="145"/>
      <c r="K1676" s="145"/>
      <c r="L1676" s="145"/>
      <c r="M1676" s="145"/>
      <c r="N1676" s="145"/>
      <c r="O1676" s="145"/>
    </row>
    <row r="1677" spans="1:15" x14ac:dyDescent="0.35">
      <c r="A1677" s="145"/>
      <c r="B1677" s="145"/>
      <c r="C1677" s="145"/>
      <c r="D1677" s="145"/>
      <c r="E1677" s="145"/>
      <c r="F1677" s="145"/>
      <c r="G1677" s="102"/>
      <c r="H1677" s="145"/>
      <c r="I1677" s="145"/>
      <c r="J1677" s="145"/>
      <c r="K1677" s="145"/>
      <c r="L1677" s="145"/>
      <c r="M1677" s="145"/>
    </row>
    <row r="1678" spans="1:15" x14ac:dyDescent="0.35">
      <c r="A1678" s="145"/>
      <c r="B1678" s="145"/>
      <c r="C1678" s="145"/>
      <c r="D1678" s="145"/>
      <c r="E1678" s="145"/>
      <c r="F1678" s="145"/>
      <c r="G1678" s="102"/>
      <c r="H1678" s="145"/>
      <c r="I1678" s="145"/>
      <c r="J1678" s="145"/>
      <c r="K1678" s="145"/>
      <c r="L1678" s="145"/>
      <c r="M1678" s="145"/>
    </row>
    <row r="1679" spans="1:15" x14ac:dyDescent="0.35">
      <c r="A1679" s="145"/>
      <c r="B1679" s="145"/>
      <c r="C1679" s="145"/>
      <c r="D1679" s="145"/>
      <c r="E1679" s="145"/>
      <c r="F1679" s="145"/>
      <c r="G1679" s="102"/>
      <c r="H1679" s="145"/>
      <c r="I1679" s="145"/>
      <c r="J1679" s="145"/>
      <c r="K1679" s="145"/>
      <c r="L1679" s="145"/>
      <c r="M1679" s="145"/>
      <c r="N1679" s="145"/>
      <c r="O1679" s="145"/>
    </row>
    <row r="1680" spans="1:15" x14ac:dyDescent="0.35">
      <c r="A1680" s="145"/>
      <c r="B1680" s="145"/>
      <c r="C1680" s="145"/>
      <c r="D1680" s="145"/>
      <c r="E1680" s="145"/>
      <c r="F1680" s="145"/>
      <c r="G1680" s="102"/>
      <c r="H1680" s="145"/>
      <c r="I1680" s="145"/>
      <c r="J1680" s="145"/>
      <c r="K1680" s="145"/>
      <c r="L1680" s="145"/>
      <c r="M1680" s="145"/>
    </row>
    <row r="1681" spans="1:15" x14ac:dyDescent="0.35">
      <c r="A1681" s="145"/>
      <c r="B1681" s="145"/>
      <c r="C1681" s="145"/>
      <c r="D1681" s="145"/>
      <c r="E1681" s="145"/>
      <c r="F1681" s="145"/>
      <c r="G1681" s="102"/>
      <c r="H1681" s="145"/>
      <c r="I1681" s="145"/>
      <c r="J1681" s="145"/>
      <c r="K1681" s="145"/>
      <c r="L1681" s="145"/>
      <c r="M1681" s="145"/>
      <c r="N1681" s="145"/>
      <c r="O1681" s="145"/>
    </row>
    <row r="1682" spans="1:15" x14ac:dyDescent="0.35">
      <c r="A1682" s="145"/>
      <c r="B1682" s="145"/>
      <c r="C1682" s="145"/>
      <c r="D1682" s="145"/>
      <c r="E1682" s="145"/>
      <c r="F1682" s="145"/>
      <c r="G1682" s="102"/>
      <c r="H1682" s="145"/>
      <c r="I1682" s="145"/>
      <c r="J1682" s="145"/>
      <c r="K1682" s="145"/>
      <c r="L1682" s="145"/>
      <c r="M1682" s="145"/>
      <c r="N1682" s="145"/>
      <c r="O1682" s="145"/>
    </row>
    <row r="1683" spans="1:15" x14ac:dyDescent="0.35">
      <c r="A1683" s="145"/>
      <c r="B1683" s="145"/>
      <c r="C1683" s="145"/>
      <c r="D1683" s="145"/>
      <c r="E1683" s="145"/>
      <c r="F1683" s="145"/>
      <c r="G1683" s="102"/>
      <c r="H1683" s="145"/>
      <c r="I1683" s="145"/>
      <c r="J1683" s="145"/>
      <c r="K1683" s="145"/>
      <c r="L1683" s="145"/>
      <c r="M1683" s="145"/>
      <c r="N1683" s="145"/>
      <c r="O1683" s="145"/>
    </row>
    <row r="1684" spans="1:15" x14ac:dyDescent="0.35">
      <c r="A1684" s="145"/>
      <c r="B1684" s="145"/>
      <c r="C1684" s="145"/>
      <c r="D1684" s="145"/>
      <c r="E1684" s="145"/>
      <c r="F1684" s="145"/>
      <c r="G1684" s="102"/>
      <c r="H1684" s="145"/>
      <c r="I1684" s="145"/>
      <c r="J1684" s="145"/>
      <c r="K1684" s="145"/>
      <c r="L1684" s="145"/>
      <c r="M1684" s="145"/>
      <c r="N1684" s="31"/>
      <c r="O1684" s="31"/>
    </row>
    <row r="1685" spans="1:15" x14ac:dyDescent="0.35">
      <c r="A1685" s="145"/>
      <c r="B1685" s="145"/>
      <c r="C1685" s="145"/>
      <c r="D1685" s="145"/>
      <c r="E1685" s="145"/>
      <c r="F1685" s="145"/>
      <c r="G1685" s="102"/>
      <c r="H1685" s="145"/>
      <c r="I1685" s="145"/>
      <c r="J1685" s="145"/>
      <c r="K1685" s="145"/>
      <c r="L1685" s="145"/>
      <c r="M1685" s="145"/>
      <c r="N1685" s="145"/>
      <c r="O1685" s="145"/>
    </row>
    <row r="1686" spans="1:15" x14ac:dyDescent="0.35">
      <c r="A1686" s="145"/>
      <c r="B1686" s="145"/>
      <c r="C1686" s="145"/>
      <c r="D1686" s="145"/>
      <c r="E1686" s="145"/>
      <c r="F1686" s="145"/>
      <c r="G1686" s="102"/>
      <c r="H1686" s="145"/>
      <c r="I1686" s="145"/>
      <c r="J1686" s="145"/>
      <c r="K1686" s="145"/>
      <c r="L1686" s="145"/>
      <c r="M1686" s="145"/>
      <c r="N1686" s="145"/>
      <c r="O1686" s="145"/>
    </row>
    <row r="1687" spans="1:15" x14ac:dyDescent="0.35">
      <c r="A1687" s="145"/>
      <c r="B1687" s="145"/>
      <c r="C1687" s="145"/>
      <c r="D1687" s="145"/>
      <c r="E1687" s="145"/>
      <c r="F1687" s="145"/>
      <c r="G1687" s="102"/>
      <c r="H1687" s="145"/>
      <c r="I1687" s="145"/>
      <c r="J1687" s="145"/>
      <c r="K1687" s="145"/>
      <c r="L1687" s="145"/>
      <c r="M1687" s="145"/>
      <c r="N1687" s="145"/>
      <c r="O1687" s="145"/>
    </row>
    <row r="1688" spans="1:15" x14ac:dyDescent="0.35">
      <c r="A1688" s="145"/>
      <c r="B1688" s="145"/>
      <c r="C1688" s="145"/>
      <c r="D1688" s="145"/>
      <c r="E1688" s="145"/>
      <c r="F1688" s="145"/>
      <c r="G1688" s="102"/>
      <c r="H1688" s="145"/>
      <c r="I1688" s="145"/>
      <c r="J1688" s="145"/>
      <c r="K1688" s="145"/>
      <c r="L1688" s="145"/>
      <c r="M1688" s="145"/>
      <c r="N1688" s="145"/>
      <c r="O1688" s="145"/>
    </row>
    <row r="1689" spans="1:15" x14ac:dyDescent="0.35">
      <c r="A1689" s="145"/>
      <c r="B1689" s="145"/>
      <c r="C1689" s="145"/>
      <c r="D1689" s="145"/>
      <c r="E1689" s="145"/>
      <c r="F1689" s="145"/>
      <c r="G1689" s="102"/>
      <c r="H1689" s="145"/>
      <c r="I1689" s="145"/>
      <c r="J1689" s="145"/>
      <c r="K1689" s="145"/>
      <c r="L1689" s="145"/>
      <c r="M1689" s="145"/>
      <c r="N1689" s="145"/>
      <c r="O1689" s="145"/>
    </row>
    <row r="1690" spans="1:15" x14ac:dyDescent="0.35">
      <c r="A1690" s="145"/>
      <c r="B1690" s="145"/>
      <c r="C1690" s="145"/>
      <c r="D1690" s="145"/>
      <c r="E1690" s="145"/>
      <c r="F1690" s="145"/>
      <c r="G1690" s="102"/>
      <c r="H1690" s="145"/>
      <c r="I1690" s="145"/>
      <c r="J1690" s="145"/>
      <c r="K1690" s="145"/>
      <c r="L1690" s="145"/>
      <c r="M1690" s="145"/>
      <c r="N1690" s="145"/>
      <c r="O1690" s="145"/>
    </row>
    <row r="1691" spans="1:15" x14ac:dyDescent="0.35">
      <c r="A1691" s="145"/>
      <c r="B1691" s="145"/>
      <c r="C1691" s="145"/>
      <c r="D1691" s="145"/>
      <c r="E1691" s="145"/>
      <c r="F1691" s="145"/>
      <c r="G1691" s="102"/>
      <c r="H1691" s="145"/>
      <c r="I1691" s="145"/>
      <c r="J1691" s="145"/>
      <c r="K1691" s="145"/>
      <c r="L1691" s="145"/>
      <c r="M1691" s="145"/>
      <c r="N1691" s="145"/>
      <c r="O1691" s="145"/>
    </row>
    <row r="1692" spans="1:15" x14ac:dyDescent="0.35">
      <c r="A1692" s="145"/>
      <c r="B1692" s="145"/>
      <c r="C1692" s="145"/>
      <c r="D1692" s="145"/>
      <c r="E1692" s="145"/>
      <c r="F1692" s="145"/>
      <c r="G1692" s="102"/>
      <c r="H1692" s="145"/>
      <c r="I1692" s="145"/>
      <c r="J1692" s="145"/>
      <c r="K1692" s="145"/>
      <c r="L1692" s="145"/>
      <c r="M1692" s="145"/>
      <c r="N1692" s="145"/>
      <c r="O1692" s="145"/>
    </row>
    <row r="1693" spans="1:15" x14ac:dyDescent="0.35">
      <c r="A1693" s="145"/>
      <c r="B1693" s="145"/>
      <c r="C1693" s="145"/>
      <c r="D1693" s="145"/>
      <c r="E1693" s="145"/>
      <c r="F1693" s="145"/>
      <c r="G1693" s="102"/>
      <c r="H1693" s="145"/>
      <c r="I1693" s="145"/>
      <c r="J1693" s="145"/>
      <c r="K1693" s="145"/>
      <c r="L1693" s="145"/>
      <c r="M1693" s="145"/>
      <c r="N1693" s="145"/>
      <c r="O1693" s="145"/>
    </row>
    <row r="1694" spans="1:15" x14ac:dyDescent="0.35">
      <c r="A1694" s="145"/>
      <c r="B1694" s="145"/>
      <c r="C1694" s="145"/>
      <c r="D1694" s="145"/>
      <c r="E1694" s="145"/>
      <c r="F1694" s="145"/>
      <c r="G1694" s="102"/>
      <c r="H1694" s="145"/>
      <c r="I1694" s="145"/>
      <c r="J1694" s="145"/>
      <c r="K1694" s="145"/>
      <c r="L1694" s="145"/>
      <c r="M1694" s="145"/>
      <c r="N1694" s="145"/>
      <c r="O1694" s="145"/>
    </row>
    <row r="1695" spans="1:15" x14ac:dyDescent="0.35">
      <c r="A1695" s="145"/>
      <c r="B1695" s="145"/>
      <c r="C1695" s="145"/>
      <c r="D1695" s="145"/>
      <c r="E1695" s="145"/>
      <c r="F1695" s="145"/>
      <c r="G1695" s="102"/>
      <c r="H1695" s="145"/>
      <c r="I1695" s="145"/>
      <c r="J1695" s="145"/>
      <c r="K1695" s="145"/>
      <c r="L1695" s="145"/>
      <c r="M1695" s="145"/>
      <c r="N1695" s="145"/>
      <c r="O1695" s="145"/>
    </row>
    <row r="1696" spans="1:15" x14ac:dyDescent="0.35">
      <c r="A1696" s="145"/>
      <c r="B1696" s="145"/>
      <c r="C1696" s="145"/>
      <c r="D1696" s="145"/>
      <c r="E1696" s="145"/>
      <c r="F1696" s="145"/>
      <c r="G1696" s="102"/>
      <c r="H1696" s="145"/>
      <c r="I1696" s="145"/>
      <c r="J1696" s="145"/>
      <c r="K1696" s="145"/>
      <c r="L1696" s="145"/>
      <c r="M1696" s="145"/>
      <c r="N1696" s="145"/>
      <c r="O1696" s="145"/>
    </row>
    <row r="1697" spans="1:15" x14ac:dyDescent="0.35">
      <c r="A1697" s="145"/>
      <c r="B1697" s="145"/>
      <c r="C1697" s="145"/>
      <c r="D1697" s="145"/>
      <c r="E1697" s="145"/>
      <c r="F1697" s="145"/>
      <c r="G1697" s="102"/>
      <c r="H1697" s="145"/>
      <c r="I1697" s="145"/>
      <c r="J1697" s="145"/>
      <c r="K1697" s="145"/>
      <c r="L1697" s="145"/>
      <c r="M1697" s="145"/>
      <c r="N1697" s="145"/>
      <c r="O1697" s="145"/>
    </row>
    <row r="1698" spans="1:15" x14ac:dyDescent="0.35">
      <c r="A1698" s="145"/>
      <c r="B1698" s="145"/>
      <c r="C1698" s="145"/>
      <c r="D1698" s="145"/>
      <c r="E1698" s="145"/>
      <c r="F1698" s="145"/>
      <c r="G1698" s="102"/>
      <c r="H1698" s="145"/>
      <c r="I1698" s="145"/>
      <c r="J1698" s="145"/>
      <c r="K1698" s="145"/>
      <c r="L1698" s="145"/>
      <c r="M1698" s="145"/>
      <c r="N1698" s="145"/>
      <c r="O1698" s="145"/>
    </row>
    <row r="1699" spans="1:15" x14ac:dyDescent="0.35">
      <c r="A1699" s="145"/>
      <c r="B1699" s="145"/>
      <c r="C1699" s="145"/>
      <c r="D1699" s="145"/>
      <c r="E1699" s="145"/>
      <c r="F1699" s="145"/>
      <c r="G1699" s="102"/>
      <c r="H1699" s="145"/>
      <c r="I1699" s="145"/>
      <c r="J1699" s="145"/>
      <c r="K1699" s="145"/>
      <c r="L1699" s="145"/>
      <c r="M1699" s="145"/>
      <c r="N1699" s="145"/>
      <c r="O1699" s="145"/>
    </row>
    <row r="1700" spans="1:15" x14ac:dyDescent="0.35">
      <c r="A1700" s="145"/>
      <c r="B1700" s="145"/>
      <c r="C1700" s="145"/>
      <c r="D1700" s="145"/>
      <c r="E1700" s="145"/>
      <c r="F1700" s="145"/>
      <c r="G1700" s="102"/>
      <c r="H1700" s="145"/>
      <c r="I1700" s="145"/>
      <c r="J1700" s="145"/>
      <c r="K1700" s="145"/>
      <c r="L1700" s="145"/>
      <c r="M1700" s="145"/>
      <c r="N1700" s="145"/>
      <c r="O1700" s="145"/>
    </row>
    <row r="1701" spans="1:15" x14ac:dyDescent="0.35">
      <c r="A1701" s="145"/>
      <c r="B1701" s="145"/>
      <c r="C1701" s="145"/>
      <c r="D1701" s="145"/>
      <c r="E1701" s="145"/>
      <c r="F1701" s="145"/>
      <c r="G1701" s="102"/>
      <c r="H1701" s="145"/>
      <c r="I1701" s="145"/>
      <c r="J1701" s="145"/>
      <c r="K1701" s="145"/>
      <c r="L1701" s="145"/>
      <c r="M1701" s="145"/>
      <c r="N1701" s="145"/>
      <c r="O1701" s="145"/>
    </row>
    <row r="1702" spans="1:15" x14ac:dyDescent="0.35">
      <c r="A1702" s="145"/>
      <c r="B1702" s="145"/>
      <c r="C1702" s="145"/>
      <c r="D1702" s="145"/>
      <c r="E1702" s="145"/>
      <c r="F1702" s="145"/>
      <c r="G1702" s="102"/>
      <c r="H1702" s="145"/>
      <c r="I1702" s="145"/>
      <c r="J1702" s="145"/>
      <c r="K1702" s="145"/>
      <c r="L1702" s="145"/>
      <c r="M1702" s="145"/>
      <c r="N1702" s="145"/>
      <c r="O1702" s="145"/>
    </row>
    <row r="1703" spans="1:15" x14ac:dyDescent="0.35">
      <c r="A1703" s="145"/>
      <c r="B1703" s="145"/>
      <c r="C1703" s="145"/>
      <c r="D1703" s="145"/>
      <c r="E1703" s="145"/>
      <c r="F1703" s="145"/>
      <c r="G1703" s="102"/>
      <c r="H1703" s="145"/>
      <c r="I1703" s="145"/>
      <c r="J1703" s="145"/>
      <c r="K1703" s="145"/>
      <c r="L1703" s="145"/>
      <c r="M1703" s="145"/>
      <c r="N1703" s="145"/>
      <c r="O1703" s="145"/>
    </row>
    <row r="1704" spans="1:15" x14ac:dyDescent="0.35">
      <c r="A1704" s="145"/>
      <c r="B1704" s="145"/>
      <c r="C1704" s="145"/>
      <c r="D1704" s="145"/>
      <c r="E1704" s="145"/>
      <c r="F1704" s="145"/>
      <c r="G1704" s="102"/>
      <c r="H1704" s="145"/>
      <c r="I1704" s="145"/>
      <c r="J1704" s="145"/>
      <c r="K1704" s="145"/>
      <c r="L1704" s="145"/>
      <c r="M1704" s="145"/>
      <c r="N1704" s="145"/>
      <c r="O1704" s="145"/>
    </row>
    <row r="1705" spans="1:15" x14ac:dyDescent="0.35">
      <c r="A1705" s="145"/>
      <c r="B1705" s="145"/>
      <c r="C1705" s="145"/>
      <c r="D1705" s="145"/>
      <c r="E1705" s="145"/>
      <c r="F1705" s="145"/>
      <c r="G1705" s="102"/>
      <c r="H1705" s="145"/>
      <c r="I1705" s="145"/>
      <c r="J1705" s="145"/>
      <c r="K1705" s="145"/>
      <c r="L1705" s="145"/>
      <c r="M1705" s="145"/>
      <c r="N1705" s="145"/>
      <c r="O1705" s="145"/>
    </row>
    <row r="1706" spans="1:15" x14ac:dyDescent="0.35">
      <c r="A1706" s="145"/>
      <c r="B1706" s="145"/>
      <c r="C1706" s="145"/>
      <c r="D1706" s="145"/>
      <c r="E1706" s="145"/>
      <c r="F1706" s="145"/>
      <c r="G1706" s="102"/>
      <c r="H1706" s="145"/>
      <c r="I1706" s="145"/>
      <c r="J1706" s="145"/>
      <c r="K1706" s="145"/>
      <c r="L1706" s="145"/>
      <c r="M1706" s="145"/>
      <c r="N1706" s="145"/>
      <c r="O1706" s="145"/>
    </row>
    <row r="1707" spans="1:15" x14ac:dyDescent="0.35">
      <c r="A1707" s="145"/>
      <c r="B1707" s="145"/>
      <c r="C1707" s="145"/>
      <c r="D1707" s="145"/>
      <c r="E1707" s="145"/>
      <c r="F1707" s="145"/>
      <c r="G1707" s="102"/>
      <c r="H1707" s="145"/>
      <c r="I1707" s="145"/>
      <c r="J1707" s="145"/>
      <c r="K1707" s="145"/>
      <c r="L1707" s="145"/>
      <c r="M1707" s="145"/>
      <c r="N1707" s="145"/>
      <c r="O1707" s="145"/>
    </row>
    <row r="1708" spans="1:15" x14ac:dyDescent="0.35">
      <c r="A1708" s="145"/>
      <c r="B1708" s="145"/>
      <c r="C1708" s="145"/>
      <c r="D1708" s="145"/>
      <c r="E1708" s="145"/>
      <c r="F1708" s="145"/>
      <c r="G1708" s="102"/>
      <c r="H1708" s="145"/>
      <c r="I1708" s="145"/>
      <c r="J1708" s="145"/>
      <c r="K1708" s="145"/>
      <c r="L1708" s="145"/>
      <c r="M1708" s="145"/>
      <c r="N1708" s="145"/>
      <c r="O1708" s="145"/>
    </row>
    <row r="1709" spans="1:15" x14ac:dyDescent="0.35">
      <c r="A1709" s="145"/>
      <c r="B1709" s="145"/>
      <c r="C1709" s="145"/>
      <c r="D1709" s="145"/>
      <c r="E1709" s="145"/>
      <c r="F1709" s="145"/>
      <c r="G1709" s="102"/>
      <c r="H1709" s="145"/>
      <c r="I1709" s="145"/>
      <c r="J1709" s="145"/>
      <c r="K1709" s="145"/>
      <c r="L1709" s="145"/>
      <c r="M1709" s="145"/>
      <c r="N1709" s="31"/>
      <c r="O1709" s="31"/>
    </row>
    <row r="1710" spans="1:15" x14ac:dyDescent="0.35">
      <c r="A1710" s="145"/>
      <c r="B1710" s="145"/>
      <c r="C1710" s="145"/>
      <c r="D1710" s="145"/>
      <c r="E1710" s="145"/>
      <c r="F1710" s="145"/>
      <c r="G1710" s="102"/>
      <c r="H1710" s="145"/>
      <c r="I1710" s="145"/>
      <c r="J1710" s="145"/>
      <c r="K1710" s="145"/>
      <c r="L1710" s="145"/>
      <c r="M1710" s="145"/>
      <c r="N1710" s="31"/>
      <c r="O1710" s="31"/>
    </row>
    <row r="1711" spans="1:15" x14ac:dyDescent="0.35">
      <c r="A1711" s="145"/>
      <c r="B1711" s="145"/>
      <c r="C1711" s="145"/>
      <c r="D1711" s="145"/>
      <c r="E1711" s="145"/>
      <c r="F1711" s="145"/>
      <c r="G1711" s="102"/>
      <c r="H1711" s="145"/>
      <c r="I1711" s="145"/>
      <c r="J1711" s="145"/>
      <c r="K1711" s="145"/>
      <c r="L1711" s="145"/>
      <c r="M1711" s="145"/>
    </row>
    <row r="1712" spans="1:15" x14ac:dyDescent="0.35">
      <c r="A1712" s="145"/>
      <c r="B1712" s="145"/>
      <c r="C1712" s="145"/>
      <c r="D1712" s="145"/>
      <c r="E1712" s="145"/>
      <c r="F1712" s="145"/>
      <c r="G1712" s="102"/>
      <c r="H1712" s="145"/>
      <c r="I1712" s="145"/>
      <c r="J1712" s="145"/>
      <c r="K1712" s="145"/>
      <c r="L1712" s="145"/>
      <c r="M1712" s="145"/>
    </row>
    <row r="1713" spans="1:15" x14ac:dyDescent="0.35">
      <c r="A1713" s="145"/>
      <c r="B1713" s="145"/>
      <c r="C1713" s="145"/>
      <c r="D1713" s="145"/>
      <c r="E1713" s="145"/>
      <c r="F1713" s="145"/>
      <c r="G1713" s="102"/>
      <c r="H1713" s="145"/>
      <c r="I1713" s="145"/>
      <c r="J1713" s="145"/>
      <c r="K1713" s="145"/>
      <c r="L1713" s="145"/>
      <c r="M1713" s="145"/>
    </row>
    <row r="1714" spans="1:15" x14ac:dyDescent="0.35">
      <c r="A1714" s="145"/>
      <c r="B1714" s="145"/>
      <c r="C1714" s="145"/>
      <c r="D1714" s="145"/>
      <c r="E1714" s="145"/>
      <c r="F1714" s="145"/>
      <c r="G1714" s="102"/>
      <c r="H1714" s="145"/>
      <c r="I1714" s="145"/>
      <c r="J1714" s="145"/>
      <c r="K1714" s="145"/>
      <c r="L1714" s="145"/>
      <c r="M1714" s="145"/>
    </row>
    <row r="1715" spans="1:15" x14ac:dyDescent="0.35">
      <c r="A1715" s="145"/>
      <c r="B1715" s="145"/>
      <c r="C1715" s="145"/>
      <c r="D1715" s="145"/>
      <c r="E1715" s="145"/>
      <c r="F1715" s="145"/>
      <c r="G1715" s="102"/>
      <c r="H1715" s="145"/>
      <c r="I1715" s="145"/>
      <c r="J1715" s="145"/>
      <c r="K1715" s="145"/>
      <c r="L1715" s="145"/>
      <c r="M1715" s="145"/>
    </row>
    <row r="1716" spans="1:15" x14ac:dyDescent="0.35">
      <c r="A1716" s="145"/>
      <c r="B1716" s="145"/>
      <c r="C1716" s="145"/>
      <c r="D1716" s="145"/>
      <c r="E1716" s="145"/>
      <c r="F1716" s="145"/>
      <c r="G1716" s="102"/>
      <c r="H1716" s="145"/>
      <c r="I1716" s="145"/>
      <c r="J1716" s="145"/>
      <c r="K1716" s="145"/>
      <c r="L1716" s="145"/>
      <c r="M1716" s="145"/>
      <c r="N1716" s="145"/>
      <c r="O1716" s="145"/>
    </row>
    <row r="1717" spans="1:15" x14ac:dyDescent="0.35">
      <c r="A1717" s="145"/>
      <c r="B1717" s="145"/>
      <c r="C1717" s="145"/>
      <c r="D1717" s="145"/>
      <c r="E1717" s="145"/>
      <c r="F1717" s="145"/>
      <c r="G1717" s="102"/>
      <c r="H1717" s="145"/>
      <c r="I1717" s="145"/>
      <c r="J1717" s="145"/>
      <c r="K1717" s="145"/>
      <c r="L1717" s="145"/>
      <c r="M1717" s="145"/>
    </row>
    <row r="1718" spans="1:15" x14ac:dyDescent="0.35">
      <c r="A1718" s="145"/>
      <c r="B1718" s="145"/>
      <c r="C1718" s="145"/>
      <c r="D1718" s="145"/>
      <c r="E1718" s="145"/>
      <c r="F1718" s="145"/>
      <c r="G1718" s="102"/>
      <c r="H1718" s="145"/>
      <c r="I1718" s="145"/>
      <c r="J1718" s="145"/>
      <c r="K1718" s="145"/>
      <c r="L1718" s="145"/>
      <c r="M1718" s="145"/>
      <c r="N1718" s="145"/>
      <c r="O1718" s="145"/>
    </row>
    <row r="1719" spans="1:15" x14ac:dyDescent="0.35">
      <c r="A1719" s="145"/>
      <c r="B1719" s="145"/>
      <c r="C1719" s="145"/>
      <c r="D1719" s="145"/>
      <c r="E1719" s="145"/>
      <c r="F1719" s="145"/>
      <c r="G1719" s="102"/>
      <c r="H1719" s="145"/>
      <c r="I1719" s="145"/>
      <c r="J1719" s="145"/>
      <c r="K1719" s="145"/>
      <c r="L1719" s="145"/>
      <c r="M1719" s="145"/>
      <c r="N1719" s="145"/>
      <c r="O1719" s="145"/>
    </row>
    <row r="1720" spans="1:15" x14ac:dyDescent="0.35">
      <c r="A1720" s="145"/>
      <c r="B1720" s="145"/>
      <c r="C1720" s="145"/>
      <c r="D1720" s="145"/>
      <c r="E1720" s="145"/>
      <c r="F1720" s="145"/>
      <c r="G1720" s="102"/>
      <c r="H1720" s="145"/>
      <c r="I1720" s="145"/>
      <c r="J1720" s="145"/>
      <c r="K1720" s="145"/>
      <c r="L1720" s="145"/>
      <c r="M1720" s="145"/>
      <c r="N1720" s="145"/>
      <c r="O1720" s="145"/>
    </row>
    <row r="1721" spans="1:15" x14ac:dyDescent="0.35">
      <c r="A1721" s="145"/>
      <c r="B1721" s="145"/>
      <c r="C1721" s="145"/>
      <c r="D1721" s="145"/>
      <c r="E1721" s="145"/>
      <c r="F1721" s="145"/>
      <c r="G1721" s="102"/>
      <c r="H1721" s="145"/>
      <c r="I1721" s="145"/>
      <c r="J1721" s="145"/>
      <c r="K1721" s="145"/>
      <c r="L1721" s="145"/>
      <c r="M1721" s="145"/>
      <c r="N1721" s="145"/>
      <c r="O1721" s="145"/>
    </row>
    <row r="1722" spans="1:15" x14ac:dyDescent="0.35">
      <c r="A1722" s="145"/>
      <c r="B1722" s="145"/>
      <c r="C1722" s="145"/>
      <c r="D1722" s="145"/>
      <c r="E1722" s="145"/>
      <c r="F1722" s="145"/>
      <c r="G1722" s="102"/>
      <c r="H1722" s="145"/>
      <c r="I1722" s="145"/>
      <c r="J1722" s="145"/>
      <c r="K1722" s="145"/>
      <c r="L1722" s="145"/>
      <c r="M1722" s="145"/>
      <c r="N1722" s="145"/>
      <c r="O1722" s="145"/>
    </row>
    <row r="1723" spans="1:15" x14ac:dyDescent="0.35">
      <c r="A1723" s="145"/>
      <c r="B1723" s="145"/>
      <c r="C1723" s="145"/>
      <c r="D1723" s="145"/>
      <c r="E1723" s="145"/>
      <c r="F1723" s="145"/>
      <c r="G1723" s="102"/>
      <c r="H1723" s="145"/>
      <c r="I1723" s="145"/>
      <c r="J1723" s="145"/>
      <c r="K1723" s="145"/>
      <c r="L1723" s="145"/>
      <c r="M1723" s="145"/>
      <c r="N1723" s="145"/>
      <c r="O1723" s="145"/>
    </row>
    <row r="1724" spans="1:15" x14ac:dyDescent="0.35">
      <c r="A1724" s="145"/>
      <c r="B1724" s="145"/>
      <c r="C1724" s="145"/>
      <c r="D1724" s="145"/>
      <c r="E1724" s="145"/>
      <c r="F1724" s="145"/>
      <c r="G1724" s="102"/>
      <c r="H1724" s="145"/>
      <c r="I1724" s="145"/>
      <c r="J1724" s="145"/>
      <c r="K1724" s="145"/>
      <c r="L1724" s="145"/>
      <c r="M1724" s="145"/>
      <c r="N1724" s="145"/>
      <c r="O1724" s="145"/>
    </row>
    <row r="1725" spans="1:15" x14ac:dyDescent="0.35">
      <c r="A1725" s="145"/>
      <c r="B1725" s="145"/>
      <c r="C1725" s="145"/>
      <c r="D1725" s="145"/>
      <c r="E1725" s="145"/>
      <c r="F1725" s="145"/>
      <c r="G1725" s="102"/>
      <c r="H1725" s="145"/>
      <c r="I1725" s="145"/>
      <c r="J1725" s="145"/>
      <c r="K1725" s="145"/>
      <c r="L1725" s="145"/>
      <c r="M1725" s="145"/>
      <c r="N1725" s="145"/>
      <c r="O1725" s="145"/>
    </row>
    <row r="1726" spans="1:15" x14ac:dyDescent="0.35">
      <c r="A1726" s="145"/>
      <c r="B1726" s="145"/>
      <c r="C1726" s="145"/>
      <c r="D1726" s="145"/>
      <c r="E1726" s="145"/>
      <c r="F1726" s="145"/>
      <c r="G1726" s="102"/>
      <c r="H1726" s="145"/>
      <c r="I1726" s="145"/>
      <c r="J1726" s="145"/>
      <c r="K1726" s="145"/>
      <c r="L1726" s="145"/>
      <c r="M1726" s="145"/>
      <c r="N1726" s="145"/>
      <c r="O1726" s="145"/>
    </row>
    <row r="1727" spans="1:15" x14ac:dyDescent="0.35">
      <c r="A1727" s="145"/>
      <c r="B1727" s="145"/>
      <c r="C1727" s="145"/>
      <c r="D1727" s="145"/>
      <c r="E1727" s="145"/>
      <c r="F1727" s="145"/>
      <c r="G1727" s="102"/>
      <c r="H1727" s="145"/>
      <c r="I1727" s="145"/>
      <c r="J1727" s="145"/>
      <c r="K1727" s="145"/>
      <c r="L1727" s="145"/>
      <c r="M1727" s="145"/>
      <c r="N1727" s="145"/>
      <c r="O1727" s="145"/>
    </row>
    <row r="1728" spans="1:15" x14ac:dyDescent="0.35">
      <c r="A1728" s="145"/>
      <c r="B1728" s="145"/>
      <c r="C1728" s="145"/>
      <c r="D1728" s="145"/>
      <c r="E1728" s="145"/>
      <c r="F1728" s="145"/>
      <c r="G1728" s="102"/>
      <c r="H1728" s="145"/>
      <c r="I1728" s="145"/>
      <c r="J1728" s="145"/>
      <c r="K1728" s="145"/>
      <c r="L1728" s="145"/>
      <c r="M1728" s="145"/>
      <c r="N1728" s="145"/>
      <c r="O1728" s="145"/>
    </row>
    <row r="1729" spans="1:15" x14ac:dyDescent="0.35">
      <c r="A1729" s="145"/>
      <c r="B1729" s="145"/>
      <c r="C1729" s="145"/>
      <c r="D1729" s="145"/>
      <c r="E1729" s="145"/>
      <c r="F1729" s="145"/>
      <c r="G1729" s="102"/>
      <c r="H1729" s="145"/>
      <c r="I1729" s="145"/>
      <c r="J1729" s="145"/>
      <c r="K1729" s="145"/>
      <c r="L1729" s="145"/>
      <c r="M1729" s="145"/>
      <c r="N1729" s="145"/>
      <c r="O1729" s="145"/>
    </row>
    <row r="1730" spans="1:15" x14ac:dyDescent="0.35">
      <c r="A1730" s="145"/>
      <c r="B1730" s="145"/>
      <c r="C1730" s="145"/>
      <c r="D1730" s="145"/>
      <c r="E1730" s="145"/>
      <c r="F1730" s="145"/>
      <c r="G1730" s="102"/>
      <c r="H1730" s="145"/>
      <c r="I1730" s="145"/>
      <c r="J1730" s="145"/>
      <c r="K1730" s="145"/>
      <c r="L1730" s="145"/>
      <c r="M1730" s="145"/>
      <c r="N1730" s="145"/>
      <c r="O1730" s="145"/>
    </row>
    <row r="1731" spans="1:15" x14ac:dyDescent="0.35">
      <c r="A1731" s="145"/>
      <c r="B1731" s="145"/>
      <c r="C1731" s="145"/>
      <c r="D1731" s="145"/>
      <c r="E1731" s="145"/>
      <c r="F1731" s="145"/>
      <c r="G1731" s="102"/>
      <c r="H1731" s="145"/>
      <c r="I1731" s="145"/>
      <c r="J1731" s="145"/>
      <c r="K1731" s="145"/>
      <c r="L1731" s="145"/>
      <c r="M1731" s="145"/>
      <c r="N1731" s="145"/>
      <c r="O1731" s="145"/>
    </row>
    <row r="1732" spans="1:15" x14ac:dyDescent="0.35">
      <c r="A1732" s="145"/>
      <c r="B1732" s="145"/>
      <c r="C1732" s="145"/>
      <c r="D1732" s="145"/>
      <c r="E1732" s="145"/>
      <c r="F1732" s="145"/>
      <c r="G1732" s="102"/>
      <c r="H1732" s="145"/>
      <c r="I1732" s="145"/>
      <c r="J1732" s="145"/>
      <c r="K1732" s="145"/>
      <c r="L1732" s="145"/>
      <c r="M1732" s="145"/>
      <c r="N1732" s="145"/>
      <c r="O1732" s="145"/>
    </row>
    <row r="1733" spans="1:15" x14ac:dyDescent="0.35">
      <c r="A1733" s="145"/>
      <c r="B1733" s="145"/>
      <c r="C1733" s="145"/>
      <c r="D1733" s="145"/>
      <c r="E1733" s="145"/>
      <c r="F1733" s="145"/>
      <c r="G1733" s="102"/>
      <c r="H1733" s="145"/>
      <c r="I1733" s="145"/>
      <c r="J1733" s="145"/>
      <c r="K1733" s="145"/>
      <c r="L1733" s="145"/>
      <c r="M1733" s="145"/>
      <c r="N1733" s="145"/>
      <c r="O1733" s="145"/>
    </row>
    <row r="1734" spans="1:15" x14ac:dyDescent="0.35">
      <c r="A1734" s="145"/>
      <c r="B1734" s="145"/>
      <c r="C1734" s="145"/>
      <c r="D1734" s="145"/>
      <c r="E1734" s="145"/>
      <c r="F1734" s="145"/>
      <c r="G1734" s="102"/>
      <c r="H1734" s="145"/>
      <c r="I1734" s="145"/>
      <c r="J1734" s="145"/>
      <c r="K1734" s="145"/>
      <c r="L1734" s="145"/>
      <c r="M1734" s="145"/>
      <c r="N1734" s="145"/>
      <c r="O1734" s="145"/>
    </row>
    <row r="1735" spans="1:15" x14ac:dyDescent="0.35">
      <c r="A1735" s="145"/>
      <c r="B1735" s="145"/>
      <c r="C1735" s="145"/>
      <c r="D1735" s="145"/>
      <c r="E1735" s="145"/>
      <c r="F1735" s="145"/>
      <c r="G1735" s="102"/>
      <c r="H1735" s="145"/>
      <c r="I1735" s="145"/>
      <c r="J1735" s="145"/>
      <c r="K1735" s="145"/>
      <c r="L1735" s="145"/>
      <c r="M1735" s="145"/>
      <c r="N1735" s="145"/>
      <c r="O1735" s="145"/>
    </row>
    <row r="1736" spans="1:15" x14ac:dyDescent="0.35">
      <c r="A1736" s="145"/>
      <c r="B1736" s="145"/>
      <c r="C1736" s="145"/>
      <c r="D1736" s="145"/>
      <c r="E1736" s="145"/>
      <c r="F1736" s="145"/>
      <c r="G1736" s="102"/>
      <c r="H1736" s="145"/>
      <c r="I1736" s="145"/>
      <c r="J1736" s="145"/>
      <c r="K1736" s="145"/>
      <c r="L1736" s="145"/>
      <c r="M1736" s="145"/>
      <c r="N1736" s="145"/>
      <c r="O1736" s="145"/>
    </row>
    <row r="1737" spans="1:15" x14ac:dyDescent="0.35">
      <c r="A1737" s="145"/>
      <c r="B1737" s="145"/>
      <c r="C1737" s="145"/>
      <c r="D1737" s="145"/>
      <c r="E1737" s="145"/>
      <c r="F1737" s="145"/>
      <c r="G1737" s="102"/>
      <c r="H1737" s="145"/>
      <c r="I1737" s="145"/>
      <c r="J1737" s="145"/>
      <c r="K1737" s="145"/>
      <c r="L1737" s="145"/>
      <c r="M1737" s="145"/>
      <c r="N1737" s="145"/>
      <c r="O1737" s="145"/>
    </row>
    <row r="1738" spans="1:15" x14ac:dyDescent="0.35">
      <c r="A1738" s="145"/>
      <c r="B1738" s="145"/>
      <c r="C1738" s="145"/>
      <c r="D1738" s="145"/>
      <c r="E1738" s="145"/>
      <c r="F1738" s="145"/>
      <c r="G1738" s="102"/>
      <c r="H1738" s="145"/>
      <c r="I1738" s="145"/>
      <c r="J1738" s="145"/>
      <c r="K1738" s="145"/>
      <c r="L1738" s="145"/>
      <c r="M1738" s="145"/>
      <c r="N1738" s="145"/>
      <c r="O1738" s="145"/>
    </row>
    <row r="1739" spans="1:15" x14ac:dyDescent="0.35">
      <c r="A1739" s="145"/>
      <c r="B1739" s="145"/>
      <c r="C1739" s="145"/>
      <c r="D1739" s="145"/>
      <c r="E1739" s="145"/>
      <c r="F1739" s="145"/>
      <c r="G1739" s="102"/>
      <c r="H1739" s="145"/>
      <c r="I1739" s="145"/>
      <c r="J1739" s="145"/>
      <c r="K1739" s="145"/>
      <c r="L1739" s="145"/>
      <c r="M1739" s="145"/>
      <c r="N1739" s="145"/>
      <c r="O1739" s="145"/>
    </row>
    <row r="1740" spans="1:15" x14ac:dyDescent="0.35">
      <c r="A1740" s="145"/>
      <c r="B1740" s="145"/>
      <c r="C1740" s="145"/>
      <c r="D1740" s="145"/>
      <c r="E1740" s="145"/>
      <c r="F1740" s="145"/>
      <c r="G1740" s="102"/>
      <c r="H1740" s="145"/>
      <c r="I1740" s="145"/>
      <c r="J1740" s="145"/>
      <c r="K1740" s="145"/>
      <c r="L1740" s="145"/>
      <c r="M1740" s="145"/>
      <c r="N1740" s="145"/>
      <c r="O1740" s="145"/>
    </row>
    <row r="1741" spans="1:15" x14ac:dyDescent="0.35">
      <c r="A1741" s="145"/>
      <c r="B1741" s="145"/>
      <c r="C1741" s="145"/>
      <c r="D1741" s="145"/>
      <c r="E1741" s="145"/>
      <c r="F1741" s="145"/>
      <c r="G1741" s="102"/>
      <c r="H1741" s="145"/>
      <c r="I1741" s="145"/>
      <c r="J1741" s="145"/>
      <c r="K1741" s="145"/>
      <c r="L1741" s="145"/>
      <c r="M1741" s="145"/>
      <c r="N1741" s="145"/>
      <c r="O1741" s="145"/>
    </row>
    <row r="1742" spans="1:15" x14ac:dyDescent="0.35">
      <c r="A1742" s="145"/>
      <c r="B1742" s="145"/>
      <c r="C1742" s="145"/>
      <c r="D1742" s="145"/>
      <c r="E1742" s="145"/>
      <c r="F1742" s="145"/>
      <c r="G1742" s="102"/>
      <c r="H1742" s="145"/>
      <c r="I1742" s="145"/>
      <c r="J1742" s="145"/>
      <c r="K1742" s="145"/>
      <c r="L1742" s="145"/>
      <c r="M1742" s="145"/>
      <c r="N1742" s="145"/>
      <c r="O1742" s="145"/>
    </row>
    <row r="1743" spans="1:15" x14ac:dyDescent="0.35">
      <c r="A1743" s="145"/>
      <c r="B1743" s="145"/>
      <c r="C1743" s="145"/>
      <c r="D1743" s="145"/>
      <c r="E1743" s="145"/>
      <c r="F1743" s="145"/>
      <c r="G1743" s="102"/>
      <c r="H1743" s="145"/>
      <c r="I1743" s="145"/>
      <c r="J1743" s="145"/>
      <c r="K1743" s="145"/>
      <c r="L1743" s="145"/>
      <c r="M1743" s="145"/>
      <c r="N1743" s="145"/>
      <c r="O1743" s="145"/>
    </row>
    <row r="1744" spans="1:15" x14ac:dyDescent="0.35">
      <c r="A1744" s="145"/>
      <c r="B1744" s="145"/>
      <c r="C1744" s="145"/>
      <c r="D1744" s="145"/>
      <c r="E1744" s="145"/>
      <c r="F1744" s="145"/>
      <c r="G1744" s="102"/>
      <c r="H1744" s="145"/>
      <c r="I1744" s="145"/>
      <c r="J1744" s="145"/>
      <c r="K1744" s="145"/>
      <c r="L1744" s="145"/>
      <c r="M1744" s="145"/>
      <c r="N1744" s="145"/>
      <c r="O1744" s="145"/>
    </row>
    <row r="1745" spans="1:15" x14ac:dyDescent="0.35">
      <c r="A1745" s="145"/>
      <c r="B1745" s="145"/>
      <c r="C1745" s="145"/>
      <c r="D1745" s="145"/>
      <c r="E1745" s="145"/>
      <c r="F1745" s="145"/>
      <c r="G1745" s="102"/>
      <c r="H1745" s="145"/>
      <c r="I1745" s="145"/>
      <c r="J1745" s="145"/>
      <c r="K1745" s="145"/>
      <c r="L1745" s="145"/>
      <c r="M1745" s="145"/>
      <c r="N1745" s="145"/>
      <c r="O1745" s="145"/>
    </row>
    <row r="1746" spans="1:15" x14ac:dyDescent="0.35">
      <c r="A1746" s="145"/>
      <c r="B1746" s="145"/>
      <c r="C1746" s="145"/>
      <c r="D1746" s="145"/>
      <c r="E1746" s="145"/>
      <c r="F1746" s="145"/>
      <c r="G1746" s="102"/>
      <c r="H1746" s="145"/>
      <c r="I1746" s="145"/>
      <c r="J1746" s="145"/>
      <c r="K1746" s="145"/>
      <c r="L1746" s="145"/>
      <c r="M1746" s="145"/>
      <c r="N1746" s="145"/>
      <c r="O1746" s="145"/>
    </row>
    <row r="1747" spans="1:15" x14ac:dyDescent="0.35">
      <c r="A1747" s="145"/>
      <c r="B1747" s="145"/>
      <c r="C1747" s="145"/>
      <c r="D1747" s="145"/>
      <c r="E1747" s="145"/>
      <c r="F1747" s="145"/>
      <c r="G1747" s="102"/>
      <c r="H1747" s="145"/>
      <c r="I1747" s="145"/>
      <c r="J1747" s="145"/>
      <c r="K1747" s="145"/>
      <c r="L1747" s="145"/>
      <c r="M1747" s="145"/>
      <c r="N1747" s="145"/>
      <c r="O1747" s="145"/>
    </row>
    <row r="1748" spans="1:15" x14ac:dyDescent="0.35">
      <c r="A1748" s="145"/>
      <c r="B1748" s="145"/>
      <c r="C1748" s="145"/>
      <c r="D1748" s="145"/>
      <c r="E1748" s="145"/>
      <c r="F1748" s="145"/>
      <c r="G1748" s="102"/>
      <c r="H1748" s="145"/>
      <c r="I1748" s="145"/>
      <c r="J1748" s="145"/>
      <c r="K1748" s="145"/>
      <c r="L1748" s="145"/>
      <c r="M1748" s="145"/>
      <c r="N1748" s="145"/>
      <c r="O1748" s="145"/>
    </row>
    <row r="1749" spans="1:15" x14ac:dyDescent="0.35">
      <c r="A1749" s="145"/>
      <c r="B1749" s="145"/>
      <c r="C1749" s="145"/>
      <c r="D1749" s="145"/>
      <c r="E1749" s="145"/>
      <c r="F1749" s="145"/>
      <c r="G1749" s="102"/>
      <c r="H1749" s="145"/>
      <c r="I1749" s="145"/>
      <c r="J1749" s="145"/>
      <c r="K1749" s="145"/>
      <c r="L1749" s="145"/>
      <c r="M1749" s="145"/>
      <c r="N1749" s="145"/>
      <c r="O1749" s="145"/>
    </row>
    <row r="1750" spans="1:15" x14ac:dyDescent="0.35">
      <c r="A1750" s="145"/>
      <c r="B1750" s="145"/>
      <c r="C1750" s="145"/>
      <c r="D1750" s="145"/>
      <c r="E1750" s="145"/>
      <c r="F1750" s="145"/>
      <c r="G1750" s="102"/>
      <c r="H1750" s="145"/>
      <c r="I1750" s="145"/>
      <c r="J1750" s="145"/>
      <c r="K1750" s="145"/>
      <c r="L1750" s="145"/>
      <c r="M1750" s="145"/>
      <c r="N1750" s="145"/>
      <c r="O1750" s="145"/>
    </row>
    <row r="1751" spans="1:15" x14ac:dyDescent="0.35">
      <c r="A1751" s="145"/>
      <c r="B1751" s="145"/>
      <c r="C1751" s="145"/>
      <c r="D1751" s="145"/>
      <c r="E1751" s="145"/>
      <c r="F1751" s="145"/>
      <c r="G1751" s="102"/>
      <c r="H1751" s="145"/>
      <c r="I1751" s="145"/>
      <c r="J1751" s="145"/>
      <c r="K1751" s="145"/>
      <c r="L1751" s="145"/>
      <c r="M1751" s="145"/>
      <c r="N1751" s="145"/>
      <c r="O1751" s="145"/>
    </row>
    <row r="1752" spans="1:15" x14ac:dyDescent="0.35">
      <c r="A1752" s="145"/>
      <c r="B1752" s="145"/>
      <c r="C1752" s="145"/>
      <c r="D1752" s="145"/>
      <c r="E1752" s="145"/>
      <c r="F1752" s="145"/>
      <c r="G1752" s="102"/>
      <c r="H1752" s="145"/>
      <c r="I1752" s="145"/>
      <c r="J1752" s="145"/>
      <c r="K1752" s="145"/>
      <c r="L1752" s="145"/>
      <c r="M1752" s="145"/>
      <c r="N1752" s="145"/>
      <c r="O1752" s="145"/>
    </row>
    <row r="1753" spans="1:15" x14ac:dyDescent="0.35">
      <c r="A1753" s="145"/>
      <c r="B1753" s="145"/>
      <c r="C1753" s="145"/>
      <c r="D1753" s="145"/>
      <c r="E1753" s="145"/>
      <c r="F1753" s="145"/>
      <c r="G1753" s="102"/>
      <c r="H1753" s="145"/>
      <c r="I1753" s="145"/>
      <c r="J1753" s="145"/>
      <c r="K1753" s="145"/>
      <c r="L1753" s="145"/>
      <c r="M1753" s="145"/>
      <c r="N1753" s="145"/>
      <c r="O1753" s="145"/>
    </row>
    <row r="1754" spans="1:15" x14ac:dyDescent="0.35">
      <c r="A1754" s="145"/>
      <c r="B1754" s="145"/>
      <c r="C1754" s="145"/>
      <c r="D1754" s="145"/>
      <c r="E1754" s="145"/>
      <c r="F1754" s="145"/>
      <c r="G1754" s="102"/>
      <c r="H1754" s="145"/>
      <c r="I1754" s="145"/>
      <c r="J1754" s="145"/>
      <c r="K1754" s="145"/>
      <c r="L1754" s="145"/>
      <c r="M1754" s="145"/>
      <c r="N1754" s="145"/>
      <c r="O1754" s="145"/>
    </row>
    <row r="1755" spans="1:15" x14ac:dyDescent="0.35">
      <c r="A1755" s="145"/>
      <c r="B1755" s="145"/>
      <c r="C1755" s="145"/>
      <c r="D1755" s="145"/>
      <c r="E1755" s="145"/>
      <c r="F1755" s="145"/>
      <c r="G1755" s="102"/>
      <c r="H1755" s="145"/>
      <c r="I1755" s="145"/>
      <c r="J1755" s="145"/>
      <c r="K1755" s="145"/>
      <c r="L1755" s="145"/>
      <c r="M1755" s="145"/>
      <c r="N1755" s="145"/>
      <c r="O1755" s="145"/>
    </row>
    <row r="1756" spans="1:15" x14ac:dyDescent="0.35">
      <c r="A1756" s="145"/>
      <c r="B1756" s="145"/>
      <c r="C1756" s="145"/>
      <c r="D1756" s="145"/>
      <c r="E1756" s="145"/>
      <c r="F1756" s="145"/>
      <c r="G1756" s="102"/>
      <c r="H1756" s="145"/>
      <c r="I1756" s="145"/>
      <c r="J1756" s="145"/>
      <c r="K1756" s="145"/>
      <c r="L1756" s="145"/>
      <c r="M1756" s="145"/>
      <c r="N1756" s="145"/>
      <c r="O1756" s="145"/>
    </row>
    <row r="1757" spans="1:15" x14ac:dyDescent="0.35">
      <c r="A1757" s="145"/>
      <c r="B1757" s="145"/>
      <c r="C1757" s="145"/>
      <c r="D1757" s="145"/>
      <c r="E1757" s="145"/>
      <c r="F1757" s="145"/>
      <c r="G1757" s="102"/>
      <c r="H1757" s="145"/>
      <c r="I1757" s="145"/>
      <c r="J1757" s="145"/>
      <c r="K1757" s="145"/>
      <c r="L1757" s="145"/>
      <c r="M1757" s="145"/>
      <c r="N1757" s="31"/>
      <c r="O1757" s="31"/>
    </row>
    <row r="1758" spans="1:15" x14ac:dyDescent="0.35">
      <c r="A1758" s="145"/>
      <c r="B1758" s="145"/>
      <c r="C1758" s="145"/>
      <c r="D1758" s="145"/>
      <c r="E1758" s="145"/>
      <c r="F1758" s="145"/>
      <c r="G1758" s="102"/>
      <c r="H1758" s="145"/>
      <c r="I1758" s="145"/>
      <c r="J1758" s="145"/>
      <c r="K1758" s="145"/>
      <c r="L1758" s="145"/>
      <c r="M1758" s="145"/>
      <c r="N1758" s="31"/>
      <c r="O1758" s="31"/>
    </row>
    <row r="1759" spans="1:15" x14ac:dyDescent="0.35">
      <c r="A1759" s="145"/>
      <c r="B1759" s="145"/>
      <c r="C1759" s="145"/>
      <c r="D1759" s="145"/>
      <c r="E1759" s="145"/>
      <c r="F1759" s="145"/>
      <c r="G1759" s="102"/>
      <c r="H1759" s="145"/>
      <c r="I1759" s="145"/>
      <c r="J1759" s="145"/>
      <c r="K1759" s="145"/>
      <c r="L1759" s="145"/>
      <c r="M1759" s="145"/>
    </row>
    <row r="1760" spans="1:15" x14ac:dyDescent="0.35">
      <c r="A1760" s="145"/>
      <c r="B1760" s="145"/>
      <c r="C1760" s="145"/>
      <c r="D1760" s="145"/>
      <c r="E1760" s="145"/>
      <c r="F1760" s="145"/>
      <c r="G1760" s="102"/>
      <c r="H1760" s="145"/>
      <c r="I1760" s="145"/>
      <c r="J1760" s="145"/>
      <c r="K1760" s="145"/>
      <c r="L1760" s="145"/>
      <c r="M1760" s="145"/>
      <c r="N1760" s="145"/>
      <c r="O1760" s="145"/>
    </row>
    <row r="1761" spans="1:15" x14ac:dyDescent="0.35">
      <c r="A1761" s="145"/>
      <c r="B1761" s="145"/>
      <c r="C1761" s="145"/>
      <c r="D1761" s="145"/>
      <c r="E1761" s="145"/>
      <c r="F1761" s="145"/>
      <c r="G1761" s="102"/>
      <c r="H1761" s="145"/>
      <c r="I1761" s="145"/>
      <c r="J1761" s="145"/>
      <c r="K1761" s="145"/>
      <c r="L1761" s="145"/>
      <c r="M1761" s="145"/>
    </row>
    <row r="1762" spans="1:15" x14ac:dyDescent="0.35">
      <c r="A1762" s="145"/>
      <c r="B1762" s="145"/>
      <c r="C1762" s="145"/>
      <c r="D1762" s="145"/>
      <c r="E1762" s="145"/>
      <c r="F1762" s="145"/>
      <c r="G1762" s="102"/>
      <c r="H1762" s="145"/>
      <c r="I1762" s="145"/>
      <c r="J1762" s="145"/>
      <c r="K1762" s="145"/>
      <c r="L1762" s="145"/>
      <c r="M1762" s="145"/>
      <c r="N1762" s="145"/>
      <c r="O1762" s="145"/>
    </row>
    <row r="1763" spans="1:15" x14ac:dyDescent="0.35">
      <c r="A1763" s="145"/>
      <c r="B1763" s="145"/>
      <c r="C1763" s="145"/>
      <c r="D1763" s="145"/>
      <c r="E1763" s="145"/>
      <c r="F1763" s="145"/>
      <c r="G1763" s="102"/>
      <c r="H1763" s="145"/>
      <c r="I1763" s="145"/>
      <c r="J1763" s="145"/>
      <c r="K1763" s="145"/>
      <c r="L1763" s="145"/>
      <c r="M1763" s="145"/>
    </row>
    <row r="1764" spans="1:15" x14ac:dyDescent="0.35">
      <c r="A1764" s="145"/>
      <c r="B1764" s="145"/>
      <c r="C1764" s="145"/>
      <c r="D1764" s="145"/>
      <c r="E1764" s="145"/>
      <c r="F1764" s="145"/>
      <c r="G1764" s="102"/>
      <c r="H1764" s="145"/>
      <c r="I1764" s="145"/>
      <c r="J1764" s="145"/>
      <c r="K1764" s="145"/>
      <c r="L1764" s="145"/>
      <c r="M1764" s="145"/>
    </row>
    <row r="1765" spans="1:15" x14ac:dyDescent="0.35">
      <c r="A1765" s="145"/>
      <c r="B1765" s="145"/>
      <c r="C1765" s="145"/>
      <c r="D1765" s="145"/>
      <c r="E1765" s="145"/>
      <c r="F1765" s="145"/>
      <c r="G1765" s="102"/>
      <c r="H1765" s="145"/>
      <c r="I1765" s="145"/>
      <c r="J1765" s="145"/>
      <c r="K1765" s="145"/>
      <c r="L1765" s="145"/>
      <c r="M1765" s="145"/>
    </row>
    <row r="1766" spans="1:15" x14ac:dyDescent="0.35">
      <c r="A1766" s="145"/>
      <c r="B1766" s="145"/>
      <c r="C1766" s="145"/>
      <c r="D1766" s="145"/>
      <c r="E1766" s="145"/>
      <c r="F1766" s="145"/>
      <c r="G1766" s="102"/>
      <c r="H1766" s="145"/>
      <c r="I1766" s="145"/>
      <c r="J1766" s="145"/>
      <c r="K1766" s="145"/>
      <c r="L1766" s="145"/>
      <c r="M1766" s="145"/>
      <c r="N1766" s="145"/>
      <c r="O1766" s="145"/>
    </row>
    <row r="1767" spans="1:15" x14ac:dyDescent="0.35">
      <c r="A1767" s="145"/>
      <c r="B1767" s="145"/>
      <c r="C1767" s="145"/>
      <c r="D1767" s="145"/>
      <c r="E1767" s="145"/>
      <c r="F1767" s="145"/>
      <c r="G1767" s="102"/>
      <c r="H1767" s="145"/>
      <c r="I1767" s="145"/>
      <c r="J1767" s="145"/>
      <c r="K1767" s="145"/>
      <c r="L1767" s="145"/>
      <c r="M1767" s="145"/>
      <c r="N1767" s="145"/>
      <c r="O1767" s="145"/>
    </row>
    <row r="1768" spans="1:15" x14ac:dyDescent="0.35">
      <c r="A1768" s="145"/>
      <c r="B1768" s="145"/>
      <c r="C1768" s="145"/>
      <c r="D1768" s="145"/>
      <c r="E1768" s="145"/>
      <c r="F1768" s="145"/>
      <c r="G1768" s="102"/>
      <c r="H1768" s="145"/>
      <c r="I1768" s="145"/>
      <c r="J1768" s="145"/>
      <c r="K1768" s="145"/>
      <c r="L1768" s="145"/>
      <c r="M1768" s="145"/>
      <c r="N1768" s="145"/>
      <c r="O1768" s="145"/>
    </row>
    <row r="1769" spans="1:15" x14ac:dyDescent="0.35">
      <c r="A1769" s="145"/>
      <c r="B1769" s="145"/>
      <c r="C1769" s="145"/>
      <c r="D1769" s="145"/>
      <c r="E1769" s="145"/>
      <c r="F1769" s="145"/>
      <c r="G1769" s="102"/>
      <c r="H1769" s="145"/>
      <c r="I1769" s="145"/>
      <c r="J1769" s="145"/>
      <c r="K1769" s="145"/>
      <c r="L1769" s="145"/>
      <c r="M1769" s="145"/>
      <c r="N1769" s="145"/>
      <c r="O1769" s="145"/>
    </row>
    <row r="1770" spans="1:15" x14ac:dyDescent="0.35">
      <c r="A1770" s="145"/>
      <c r="B1770" s="145"/>
      <c r="C1770" s="145"/>
      <c r="D1770" s="145"/>
      <c r="E1770" s="145"/>
      <c r="F1770" s="145"/>
      <c r="G1770" s="102"/>
      <c r="H1770" s="145"/>
      <c r="I1770" s="145"/>
      <c r="J1770" s="145"/>
      <c r="K1770" s="145"/>
      <c r="L1770" s="145"/>
      <c r="M1770" s="145"/>
      <c r="N1770" s="145"/>
      <c r="O1770" s="145"/>
    </row>
    <row r="1771" spans="1:15" x14ac:dyDescent="0.35">
      <c r="A1771" s="145"/>
      <c r="B1771" s="145"/>
      <c r="C1771" s="145"/>
      <c r="D1771" s="145"/>
      <c r="E1771" s="145"/>
      <c r="F1771" s="145"/>
      <c r="G1771" s="102"/>
      <c r="H1771" s="145"/>
      <c r="I1771" s="145"/>
      <c r="J1771" s="145"/>
      <c r="K1771" s="145"/>
      <c r="L1771" s="145"/>
      <c r="M1771" s="145"/>
      <c r="N1771" s="145"/>
      <c r="O1771" s="145"/>
    </row>
    <row r="1772" spans="1:15" x14ac:dyDescent="0.35">
      <c r="A1772" s="145"/>
      <c r="B1772" s="145"/>
      <c r="C1772" s="145"/>
      <c r="D1772" s="145"/>
      <c r="E1772" s="145"/>
      <c r="F1772" s="145"/>
      <c r="G1772" s="102"/>
      <c r="H1772" s="145"/>
      <c r="I1772" s="145"/>
      <c r="J1772" s="145"/>
      <c r="K1772" s="145"/>
      <c r="L1772" s="145"/>
      <c r="M1772" s="145"/>
      <c r="N1772" s="145"/>
      <c r="O1772" s="145"/>
    </row>
    <row r="1773" spans="1:15" x14ac:dyDescent="0.35">
      <c r="A1773" s="145"/>
      <c r="B1773" s="145"/>
      <c r="C1773" s="145"/>
      <c r="D1773" s="145"/>
      <c r="E1773" s="145"/>
      <c r="F1773" s="145"/>
      <c r="G1773" s="102"/>
      <c r="H1773" s="145"/>
      <c r="I1773" s="145"/>
      <c r="J1773" s="145"/>
      <c r="K1773" s="145"/>
      <c r="L1773" s="145"/>
      <c r="M1773" s="145"/>
      <c r="N1773" s="145"/>
      <c r="O1773" s="145"/>
    </row>
    <row r="1774" spans="1:15" x14ac:dyDescent="0.35">
      <c r="A1774" s="145"/>
      <c r="B1774" s="145"/>
      <c r="C1774" s="145"/>
      <c r="D1774" s="145"/>
      <c r="E1774" s="145"/>
      <c r="F1774" s="145"/>
      <c r="G1774" s="102"/>
      <c r="H1774" s="145"/>
      <c r="I1774" s="145"/>
      <c r="J1774" s="145"/>
      <c r="K1774" s="145"/>
      <c r="L1774" s="145"/>
      <c r="M1774" s="145"/>
      <c r="N1774" s="145"/>
      <c r="O1774" s="145"/>
    </row>
    <row r="1775" spans="1:15" x14ac:dyDescent="0.35">
      <c r="A1775" s="145"/>
      <c r="B1775" s="145"/>
      <c r="C1775" s="145"/>
      <c r="D1775" s="145"/>
      <c r="E1775" s="145"/>
      <c r="F1775" s="145"/>
      <c r="G1775" s="102"/>
      <c r="H1775" s="145"/>
      <c r="I1775" s="145"/>
      <c r="J1775" s="145"/>
      <c r="K1775" s="145"/>
      <c r="L1775" s="145"/>
      <c r="M1775" s="145"/>
      <c r="N1775" s="145"/>
      <c r="O1775" s="145"/>
    </row>
    <row r="1776" spans="1:15" x14ac:dyDescent="0.35">
      <c r="A1776" s="145"/>
      <c r="B1776" s="145"/>
      <c r="C1776" s="145"/>
      <c r="D1776" s="145"/>
      <c r="E1776" s="145"/>
      <c r="F1776" s="145"/>
      <c r="G1776" s="102"/>
      <c r="H1776" s="145"/>
      <c r="I1776" s="145"/>
      <c r="J1776" s="145"/>
      <c r="K1776" s="145"/>
      <c r="L1776" s="145"/>
      <c r="M1776" s="145"/>
      <c r="N1776" s="145"/>
      <c r="O1776" s="145"/>
    </row>
    <row r="1777" spans="1:15" x14ac:dyDescent="0.35">
      <c r="A1777" s="145"/>
      <c r="B1777" s="145"/>
      <c r="C1777" s="145"/>
      <c r="D1777" s="145"/>
      <c r="E1777" s="145"/>
      <c r="F1777" s="145"/>
      <c r="G1777" s="102"/>
      <c r="H1777" s="145"/>
      <c r="I1777" s="145"/>
      <c r="J1777" s="145"/>
      <c r="K1777" s="145"/>
      <c r="L1777" s="145"/>
      <c r="M1777" s="145"/>
      <c r="N1777" s="145"/>
      <c r="O1777" s="145"/>
    </row>
    <row r="1778" spans="1:15" x14ac:dyDescent="0.35">
      <c r="A1778" s="145"/>
      <c r="B1778" s="145"/>
      <c r="C1778" s="145"/>
      <c r="D1778" s="145"/>
      <c r="E1778" s="145"/>
      <c r="F1778" s="145"/>
      <c r="G1778" s="102"/>
      <c r="H1778" s="145"/>
      <c r="I1778" s="145"/>
      <c r="J1778" s="145"/>
      <c r="K1778" s="145"/>
      <c r="L1778" s="145"/>
      <c r="M1778" s="145"/>
      <c r="N1778" s="145"/>
      <c r="O1778" s="145"/>
    </row>
    <row r="1779" spans="1:15" x14ac:dyDescent="0.35">
      <c r="A1779" s="145"/>
      <c r="B1779" s="145"/>
      <c r="C1779" s="145"/>
      <c r="D1779" s="145"/>
      <c r="E1779" s="145"/>
      <c r="F1779" s="145"/>
      <c r="G1779" s="102"/>
      <c r="H1779" s="145"/>
      <c r="I1779" s="145"/>
      <c r="J1779" s="145"/>
      <c r="K1779" s="145"/>
      <c r="L1779" s="145"/>
      <c r="M1779" s="145"/>
      <c r="N1779" s="145"/>
      <c r="O1779" s="145"/>
    </row>
    <row r="1780" spans="1:15" x14ac:dyDescent="0.35">
      <c r="A1780" s="145"/>
      <c r="B1780" s="145"/>
      <c r="C1780" s="145"/>
      <c r="D1780" s="145"/>
      <c r="E1780" s="145"/>
      <c r="F1780" s="145"/>
      <c r="G1780" s="102"/>
      <c r="H1780" s="145"/>
      <c r="I1780" s="145"/>
      <c r="J1780" s="145"/>
      <c r="K1780" s="145"/>
      <c r="L1780" s="145"/>
      <c r="M1780" s="145"/>
      <c r="N1780" s="145"/>
      <c r="O1780" s="145"/>
    </row>
    <row r="1781" spans="1:15" x14ac:dyDescent="0.35">
      <c r="A1781" s="145"/>
      <c r="B1781" s="145"/>
      <c r="C1781" s="145"/>
      <c r="D1781" s="145"/>
      <c r="E1781" s="145"/>
      <c r="F1781" s="145"/>
      <c r="G1781" s="102"/>
      <c r="H1781" s="145"/>
      <c r="I1781" s="145"/>
      <c r="J1781" s="145"/>
      <c r="K1781" s="145"/>
      <c r="L1781" s="145"/>
      <c r="M1781" s="145"/>
      <c r="N1781" s="145"/>
      <c r="O1781" s="145"/>
    </row>
    <row r="1782" spans="1:15" x14ac:dyDescent="0.35">
      <c r="A1782" s="145"/>
      <c r="B1782" s="145"/>
      <c r="C1782" s="145"/>
      <c r="D1782" s="145"/>
      <c r="E1782" s="145"/>
      <c r="F1782" s="145"/>
      <c r="G1782" s="102"/>
      <c r="H1782" s="145"/>
      <c r="I1782" s="145"/>
      <c r="J1782" s="145"/>
      <c r="K1782" s="145"/>
      <c r="L1782" s="145"/>
      <c r="M1782" s="145"/>
      <c r="N1782" s="145"/>
      <c r="O1782" s="145"/>
    </row>
    <row r="1783" spans="1:15" x14ac:dyDescent="0.35">
      <c r="A1783" s="145"/>
      <c r="B1783" s="145"/>
      <c r="C1783" s="145"/>
      <c r="D1783" s="145"/>
      <c r="E1783" s="145"/>
      <c r="F1783" s="145"/>
      <c r="G1783" s="102"/>
      <c r="H1783" s="145"/>
      <c r="I1783" s="145"/>
      <c r="J1783" s="145"/>
      <c r="K1783" s="145"/>
      <c r="L1783" s="145"/>
      <c r="M1783" s="145"/>
      <c r="N1783" s="145"/>
      <c r="O1783" s="145"/>
    </row>
    <row r="1784" spans="1:15" x14ac:dyDescent="0.35">
      <c r="A1784" s="145"/>
      <c r="B1784" s="145"/>
      <c r="C1784" s="145"/>
      <c r="D1784" s="145"/>
      <c r="E1784" s="145"/>
      <c r="F1784" s="145"/>
      <c r="G1784" s="102"/>
      <c r="H1784" s="145"/>
      <c r="I1784" s="145"/>
      <c r="J1784" s="145"/>
      <c r="K1784" s="145"/>
      <c r="L1784" s="145"/>
      <c r="M1784" s="145"/>
      <c r="N1784" s="145"/>
      <c r="O1784" s="145"/>
    </row>
    <row r="1785" spans="1:15" x14ac:dyDescent="0.35">
      <c r="A1785" s="145"/>
      <c r="B1785" s="145"/>
      <c r="C1785" s="145"/>
      <c r="D1785" s="145"/>
      <c r="E1785" s="145"/>
      <c r="F1785" s="145"/>
      <c r="G1785" s="102"/>
      <c r="H1785" s="145"/>
      <c r="I1785" s="145"/>
      <c r="J1785" s="145"/>
      <c r="K1785" s="145"/>
      <c r="L1785" s="145"/>
      <c r="M1785" s="145"/>
    </row>
    <row r="1786" spans="1:15" x14ac:dyDescent="0.35">
      <c r="A1786" s="145"/>
      <c r="B1786" s="145"/>
      <c r="C1786" s="145"/>
      <c r="D1786" s="145"/>
      <c r="E1786" s="145"/>
      <c r="F1786" s="145"/>
      <c r="G1786" s="102"/>
      <c r="H1786" s="145"/>
      <c r="I1786" s="145"/>
      <c r="J1786" s="145"/>
      <c r="K1786" s="145"/>
      <c r="L1786" s="145"/>
      <c r="M1786" s="145"/>
    </row>
    <row r="1787" spans="1:15" x14ac:dyDescent="0.35">
      <c r="A1787" s="145"/>
      <c r="B1787" s="145"/>
      <c r="C1787" s="145"/>
      <c r="D1787" s="145"/>
      <c r="E1787" s="145"/>
      <c r="F1787" s="145"/>
      <c r="G1787" s="102"/>
      <c r="H1787" s="145"/>
      <c r="I1787" s="145"/>
      <c r="J1787" s="145"/>
      <c r="K1787" s="145"/>
      <c r="L1787" s="145"/>
      <c r="M1787" s="145"/>
      <c r="N1787" s="145"/>
      <c r="O1787" s="145"/>
    </row>
    <row r="1788" spans="1:15" x14ac:dyDescent="0.35">
      <c r="A1788" s="145"/>
      <c r="B1788" s="145"/>
      <c r="C1788" s="145"/>
      <c r="D1788" s="145"/>
      <c r="E1788" s="145"/>
      <c r="F1788" s="145"/>
      <c r="G1788" s="102"/>
      <c r="H1788" s="145"/>
      <c r="I1788" s="145"/>
      <c r="J1788" s="145"/>
      <c r="K1788" s="145"/>
      <c r="L1788" s="145"/>
      <c r="M1788" s="145"/>
      <c r="N1788" s="145"/>
      <c r="O1788" s="145"/>
    </row>
    <row r="1789" spans="1:15" x14ac:dyDescent="0.35">
      <c r="A1789" s="145"/>
      <c r="B1789" s="145"/>
      <c r="C1789" s="145"/>
      <c r="D1789" s="145"/>
      <c r="E1789" s="145"/>
      <c r="F1789" s="145"/>
      <c r="G1789" s="102"/>
      <c r="H1789" s="145"/>
      <c r="I1789" s="145"/>
      <c r="J1789" s="145"/>
      <c r="K1789" s="145"/>
      <c r="L1789" s="145"/>
      <c r="M1789" s="145"/>
      <c r="N1789" s="145"/>
      <c r="O1789" s="145"/>
    </row>
    <row r="1790" spans="1:15" x14ac:dyDescent="0.35">
      <c r="A1790" s="145"/>
      <c r="B1790" s="145"/>
      <c r="C1790" s="145"/>
      <c r="D1790" s="145"/>
      <c r="E1790" s="145"/>
      <c r="F1790" s="145"/>
      <c r="G1790" s="102"/>
      <c r="H1790" s="145"/>
      <c r="I1790" s="145"/>
      <c r="J1790" s="145"/>
      <c r="K1790" s="145"/>
      <c r="L1790" s="145"/>
      <c r="M1790" s="145"/>
      <c r="N1790" s="145"/>
      <c r="O1790" s="145"/>
    </row>
    <row r="1791" spans="1:15" x14ac:dyDescent="0.35">
      <c r="A1791" s="145"/>
      <c r="B1791" s="145"/>
      <c r="C1791" s="145"/>
      <c r="D1791" s="145"/>
      <c r="E1791" s="145"/>
      <c r="F1791" s="145"/>
      <c r="G1791" s="102"/>
      <c r="H1791" s="145"/>
      <c r="I1791" s="145"/>
      <c r="J1791" s="145"/>
      <c r="K1791" s="145"/>
      <c r="L1791" s="145"/>
      <c r="M1791" s="145"/>
      <c r="N1791" s="31"/>
      <c r="O1791" s="31"/>
    </row>
    <row r="1792" spans="1:15" x14ac:dyDescent="0.35">
      <c r="A1792" s="145"/>
      <c r="B1792" s="145"/>
      <c r="C1792" s="145"/>
      <c r="D1792" s="145"/>
      <c r="E1792" s="145"/>
      <c r="F1792" s="145"/>
      <c r="G1792" s="102"/>
      <c r="H1792" s="145"/>
      <c r="I1792" s="145"/>
      <c r="J1792" s="145"/>
      <c r="K1792" s="145"/>
      <c r="L1792" s="145"/>
      <c r="M1792" s="145"/>
    </row>
    <row r="1793" spans="1:15" x14ac:dyDescent="0.35">
      <c r="A1793" s="145"/>
      <c r="B1793" s="145"/>
      <c r="C1793" s="145"/>
      <c r="D1793" s="145"/>
      <c r="E1793" s="145"/>
      <c r="F1793" s="145"/>
      <c r="G1793" s="102"/>
      <c r="H1793" s="145"/>
      <c r="I1793" s="145"/>
      <c r="J1793" s="145"/>
      <c r="K1793" s="145"/>
      <c r="L1793" s="145"/>
      <c r="M1793" s="145"/>
      <c r="N1793" s="145"/>
      <c r="O1793" s="145"/>
    </row>
    <row r="1794" spans="1:15" x14ac:dyDescent="0.35">
      <c r="A1794" s="145"/>
      <c r="B1794" s="145"/>
      <c r="C1794" s="145"/>
      <c r="D1794" s="145"/>
      <c r="E1794" s="145"/>
      <c r="F1794" s="145"/>
      <c r="G1794" s="102"/>
      <c r="H1794" s="145"/>
      <c r="I1794" s="145"/>
      <c r="J1794" s="145"/>
      <c r="K1794" s="145"/>
      <c r="L1794" s="145"/>
      <c r="M1794" s="145"/>
    </row>
    <row r="1795" spans="1:15" x14ac:dyDescent="0.35">
      <c r="A1795" s="145"/>
      <c r="B1795" s="145"/>
      <c r="C1795" s="145"/>
      <c r="D1795" s="145"/>
      <c r="E1795" s="145"/>
      <c r="F1795" s="145"/>
      <c r="G1795" s="102"/>
      <c r="H1795" s="145"/>
      <c r="I1795" s="145"/>
      <c r="J1795" s="145"/>
      <c r="K1795" s="145"/>
      <c r="L1795" s="145"/>
      <c r="M1795" s="145"/>
      <c r="N1795" s="145"/>
      <c r="O1795" s="145"/>
    </row>
    <row r="1796" spans="1:15" x14ac:dyDescent="0.35">
      <c r="A1796" s="145"/>
      <c r="B1796" s="145"/>
      <c r="C1796" s="145"/>
      <c r="D1796" s="145"/>
      <c r="E1796" s="145"/>
      <c r="F1796" s="145"/>
      <c r="G1796" s="102"/>
      <c r="H1796" s="145"/>
      <c r="I1796" s="145"/>
      <c r="J1796" s="145"/>
      <c r="K1796" s="145"/>
      <c r="L1796" s="145"/>
      <c r="M1796" s="145"/>
    </row>
    <row r="1797" spans="1:15" x14ac:dyDescent="0.35">
      <c r="A1797" s="145"/>
      <c r="B1797" s="145"/>
      <c r="C1797" s="145"/>
      <c r="D1797" s="145"/>
      <c r="E1797" s="145"/>
      <c r="F1797" s="145"/>
      <c r="G1797" s="102"/>
      <c r="H1797" s="145"/>
      <c r="I1797" s="145"/>
      <c r="J1797" s="145"/>
      <c r="K1797" s="145"/>
      <c r="L1797" s="145"/>
      <c r="M1797" s="145"/>
    </row>
    <row r="1798" spans="1:15" x14ac:dyDescent="0.35">
      <c r="A1798" s="145"/>
      <c r="B1798" s="145"/>
      <c r="C1798" s="145"/>
      <c r="D1798" s="145"/>
      <c r="E1798" s="145"/>
      <c r="F1798" s="145"/>
      <c r="G1798" s="102"/>
      <c r="H1798" s="145"/>
      <c r="I1798" s="145"/>
      <c r="J1798" s="145"/>
      <c r="K1798" s="145"/>
      <c r="L1798" s="145"/>
      <c r="M1798" s="145"/>
    </row>
    <row r="1799" spans="1:15" x14ac:dyDescent="0.35">
      <c r="A1799" s="145"/>
      <c r="B1799" s="145"/>
      <c r="C1799" s="145"/>
      <c r="D1799" s="145"/>
      <c r="E1799" s="145"/>
      <c r="F1799" s="145"/>
      <c r="G1799" s="102"/>
      <c r="H1799" s="145"/>
      <c r="I1799" s="145"/>
      <c r="J1799" s="145"/>
      <c r="K1799" s="145"/>
      <c r="L1799" s="145"/>
      <c r="M1799" s="145"/>
      <c r="N1799" s="31"/>
      <c r="O1799" s="31"/>
    </row>
    <row r="1800" spans="1:15" x14ac:dyDescent="0.35">
      <c r="A1800" s="145"/>
      <c r="B1800" s="145"/>
      <c r="C1800" s="145"/>
      <c r="D1800" s="145"/>
      <c r="E1800" s="145"/>
      <c r="F1800" s="145"/>
      <c r="G1800" s="102"/>
      <c r="H1800" s="145"/>
      <c r="I1800" s="145"/>
      <c r="J1800" s="145"/>
      <c r="K1800" s="145"/>
      <c r="L1800" s="145"/>
      <c r="M1800" s="145"/>
      <c r="N1800" s="145"/>
      <c r="O1800" s="145"/>
    </row>
    <row r="1801" spans="1:15" x14ac:dyDescent="0.35">
      <c r="A1801" s="145"/>
      <c r="B1801" s="145"/>
      <c r="C1801" s="145"/>
      <c r="D1801" s="145"/>
      <c r="E1801" s="145"/>
      <c r="F1801" s="145"/>
      <c r="G1801" s="102"/>
      <c r="H1801" s="145"/>
      <c r="I1801" s="145"/>
      <c r="J1801" s="145"/>
      <c r="K1801" s="145"/>
      <c r="L1801" s="145"/>
      <c r="M1801" s="145"/>
      <c r="N1801" s="145"/>
      <c r="O1801" s="145"/>
    </row>
    <row r="1802" spans="1:15" x14ac:dyDescent="0.35">
      <c r="A1802" s="145"/>
      <c r="B1802" s="145"/>
      <c r="C1802" s="145"/>
      <c r="D1802" s="145"/>
      <c r="E1802" s="145"/>
      <c r="F1802" s="145"/>
      <c r="G1802" s="102"/>
      <c r="H1802" s="145"/>
      <c r="I1802" s="145"/>
      <c r="J1802" s="145"/>
      <c r="K1802" s="145"/>
      <c r="L1802" s="145"/>
      <c r="M1802" s="145"/>
      <c r="N1802" s="145"/>
      <c r="O1802" s="145"/>
    </row>
    <row r="1803" spans="1:15" x14ac:dyDescent="0.35">
      <c r="A1803" s="145"/>
      <c r="B1803" s="145"/>
      <c r="C1803" s="145"/>
      <c r="D1803" s="145"/>
      <c r="E1803" s="145"/>
      <c r="F1803" s="145"/>
      <c r="G1803" s="102"/>
      <c r="H1803" s="145"/>
      <c r="I1803" s="145"/>
      <c r="J1803" s="145"/>
      <c r="K1803" s="145"/>
      <c r="L1803" s="145"/>
      <c r="M1803" s="145"/>
      <c r="N1803" s="145"/>
      <c r="O1803" s="145"/>
    </row>
    <row r="1804" spans="1:15" x14ac:dyDescent="0.35">
      <c r="A1804" s="145"/>
      <c r="B1804" s="145"/>
      <c r="C1804" s="145"/>
      <c r="D1804" s="145"/>
      <c r="E1804" s="145"/>
      <c r="F1804" s="145"/>
      <c r="G1804" s="102"/>
      <c r="H1804" s="145"/>
      <c r="I1804" s="145"/>
      <c r="J1804" s="145"/>
      <c r="K1804" s="145"/>
      <c r="L1804" s="145"/>
      <c r="M1804" s="145"/>
      <c r="N1804" s="145"/>
      <c r="O1804" s="145"/>
    </row>
    <row r="1805" spans="1:15" x14ac:dyDescent="0.35">
      <c r="A1805" s="145"/>
      <c r="B1805" s="145"/>
      <c r="C1805" s="145"/>
      <c r="D1805" s="145"/>
      <c r="E1805" s="145"/>
      <c r="F1805" s="145"/>
      <c r="G1805" s="102"/>
      <c r="H1805" s="145"/>
      <c r="I1805" s="145"/>
      <c r="J1805" s="145"/>
      <c r="K1805" s="145"/>
      <c r="L1805" s="145"/>
      <c r="M1805" s="145"/>
      <c r="N1805" s="145"/>
      <c r="O1805" s="145"/>
    </row>
    <row r="1806" spans="1:15" x14ac:dyDescent="0.35">
      <c r="A1806" s="145"/>
      <c r="B1806" s="145"/>
      <c r="C1806" s="145"/>
      <c r="D1806" s="145"/>
      <c r="E1806" s="145"/>
      <c r="F1806" s="145"/>
      <c r="G1806" s="102"/>
      <c r="H1806" s="145"/>
      <c r="I1806" s="145"/>
      <c r="J1806" s="145"/>
      <c r="K1806" s="145"/>
      <c r="L1806" s="145"/>
      <c r="M1806" s="145"/>
    </row>
    <row r="1807" spans="1:15" x14ac:dyDescent="0.35">
      <c r="A1807" s="145"/>
      <c r="B1807" s="145"/>
      <c r="C1807" s="145"/>
      <c r="D1807" s="145"/>
      <c r="E1807" s="145"/>
      <c r="F1807" s="145"/>
      <c r="G1807" s="102"/>
      <c r="H1807" s="145"/>
      <c r="I1807" s="145"/>
      <c r="J1807" s="145"/>
      <c r="K1807" s="145"/>
      <c r="L1807" s="145"/>
      <c r="M1807" s="145"/>
      <c r="N1807" s="31"/>
      <c r="O1807" s="31"/>
    </row>
    <row r="1808" spans="1:15" x14ac:dyDescent="0.35">
      <c r="A1808" s="145"/>
      <c r="B1808" s="145"/>
      <c r="C1808" s="145"/>
      <c r="D1808" s="145"/>
      <c r="E1808" s="145"/>
      <c r="F1808" s="145"/>
      <c r="G1808" s="102"/>
      <c r="H1808" s="145"/>
      <c r="I1808" s="145"/>
      <c r="J1808" s="145"/>
      <c r="K1808" s="145"/>
      <c r="L1808" s="145"/>
      <c r="M1808" s="145"/>
    </row>
    <row r="1809" spans="1:15" x14ac:dyDescent="0.35">
      <c r="A1809" s="145"/>
      <c r="B1809" s="145"/>
      <c r="C1809" s="145"/>
      <c r="D1809" s="145"/>
      <c r="E1809" s="145"/>
      <c r="F1809" s="145"/>
      <c r="G1809" s="102"/>
      <c r="H1809" s="145"/>
      <c r="I1809" s="145"/>
      <c r="J1809" s="145"/>
      <c r="K1809" s="145"/>
      <c r="L1809" s="145"/>
      <c r="M1809" s="145"/>
    </row>
    <row r="1810" spans="1:15" x14ac:dyDescent="0.35">
      <c r="A1810" s="145"/>
      <c r="B1810" s="145"/>
      <c r="C1810" s="145"/>
      <c r="D1810" s="145"/>
      <c r="E1810" s="145"/>
      <c r="F1810" s="145"/>
      <c r="G1810" s="102"/>
      <c r="H1810" s="145"/>
      <c r="I1810" s="145"/>
      <c r="J1810" s="145"/>
      <c r="K1810" s="145"/>
      <c r="L1810" s="145"/>
      <c r="M1810" s="145"/>
    </row>
    <row r="1811" spans="1:15" x14ac:dyDescent="0.35">
      <c r="A1811" s="145"/>
      <c r="B1811" s="145"/>
      <c r="C1811" s="145"/>
      <c r="D1811" s="145"/>
      <c r="E1811" s="145"/>
      <c r="F1811" s="145"/>
      <c r="G1811" s="102"/>
      <c r="H1811" s="145"/>
      <c r="I1811" s="145"/>
      <c r="J1811" s="145"/>
      <c r="K1811" s="145"/>
      <c r="L1811" s="145"/>
      <c r="M1811" s="145"/>
      <c r="N1811" s="145"/>
      <c r="O1811" s="145"/>
    </row>
    <row r="1812" spans="1:15" x14ac:dyDescent="0.35">
      <c r="A1812" s="145"/>
      <c r="B1812" s="145"/>
      <c r="C1812" s="145"/>
      <c r="D1812" s="145"/>
      <c r="E1812" s="145"/>
      <c r="F1812" s="145"/>
      <c r="G1812" s="102"/>
      <c r="H1812" s="145"/>
      <c r="I1812" s="145"/>
      <c r="J1812" s="145"/>
      <c r="K1812" s="145"/>
      <c r="L1812" s="145"/>
      <c r="M1812" s="145"/>
    </row>
    <row r="1813" spans="1:15" x14ac:dyDescent="0.35">
      <c r="A1813" s="145"/>
      <c r="B1813" s="145"/>
      <c r="C1813" s="145"/>
      <c r="D1813" s="145"/>
      <c r="E1813" s="145"/>
      <c r="F1813" s="145"/>
      <c r="G1813" s="102"/>
      <c r="H1813" s="145"/>
      <c r="I1813" s="145"/>
      <c r="J1813" s="145"/>
      <c r="K1813" s="145"/>
      <c r="L1813" s="145"/>
      <c r="M1813" s="145"/>
    </row>
    <row r="1814" spans="1:15" x14ac:dyDescent="0.35">
      <c r="A1814" s="145"/>
      <c r="B1814" s="145"/>
      <c r="C1814" s="145"/>
      <c r="D1814" s="145"/>
      <c r="E1814" s="145"/>
      <c r="F1814" s="145"/>
      <c r="G1814" s="102"/>
      <c r="H1814" s="145"/>
      <c r="I1814" s="145"/>
      <c r="J1814" s="145"/>
      <c r="K1814" s="145"/>
      <c r="L1814" s="145"/>
      <c r="M1814" s="145"/>
    </row>
    <row r="1815" spans="1:15" x14ac:dyDescent="0.35">
      <c r="A1815" s="145"/>
      <c r="B1815" s="145"/>
      <c r="C1815" s="145"/>
      <c r="D1815" s="145"/>
      <c r="E1815" s="145"/>
      <c r="F1815" s="145"/>
      <c r="G1815" s="102"/>
      <c r="H1815" s="145"/>
      <c r="I1815" s="145"/>
      <c r="J1815" s="145"/>
      <c r="K1815" s="145"/>
      <c r="L1815" s="145"/>
      <c r="M1815" s="145"/>
      <c r="N1815" s="31"/>
      <c r="O1815" s="31"/>
    </row>
    <row r="1816" spans="1:15" x14ac:dyDescent="0.35">
      <c r="A1816" s="145"/>
      <c r="B1816" s="145"/>
      <c r="C1816" s="145"/>
      <c r="D1816" s="145"/>
      <c r="E1816" s="145"/>
      <c r="F1816" s="145"/>
      <c r="G1816" s="102"/>
      <c r="H1816" s="145"/>
      <c r="I1816" s="145"/>
      <c r="J1816" s="145"/>
      <c r="K1816" s="145"/>
      <c r="L1816" s="145"/>
      <c r="M1816" s="145"/>
      <c r="N1816" s="31"/>
      <c r="O1816" s="31"/>
    </row>
    <row r="1817" spans="1:15" x14ac:dyDescent="0.35">
      <c r="A1817" s="145"/>
      <c r="B1817" s="145"/>
      <c r="C1817" s="145"/>
      <c r="D1817" s="145"/>
      <c r="E1817" s="145"/>
      <c r="F1817" s="145"/>
      <c r="G1817" s="102"/>
      <c r="H1817" s="145"/>
      <c r="I1817" s="145"/>
      <c r="J1817" s="145"/>
      <c r="K1817" s="145"/>
      <c r="L1817" s="145"/>
      <c r="M1817" s="145"/>
      <c r="N1817" s="31"/>
      <c r="O1817" s="31"/>
    </row>
    <row r="1818" spans="1:15" x14ac:dyDescent="0.35">
      <c r="A1818" s="145"/>
      <c r="B1818" s="145"/>
      <c r="C1818" s="145"/>
      <c r="D1818" s="145"/>
      <c r="E1818" s="145"/>
      <c r="F1818" s="145"/>
      <c r="G1818" s="102"/>
      <c r="H1818" s="145"/>
      <c r="I1818" s="145"/>
      <c r="J1818" s="145"/>
      <c r="K1818" s="145"/>
      <c r="L1818" s="145"/>
      <c r="M1818" s="145"/>
    </row>
    <row r="1819" spans="1:15" x14ac:dyDescent="0.35">
      <c r="A1819" s="145"/>
      <c r="B1819" s="145"/>
      <c r="C1819" s="145"/>
      <c r="D1819" s="145"/>
      <c r="E1819" s="145"/>
      <c r="F1819" s="145"/>
      <c r="G1819" s="102"/>
      <c r="H1819" s="145"/>
      <c r="I1819" s="145"/>
      <c r="J1819" s="145"/>
      <c r="K1819" s="145"/>
      <c r="L1819" s="145"/>
      <c r="M1819" s="145"/>
      <c r="N1819" s="145"/>
      <c r="O1819" s="145"/>
    </row>
    <row r="1820" spans="1:15" x14ac:dyDescent="0.35">
      <c r="A1820" s="145"/>
      <c r="B1820" s="145"/>
      <c r="C1820" s="145"/>
      <c r="D1820" s="145"/>
      <c r="E1820" s="145"/>
      <c r="F1820" s="145"/>
      <c r="G1820" s="102"/>
      <c r="H1820" s="145"/>
      <c r="I1820" s="145"/>
      <c r="J1820" s="145"/>
      <c r="K1820" s="145"/>
      <c r="L1820" s="145"/>
      <c r="M1820" s="145"/>
      <c r="N1820" s="145"/>
      <c r="O1820" s="145"/>
    </row>
    <row r="1821" spans="1:15" x14ac:dyDescent="0.35">
      <c r="A1821" s="145"/>
      <c r="B1821" s="145"/>
      <c r="C1821" s="145"/>
      <c r="D1821" s="145"/>
      <c r="E1821" s="145"/>
      <c r="F1821" s="145"/>
      <c r="G1821" s="102"/>
      <c r="H1821" s="145"/>
      <c r="I1821" s="145"/>
      <c r="J1821" s="145"/>
      <c r="K1821" s="145"/>
      <c r="L1821" s="145"/>
      <c r="M1821" s="145"/>
      <c r="N1821" s="145"/>
      <c r="O1821" s="145"/>
    </row>
    <row r="1822" spans="1:15" x14ac:dyDescent="0.35">
      <c r="A1822" s="145"/>
      <c r="B1822" s="145"/>
      <c r="C1822" s="145"/>
      <c r="D1822" s="145"/>
      <c r="E1822" s="145"/>
      <c r="F1822" s="145"/>
      <c r="G1822" s="102"/>
      <c r="H1822" s="145"/>
      <c r="I1822" s="145"/>
      <c r="J1822" s="145"/>
      <c r="K1822" s="145"/>
      <c r="L1822" s="145"/>
      <c r="M1822" s="145"/>
      <c r="N1822" s="145"/>
      <c r="O1822" s="145"/>
    </row>
    <row r="1823" spans="1:15" x14ac:dyDescent="0.35">
      <c r="A1823" s="145"/>
      <c r="B1823" s="145"/>
      <c r="C1823" s="145"/>
      <c r="D1823" s="145"/>
      <c r="E1823" s="145"/>
      <c r="F1823" s="145"/>
      <c r="G1823" s="102"/>
      <c r="H1823" s="145"/>
      <c r="I1823" s="145"/>
      <c r="J1823" s="145"/>
      <c r="K1823" s="145"/>
      <c r="L1823" s="145"/>
      <c r="M1823" s="145"/>
      <c r="N1823" s="145"/>
      <c r="O1823" s="145"/>
    </row>
    <row r="1824" spans="1:15" x14ac:dyDescent="0.35">
      <c r="A1824" s="145"/>
      <c r="B1824" s="145"/>
      <c r="C1824" s="145"/>
      <c r="D1824" s="145"/>
      <c r="E1824" s="145"/>
      <c r="F1824" s="145"/>
      <c r="G1824" s="102"/>
      <c r="H1824" s="145"/>
      <c r="I1824" s="145"/>
      <c r="J1824" s="145"/>
      <c r="K1824" s="145"/>
      <c r="L1824" s="145"/>
      <c r="M1824" s="145"/>
      <c r="N1824" s="145"/>
      <c r="O1824" s="145"/>
    </row>
  </sheetData>
  <mergeCells count="1">
    <mergeCell ref="AD6:AE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C22D2446634A141BFF401DF372378CC" ma:contentTypeVersion="23" ma:contentTypeDescription="Create a new document." ma:contentTypeScope="" ma:versionID="e32af713a51955b747f446c3b631b9fc">
  <xsd:schema xmlns:xsd="http://www.w3.org/2001/XMLSchema" xmlns:xs="http://www.w3.org/2001/XMLSchema" xmlns:p="http://schemas.microsoft.com/office/2006/metadata/properties" xmlns:ns1="http://schemas.microsoft.com/sharepoint/v3" xmlns:ns2="a645c985-50fc-4631-a035-a7c2800b6796" xmlns:ns3="0f39e6d1-abd8-49cf-9a67-a54b2a9c1e42" targetNamespace="http://schemas.microsoft.com/office/2006/metadata/properties" ma:root="true" ma:fieldsID="2dbb6c81000fe3c2132925435bfb487e" ns1:_="" ns2:_="" ns3:_="">
    <xsd:import namespace="http://schemas.microsoft.com/sharepoint/v3"/>
    <xsd:import namespace="a645c985-50fc-4631-a035-a7c2800b6796"/>
    <xsd:import namespace="0f39e6d1-abd8-49cf-9a67-a54b2a9c1e4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REGION" minOccurs="0"/>
                <xsd:element ref="ns2:TAX_x0020_WORK_x0020_TYPE" minOccurs="0"/>
                <xsd:element ref="ns2:DEC_x0020_YE" minOccurs="0"/>
                <xsd:element ref="ns2:TAX_x0020_TYPE" minOccurs="0"/>
                <xsd:element ref="ns2:FINAL" minOccurs="0"/>
                <xsd:element ref="ns2:Narration_x0020__x0028_if_x0020_req_x0029_"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45c985-50fc-4631-a035-a7c2800b67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REGION" ma:index="11" nillable="true" ma:displayName="REGION" ma:description="Doc relates to AU only, NZ only or RANZ (being neither, both, other)" ma:format="Dropdown" ma:internalName="REGION">
      <xsd:simpleType>
        <xsd:restriction base="dms:Text">
          <xsd:maxLength value="255"/>
        </xsd:restriction>
      </xsd:simpleType>
    </xsd:element>
    <xsd:element name="TAX_x0020_WORK_x0020_TYPE" ma:index="12" nillable="true" ma:displayName="TAX WORK TYPE" ma:default="COMPLIANCE" ma:description="COMPLIANCE / ADVICE / GOVERNANCE / AUDIT-REVIEWS / OTHER" ma:format="RadioButtons" ma:internalName="TAX_x0020_WORK_x0020_TYPE">
      <xsd:simpleType>
        <xsd:restriction base="dms:Choice">
          <xsd:enumeration value="COMPLIANCE"/>
          <xsd:enumeration value="ADVICE"/>
          <xsd:enumeration value="GOVERNANCE"/>
          <xsd:enumeration value="AUDIT-REVIEWS"/>
          <xsd:enumeration value="OTHER"/>
        </xsd:restriction>
      </xsd:simpleType>
    </xsd:element>
    <xsd:element name="DEC_x0020_YE" ma:index="13" nillable="true" ma:displayName="DEC YE" ma:internalName="DEC_x0020_YE">
      <xsd:simpleType>
        <xsd:restriction base="dms:Text">
          <xsd:maxLength value="255"/>
        </xsd:restriction>
      </xsd:simpleType>
    </xsd:element>
    <xsd:element name="TAX_x0020_TYPE" ma:index="14" nillable="true" ma:displayName="TAX TYPE" ma:default="Income Tax" ma:internalName="TAX_x0020_TYPE">
      <xsd:complexType>
        <xsd:complexContent>
          <xsd:extension base="dms:MultiChoice">
            <xsd:sequence>
              <xsd:element name="Value" maxOccurs="unbounded" minOccurs="0" nillable="true">
                <xsd:simpleType>
                  <xsd:restriction base="dms:Choice">
                    <xsd:enumeration value="Accounting"/>
                    <xsd:enumeration value="Income Tax"/>
                    <xsd:enumeration value="WHT &amp; AIL"/>
                    <xsd:enumeration value="FBT"/>
                    <xsd:enumeration value="GST"/>
                    <xsd:enumeration value="Thin K"/>
                    <xsd:enumeration value="Tfr Pricing"/>
                    <xsd:enumeration value="Other Tax"/>
                  </xsd:restriction>
                </xsd:simpleType>
              </xsd:element>
            </xsd:sequence>
          </xsd:extension>
        </xsd:complexContent>
      </xsd:complexType>
    </xsd:element>
    <xsd:element name="FINAL" ma:index="15" nillable="true" ma:displayName="FINAL" ma:default="0" ma:description="Doc was signed, sent or otherwise shared outside Grp Tax" ma:format="Dropdown" ma:internalName="FINAL">
      <xsd:simpleType>
        <xsd:restriction base="dms:Boolean"/>
      </xsd:simpleType>
    </xsd:element>
    <xsd:element name="Narration_x0020__x0028_if_x0020_req_x0029_" ma:index="16" nillable="true" ma:displayName="Narration (if req)" ma:description="Insert additional info if not clear from, or in addn to, the doc's title" ma:internalName="Narration_x0020__x0028_if_x0020_req_x0029_">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303c4af3-d430-4f28-9747-46973365dcb5"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DateTaken" ma:index="25" nillable="true" ma:displayName="MediaServiceDateTaken" ma:hidden="true" ma:indexed="true" ma:internalName="MediaServiceDateTaken" ma:readOnly="true">
      <xsd:simpleType>
        <xsd:restriction base="dms:Text"/>
      </xsd:simpleType>
    </xsd:element>
    <xsd:element name="MediaLengthInSeconds" ma:index="26" nillable="true" ma:displayName="MediaLengthInSeconds" ma:hidden="true" ma:internalName="MediaLengthInSeconds" ma:readOnly="true">
      <xsd:simpleType>
        <xsd:restriction base="dms:Unknown"/>
      </xsd:simpleType>
    </xsd:element>
    <xsd:element name="MediaServiceLocation" ma:index="27" nillable="true" ma:displayName="Location" ma:description="" ma:indexed="true" ma:internalName="MediaServiceLocation"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f39e6d1-abd8-49cf-9a67-a54b2a9c1e42"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84c67274-52b3-428c-ab07-87d899d6b19c}" ma:internalName="TaxCatchAll" ma:showField="CatchAllData" ma:web="0f39e6d1-abd8-49cf-9a67-a54b2a9c1e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_x0020_WORK_x0020_TYPE xmlns="a645c985-50fc-4631-a035-a7c2800b6796">COMPLIANCE</TAX_x0020_WORK_x0020_TYPE>
    <lcf76f155ced4ddcb4097134ff3c332f xmlns="a645c985-50fc-4631-a035-a7c2800b6796">
      <Terms xmlns="http://schemas.microsoft.com/office/infopath/2007/PartnerControls"/>
    </lcf76f155ced4ddcb4097134ff3c332f>
    <TaxCatchAll xmlns="0f39e6d1-abd8-49cf-9a67-a54b2a9c1e42" xsi:nil="true"/>
    <REGION xmlns="a645c985-50fc-4631-a035-a7c2800b6796" xsi:nil="true"/>
    <DEC_x0020_YE xmlns="a645c985-50fc-4631-a035-a7c2800b6796" xsi:nil="true"/>
    <_ip_UnifiedCompliancePolicyProperties xmlns="http://schemas.microsoft.com/sharepoint/v3" xsi:nil="true"/>
    <FINAL xmlns="a645c985-50fc-4631-a035-a7c2800b6796">false</FINAL>
    <Narration_x0020__x0028_if_x0020_req_x0029_ xmlns="a645c985-50fc-4631-a035-a7c2800b6796" xsi:nil="true"/>
    <TAX_x0020_TYPE xmlns="a645c985-50fc-4631-a035-a7c2800b6796">
      <Value>Income Tax</Value>
    </TAX_x0020_TYPE>
  </documentManagement>
</p:properties>
</file>

<file path=customXml/itemProps1.xml><?xml version="1.0" encoding="utf-8"?>
<ds:datastoreItem xmlns:ds="http://schemas.openxmlformats.org/officeDocument/2006/customXml" ds:itemID="{6E48C5F0-B605-4442-AD77-CBF06D3165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645c985-50fc-4631-a035-a7c2800b6796"/>
    <ds:schemaRef ds:uri="0f39e6d1-abd8-49cf-9a67-a54b2a9c1e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E6ADE74-4CC0-47F2-9FD1-E1DAB2440F4C}">
  <ds:schemaRefs>
    <ds:schemaRef ds:uri="http://schemas.microsoft.com/sharepoint/v3/contenttype/forms"/>
  </ds:schemaRefs>
</ds:datastoreItem>
</file>

<file path=customXml/itemProps3.xml><?xml version="1.0" encoding="utf-8"?>
<ds:datastoreItem xmlns:ds="http://schemas.openxmlformats.org/officeDocument/2006/customXml" ds:itemID="{107DC1CB-CF39-4F57-9335-320164A33654}">
  <ds:schemaRefs>
    <ds:schemaRef ds:uri="http://purl.org/dc/terms/"/>
    <ds:schemaRef ds:uri="http://schemas.openxmlformats.org/package/2006/metadata/core-properties"/>
    <ds:schemaRef ds:uri="http://purl.org/dc/elements/1.1/"/>
    <ds:schemaRef ds:uri="http://www.w3.org/XML/1998/namespace"/>
    <ds:schemaRef ds:uri="http://schemas.microsoft.com/office/2006/documentManagement/types"/>
    <ds:schemaRef ds:uri="http://schemas.microsoft.com/office/2006/metadata/properties"/>
    <ds:schemaRef ds:uri="0f39e6d1-abd8-49cf-9a67-a54b2a9c1e42"/>
    <ds:schemaRef ds:uri="http://schemas.microsoft.com/office/infopath/2007/PartnerControls"/>
    <ds:schemaRef ds:uri="a645c985-50fc-4631-a035-a7c2800b6796"/>
    <ds:schemaRef ds:uri="http://schemas.microsoft.com/sharepoint/v3"/>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Summary</vt:lpstr>
      <vt:lpstr>Ext Training</vt:lpstr>
      <vt:lpstr>Training Trav&amp;lodg</vt:lpstr>
      <vt:lpstr>Publicity&amp;Advert'g</vt:lpstr>
      <vt:lpstr>Open-Jubilees</vt:lpstr>
      <vt:lpstr>Promo gifts</vt:lpstr>
      <vt:lpstr>Sponsoring</vt:lpstr>
      <vt:lpstr>Marketing</vt:lpstr>
      <vt:lpstr>Bus Dev</vt:lpstr>
      <vt:lpstr>PR exp</vt:lpstr>
      <vt:lpstr>Club memship</vt:lpstr>
      <vt:lpstr>Meeting costs</vt:lpstr>
      <vt:lpstr>Misc exp</vt:lpstr>
      <vt:lpstr>Sundry</vt:lpstr>
      <vt:lpstr>Misc exp (2)</vt:lpstr>
      <vt:lpstr>Other non-bank exp</vt:lpstr>
      <vt:lpstr>Other exp</vt:lpstr>
      <vt:lpstr>Donations</vt:lpstr>
      <vt:lpstr>Client period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Henshall, T (Tracey)</dc:creator>
  <cp:lastModifiedBy>Faccin, L (Luke)</cp:lastModifiedBy>
  <dcterms:created xsi:type="dcterms:W3CDTF">2024-04-09T20:54:19Z</dcterms:created>
  <dcterms:modified xsi:type="dcterms:W3CDTF">2025-11-28T03:45:25Z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0x0101001C22D2446634A141BFF401DF372378CC</vt:lpwstr>
  </property>
  <property fmtid="{D5CDD505-2E9C-101B-9397-08002B2CF9AE}" pid="3" name="MediaServiceImageTags">
    <vt:lpwstr/>
  </property>
</Properties>
</file>